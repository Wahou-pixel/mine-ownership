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aless\Downloads\"/>
    </mc:Choice>
  </mc:AlternateContent>
  <xr:revisionPtr revIDLastSave="0" documentId="8_{FFF496CD-BDF0-4E8D-A2C8-8B538595AAC8}" xr6:coauthVersionLast="47" xr6:coauthVersionMax="47" xr10:uidLastSave="{00000000-0000-0000-0000-000000000000}"/>
  <bookViews>
    <workbookView xWindow="-120" yWindow="-120" windowWidth="29040" windowHeight="15720" firstSheet="1" activeTab="6" xr2:uid="{00000000-000D-0000-FFFF-FFFF00000000}"/>
  </bookViews>
  <sheets>
    <sheet name="__snloffice" sheetId="7" state="veryHidden" r:id="rId1"/>
    <sheet name="Ore" sheetId="1" r:id="rId2"/>
    <sheet name="Production Costs Co Product" sheetId="2" r:id="rId3"/>
    <sheet name="Production Costs By Product" sheetId="3" r:id="rId4"/>
    <sheet name="Cash Flow" sheetId="4" r:id="rId5"/>
    <sheet name="Ownership" sheetId="5" r:id="rId6"/>
    <sheet name="Sheet1" sheetId="6" r:id="rId7"/>
  </sheets>
  <externalReferences>
    <externalReference r:id="rId8"/>
  </externalReference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02" i="5" l="1"/>
  <c r="R102" i="5"/>
  <c r="Q102" i="5"/>
  <c r="P102" i="5"/>
  <c r="O102" i="5"/>
  <c r="N102" i="5"/>
  <c r="M102" i="5"/>
  <c r="L102" i="5"/>
  <c r="K102" i="5"/>
  <c r="J102" i="5"/>
  <c r="S101" i="5"/>
  <c r="R101" i="5"/>
  <c r="Q101" i="5"/>
  <c r="P101" i="5"/>
  <c r="O101" i="5"/>
  <c r="N101" i="5"/>
  <c r="M101" i="5"/>
  <c r="L101" i="5"/>
  <c r="K101" i="5"/>
  <c r="J101" i="5"/>
  <c r="S100" i="5"/>
  <c r="R100" i="5"/>
  <c r="Q100" i="5"/>
  <c r="P100" i="5"/>
  <c r="O100" i="5"/>
  <c r="N100" i="5"/>
  <c r="M100" i="5"/>
  <c r="L100" i="5"/>
  <c r="K100" i="5"/>
  <c r="J100" i="5"/>
  <c r="S99" i="5"/>
  <c r="R99" i="5"/>
  <c r="Q99" i="5"/>
  <c r="P99" i="5"/>
  <c r="O99" i="5"/>
  <c r="N99" i="5"/>
  <c r="M99" i="5"/>
  <c r="L99" i="5"/>
  <c r="K99" i="5"/>
  <c r="J99" i="5"/>
  <c r="S98" i="5"/>
  <c r="R98" i="5"/>
  <c r="Q98" i="5"/>
  <c r="P98" i="5"/>
  <c r="O98" i="5"/>
  <c r="N98" i="5"/>
  <c r="M98" i="5"/>
  <c r="L98" i="5"/>
  <c r="K98" i="5"/>
  <c r="J98" i="5"/>
  <c r="S97" i="5"/>
  <c r="R97" i="5"/>
  <c r="Q97" i="5"/>
  <c r="P97" i="5"/>
  <c r="O97" i="5"/>
  <c r="N97" i="5"/>
  <c r="M97" i="5"/>
  <c r="L97" i="5"/>
  <c r="K97" i="5"/>
  <c r="J97" i="5"/>
  <c r="S96" i="5"/>
  <c r="R96" i="5"/>
  <c r="Q96" i="5"/>
  <c r="P96" i="5"/>
  <c r="O96" i="5"/>
  <c r="N96" i="5"/>
  <c r="M96" i="5"/>
  <c r="L96" i="5"/>
  <c r="K96" i="5"/>
  <c r="J96" i="5"/>
  <c r="S95" i="5"/>
  <c r="R95" i="5"/>
  <c r="Q95" i="5"/>
  <c r="P95" i="5"/>
  <c r="O95" i="5"/>
  <c r="N95" i="5"/>
  <c r="M95" i="5"/>
  <c r="L95" i="5"/>
  <c r="K95" i="5"/>
  <c r="J95" i="5"/>
  <c r="S94" i="5"/>
  <c r="R94" i="5"/>
  <c r="Q94" i="5"/>
  <c r="P94" i="5"/>
  <c r="O94" i="5"/>
  <c r="N94" i="5"/>
  <c r="M94" i="5"/>
  <c r="L94" i="5"/>
  <c r="K94" i="5"/>
  <c r="J94" i="5"/>
  <c r="S93" i="5"/>
  <c r="R93" i="5"/>
  <c r="Q93" i="5"/>
  <c r="P93" i="5"/>
  <c r="O93" i="5"/>
  <c r="N93" i="5"/>
  <c r="M93" i="5"/>
  <c r="L93" i="5"/>
  <c r="K93" i="5"/>
  <c r="J93" i="5"/>
  <c r="S92" i="5"/>
  <c r="R92" i="5"/>
  <c r="Q92" i="5"/>
  <c r="P92" i="5"/>
  <c r="O92" i="5"/>
  <c r="N92" i="5"/>
  <c r="M92" i="5"/>
  <c r="L92" i="5"/>
  <c r="K92" i="5"/>
  <c r="J92" i="5"/>
  <c r="S91" i="5"/>
  <c r="R91" i="5"/>
  <c r="Q91" i="5"/>
  <c r="P91" i="5"/>
  <c r="O91" i="5"/>
  <c r="N91" i="5"/>
  <c r="M91" i="5"/>
  <c r="L91" i="5"/>
  <c r="K91" i="5"/>
  <c r="J91" i="5"/>
  <c r="S90" i="5"/>
  <c r="R90" i="5"/>
  <c r="Q90" i="5"/>
  <c r="P90" i="5"/>
  <c r="O90" i="5"/>
  <c r="N90" i="5"/>
  <c r="M90" i="5"/>
  <c r="L90" i="5"/>
  <c r="K90" i="5"/>
  <c r="J90" i="5"/>
  <c r="S89" i="5"/>
  <c r="R89" i="5"/>
  <c r="Q89" i="5"/>
  <c r="P89" i="5"/>
  <c r="O89" i="5"/>
  <c r="N89" i="5"/>
  <c r="M89" i="5"/>
  <c r="L89" i="5"/>
  <c r="K89" i="5"/>
  <c r="J89" i="5"/>
  <c r="S88" i="5"/>
  <c r="R88" i="5"/>
  <c r="Q88" i="5"/>
  <c r="P88" i="5"/>
  <c r="O88" i="5"/>
  <c r="N88" i="5"/>
  <c r="M88" i="5"/>
  <c r="L88" i="5"/>
  <c r="K88" i="5"/>
  <c r="J88" i="5"/>
  <c r="S87" i="5"/>
  <c r="R87" i="5"/>
  <c r="Q87" i="5"/>
  <c r="P87" i="5"/>
  <c r="O87" i="5"/>
  <c r="N87" i="5"/>
  <c r="M87" i="5"/>
  <c r="L87" i="5"/>
  <c r="K87" i="5"/>
  <c r="J87" i="5"/>
  <c r="S86" i="5"/>
  <c r="R86" i="5"/>
  <c r="Q86" i="5"/>
  <c r="P86" i="5"/>
  <c r="O86" i="5"/>
  <c r="N86" i="5"/>
  <c r="M86" i="5"/>
  <c r="L86" i="5"/>
  <c r="K86" i="5"/>
  <c r="J86" i="5"/>
  <c r="S85" i="5"/>
  <c r="R85" i="5"/>
  <c r="Q85" i="5"/>
  <c r="P85" i="5"/>
  <c r="O85" i="5"/>
  <c r="N85" i="5"/>
  <c r="M85" i="5"/>
  <c r="L85" i="5"/>
  <c r="K85" i="5"/>
  <c r="J85" i="5"/>
  <c r="S84" i="5"/>
  <c r="R84" i="5"/>
  <c r="Q84" i="5"/>
  <c r="P84" i="5"/>
  <c r="O84" i="5"/>
  <c r="N84" i="5"/>
  <c r="M84" i="5"/>
  <c r="L84" i="5"/>
  <c r="K84" i="5"/>
  <c r="J84" i="5"/>
  <c r="S83" i="5"/>
  <c r="R83" i="5"/>
  <c r="Q83" i="5"/>
  <c r="P83" i="5"/>
  <c r="O83" i="5"/>
  <c r="N83" i="5"/>
  <c r="M83" i="5"/>
  <c r="L83" i="5"/>
  <c r="K83" i="5"/>
  <c r="J83" i="5"/>
  <c r="S82" i="5"/>
  <c r="R82" i="5"/>
  <c r="Q82" i="5"/>
  <c r="P82" i="5"/>
  <c r="O82" i="5"/>
  <c r="N82" i="5"/>
  <c r="M82" i="5"/>
  <c r="L82" i="5"/>
  <c r="K82" i="5"/>
  <c r="J82" i="5"/>
  <c r="S81" i="5"/>
  <c r="R81" i="5"/>
  <c r="Q81" i="5"/>
  <c r="P81" i="5"/>
  <c r="O81" i="5"/>
  <c r="N81" i="5"/>
  <c r="M81" i="5"/>
  <c r="L81" i="5"/>
  <c r="K81" i="5"/>
  <c r="J81" i="5"/>
  <c r="S80" i="5"/>
  <c r="R80" i="5"/>
  <c r="Q80" i="5"/>
  <c r="P80" i="5"/>
  <c r="O80" i="5"/>
  <c r="N80" i="5"/>
  <c r="M80" i="5"/>
  <c r="L80" i="5"/>
  <c r="K80" i="5"/>
  <c r="J80" i="5"/>
  <c r="S79" i="5"/>
  <c r="R79" i="5"/>
  <c r="Q79" i="5"/>
  <c r="P79" i="5"/>
  <c r="O79" i="5"/>
  <c r="N79" i="5"/>
  <c r="M79" i="5"/>
  <c r="L79" i="5"/>
  <c r="K79" i="5"/>
  <c r="J79" i="5"/>
  <c r="S78" i="5"/>
  <c r="R78" i="5"/>
  <c r="Q78" i="5"/>
  <c r="P78" i="5"/>
  <c r="O78" i="5"/>
  <c r="N78" i="5"/>
  <c r="M78" i="5"/>
  <c r="L78" i="5"/>
  <c r="K78" i="5"/>
  <c r="J78" i="5"/>
  <c r="S77" i="5"/>
  <c r="R77" i="5"/>
  <c r="Q77" i="5"/>
  <c r="P77" i="5"/>
  <c r="O77" i="5"/>
  <c r="N77" i="5"/>
  <c r="M77" i="5"/>
  <c r="L77" i="5"/>
  <c r="K77" i="5"/>
  <c r="J77" i="5"/>
  <c r="S76" i="5"/>
  <c r="R76" i="5"/>
  <c r="Q76" i="5"/>
  <c r="P76" i="5"/>
  <c r="O76" i="5"/>
  <c r="N76" i="5"/>
  <c r="M76" i="5"/>
  <c r="L76" i="5"/>
  <c r="K76" i="5"/>
  <c r="J76" i="5"/>
  <c r="S75" i="5"/>
  <c r="R75" i="5"/>
  <c r="Q75" i="5"/>
  <c r="P75" i="5"/>
  <c r="O75" i="5"/>
  <c r="N75" i="5"/>
  <c r="M75" i="5"/>
  <c r="L75" i="5"/>
  <c r="K75" i="5"/>
  <c r="J75" i="5"/>
  <c r="S74" i="5"/>
  <c r="R74" i="5"/>
  <c r="Q74" i="5"/>
  <c r="P74" i="5"/>
  <c r="O74" i="5"/>
  <c r="N74" i="5"/>
  <c r="M74" i="5"/>
  <c r="L74" i="5"/>
  <c r="K74" i="5"/>
  <c r="J74" i="5"/>
  <c r="S73" i="5"/>
  <c r="R73" i="5"/>
  <c r="Q73" i="5"/>
  <c r="P73" i="5"/>
  <c r="O73" i="5"/>
  <c r="N73" i="5"/>
  <c r="M73" i="5"/>
  <c r="L73" i="5"/>
  <c r="K73" i="5"/>
  <c r="J73" i="5"/>
  <c r="S72" i="5"/>
  <c r="R72" i="5"/>
  <c r="Q72" i="5"/>
  <c r="P72" i="5"/>
  <c r="O72" i="5"/>
  <c r="N72" i="5"/>
  <c r="M72" i="5"/>
  <c r="L72" i="5"/>
  <c r="K72" i="5"/>
  <c r="J72" i="5"/>
  <c r="S71" i="5"/>
  <c r="R71" i="5"/>
  <c r="Q71" i="5"/>
  <c r="P71" i="5"/>
  <c r="O71" i="5"/>
  <c r="N71" i="5"/>
  <c r="M71" i="5"/>
  <c r="L71" i="5"/>
  <c r="K71" i="5"/>
  <c r="J71" i="5"/>
  <c r="S70" i="5"/>
  <c r="R70" i="5"/>
  <c r="Q70" i="5"/>
  <c r="P70" i="5"/>
  <c r="O70" i="5"/>
  <c r="N70" i="5"/>
  <c r="M70" i="5"/>
  <c r="L70" i="5"/>
  <c r="K70" i="5"/>
  <c r="J70" i="5"/>
  <c r="S69" i="5"/>
  <c r="R69" i="5"/>
  <c r="Q69" i="5"/>
  <c r="P69" i="5"/>
  <c r="O69" i="5"/>
  <c r="N69" i="5"/>
  <c r="M69" i="5"/>
  <c r="L69" i="5"/>
  <c r="K69" i="5"/>
  <c r="J69" i="5"/>
  <c r="S68" i="5"/>
  <c r="R68" i="5"/>
  <c r="Q68" i="5"/>
  <c r="P68" i="5"/>
  <c r="O68" i="5"/>
  <c r="N68" i="5"/>
  <c r="M68" i="5"/>
  <c r="L68" i="5"/>
  <c r="K68" i="5"/>
  <c r="J68" i="5"/>
  <c r="S67" i="5"/>
  <c r="R67" i="5"/>
  <c r="Q67" i="5"/>
  <c r="P67" i="5"/>
  <c r="O67" i="5"/>
  <c r="N67" i="5"/>
  <c r="M67" i="5"/>
  <c r="L67" i="5"/>
  <c r="K67" i="5"/>
  <c r="J67" i="5"/>
  <c r="S66" i="5"/>
  <c r="R66" i="5"/>
  <c r="Q66" i="5"/>
  <c r="P66" i="5"/>
  <c r="O66" i="5"/>
  <c r="N66" i="5"/>
  <c r="M66" i="5"/>
  <c r="L66" i="5"/>
  <c r="K66" i="5"/>
  <c r="J66" i="5"/>
  <c r="S65" i="5"/>
  <c r="R65" i="5"/>
  <c r="Q65" i="5"/>
  <c r="P65" i="5"/>
  <c r="O65" i="5"/>
  <c r="N65" i="5"/>
  <c r="M65" i="5"/>
  <c r="L65" i="5"/>
  <c r="K65" i="5"/>
  <c r="J65" i="5"/>
  <c r="S64" i="5"/>
  <c r="R64" i="5"/>
  <c r="Q64" i="5"/>
  <c r="P64" i="5"/>
  <c r="O64" i="5"/>
  <c r="N64" i="5"/>
  <c r="M64" i="5"/>
  <c r="L64" i="5"/>
  <c r="K64" i="5"/>
  <c r="J64" i="5"/>
  <c r="S63" i="5"/>
  <c r="R63" i="5"/>
  <c r="Q63" i="5"/>
  <c r="P63" i="5"/>
  <c r="O63" i="5"/>
  <c r="N63" i="5"/>
  <c r="M63" i="5"/>
  <c r="L63" i="5"/>
  <c r="K63" i="5"/>
  <c r="J63" i="5"/>
  <c r="S62" i="5"/>
  <c r="R62" i="5"/>
  <c r="Q62" i="5"/>
  <c r="P62" i="5"/>
  <c r="O62" i="5"/>
  <c r="N62" i="5"/>
  <c r="M62" i="5"/>
  <c r="L62" i="5"/>
  <c r="K62" i="5"/>
  <c r="J62" i="5"/>
  <c r="S61" i="5"/>
  <c r="R61" i="5"/>
  <c r="Q61" i="5"/>
  <c r="P61" i="5"/>
  <c r="O61" i="5"/>
  <c r="N61" i="5"/>
  <c r="M61" i="5"/>
  <c r="L61" i="5"/>
  <c r="K61" i="5"/>
  <c r="J61" i="5"/>
  <c r="S60" i="5"/>
  <c r="R60" i="5"/>
  <c r="Q60" i="5"/>
  <c r="P60" i="5"/>
  <c r="O60" i="5"/>
  <c r="N60" i="5"/>
  <c r="M60" i="5"/>
  <c r="L60" i="5"/>
  <c r="K60" i="5"/>
  <c r="J60" i="5"/>
  <c r="S59" i="5"/>
  <c r="R59" i="5"/>
  <c r="Q59" i="5"/>
  <c r="P59" i="5"/>
  <c r="O59" i="5"/>
  <c r="N59" i="5"/>
  <c r="M59" i="5"/>
  <c r="L59" i="5"/>
  <c r="K59" i="5"/>
  <c r="J59" i="5"/>
  <c r="S58" i="5"/>
  <c r="R58" i="5"/>
  <c r="Q58" i="5"/>
  <c r="P58" i="5"/>
  <c r="O58" i="5"/>
  <c r="N58" i="5"/>
  <c r="M58" i="5"/>
  <c r="L58" i="5"/>
  <c r="K58" i="5"/>
  <c r="J58" i="5"/>
  <c r="S57" i="5"/>
  <c r="R57" i="5"/>
  <c r="Q57" i="5"/>
  <c r="P57" i="5"/>
  <c r="O57" i="5"/>
  <c r="N57" i="5"/>
  <c r="M57" i="5"/>
  <c r="L57" i="5"/>
  <c r="K57" i="5"/>
  <c r="J57" i="5"/>
  <c r="S56" i="5"/>
  <c r="R56" i="5"/>
  <c r="Q56" i="5"/>
  <c r="P56" i="5"/>
  <c r="O56" i="5"/>
  <c r="N56" i="5"/>
  <c r="M56" i="5"/>
  <c r="L56" i="5"/>
  <c r="K56" i="5"/>
  <c r="J56" i="5"/>
  <c r="S55" i="5"/>
  <c r="R55" i="5"/>
  <c r="Q55" i="5"/>
  <c r="P55" i="5"/>
  <c r="O55" i="5"/>
  <c r="N55" i="5"/>
  <c r="M55" i="5"/>
  <c r="L55" i="5"/>
  <c r="K55" i="5"/>
  <c r="J55" i="5"/>
  <c r="S54" i="5"/>
  <c r="R54" i="5"/>
  <c r="Q54" i="5"/>
  <c r="P54" i="5"/>
  <c r="O54" i="5"/>
  <c r="N54" i="5"/>
  <c r="M54" i="5"/>
  <c r="L54" i="5"/>
  <c r="K54" i="5"/>
  <c r="J54" i="5"/>
  <c r="S53" i="5"/>
  <c r="R53" i="5"/>
  <c r="Q53" i="5"/>
  <c r="P53" i="5"/>
  <c r="O53" i="5"/>
  <c r="N53" i="5"/>
  <c r="M53" i="5"/>
  <c r="L53" i="5"/>
  <c r="K53" i="5"/>
  <c r="J53" i="5"/>
  <c r="S52" i="5"/>
  <c r="R52" i="5"/>
  <c r="Q52" i="5"/>
  <c r="P52" i="5"/>
  <c r="O52" i="5"/>
  <c r="N52" i="5"/>
  <c r="M52" i="5"/>
  <c r="L52" i="5"/>
  <c r="K52" i="5"/>
  <c r="J52" i="5"/>
  <c r="S51" i="5"/>
  <c r="R51" i="5"/>
  <c r="Q51" i="5"/>
  <c r="P51" i="5"/>
  <c r="O51" i="5"/>
  <c r="N51" i="5"/>
  <c r="M51" i="5"/>
  <c r="L51" i="5"/>
  <c r="K51" i="5"/>
  <c r="J51" i="5"/>
  <c r="S50" i="5"/>
  <c r="R50" i="5"/>
  <c r="Q50" i="5"/>
  <c r="P50" i="5"/>
  <c r="O50" i="5"/>
  <c r="N50" i="5"/>
  <c r="M50" i="5"/>
  <c r="L50" i="5"/>
  <c r="K50" i="5"/>
  <c r="J50" i="5"/>
  <c r="S49" i="5"/>
  <c r="R49" i="5"/>
  <c r="Q49" i="5"/>
  <c r="P49" i="5"/>
  <c r="O49" i="5"/>
  <c r="N49" i="5"/>
  <c r="M49" i="5"/>
  <c r="L49" i="5"/>
  <c r="K49" i="5"/>
  <c r="J49" i="5"/>
  <c r="S48" i="5"/>
  <c r="R48" i="5"/>
  <c r="Q48" i="5"/>
  <c r="P48" i="5"/>
  <c r="O48" i="5"/>
  <c r="N48" i="5"/>
  <c r="M48" i="5"/>
  <c r="L48" i="5"/>
  <c r="K48" i="5"/>
  <c r="J48" i="5"/>
  <c r="S47" i="5"/>
  <c r="R47" i="5"/>
  <c r="Q47" i="5"/>
  <c r="P47" i="5"/>
  <c r="O47" i="5"/>
  <c r="N47" i="5"/>
  <c r="M47" i="5"/>
  <c r="L47" i="5"/>
  <c r="K47" i="5"/>
  <c r="J47" i="5"/>
  <c r="S46" i="5"/>
  <c r="R46" i="5"/>
  <c r="Q46" i="5"/>
  <c r="P46" i="5"/>
  <c r="O46" i="5"/>
  <c r="N46" i="5"/>
  <c r="M46" i="5"/>
  <c r="L46" i="5"/>
  <c r="K46" i="5"/>
  <c r="J46" i="5"/>
  <c r="S45" i="5"/>
  <c r="R45" i="5"/>
  <c r="Q45" i="5"/>
  <c r="P45" i="5"/>
  <c r="O45" i="5"/>
  <c r="N45" i="5"/>
  <c r="M45" i="5"/>
  <c r="L45" i="5"/>
  <c r="K45" i="5"/>
  <c r="J45" i="5"/>
  <c r="S44" i="5"/>
  <c r="R44" i="5"/>
  <c r="Q44" i="5"/>
  <c r="P44" i="5"/>
  <c r="O44" i="5"/>
  <c r="N44" i="5"/>
  <c r="M44" i="5"/>
  <c r="L44" i="5"/>
  <c r="K44" i="5"/>
  <c r="J44" i="5"/>
  <c r="S43" i="5"/>
  <c r="R43" i="5"/>
  <c r="Q43" i="5"/>
  <c r="P43" i="5"/>
  <c r="O43" i="5"/>
  <c r="N43" i="5"/>
  <c r="M43" i="5"/>
  <c r="L43" i="5"/>
  <c r="K43" i="5"/>
  <c r="J43" i="5"/>
  <c r="S42" i="5"/>
  <c r="R42" i="5"/>
  <c r="Q42" i="5"/>
  <c r="P42" i="5"/>
  <c r="O42" i="5"/>
  <c r="N42" i="5"/>
  <c r="M42" i="5"/>
  <c r="L42" i="5"/>
  <c r="K42" i="5"/>
  <c r="J42" i="5"/>
  <c r="S41" i="5"/>
  <c r="R41" i="5"/>
  <c r="Q41" i="5"/>
  <c r="P41" i="5"/>
  <c r="O41" i="5"/>
  <c r="N41" i="5"/>
  <c r="M41" i="5"/>
  <c r="L41" i="5"/>
  <c r="K41" i="5"/>
  <c r="J41" i="5"/>
  <c r="S40" i="5"/>
  <c r="R40" i="5"/>
  <c r="Q40" i="5"/>
  <c r="P40" i="5"/>
  <c r="O40" i="5"/>
  <c r="N40" i="5"/>
  <c r="M40" i="5"/>
  <c r="L40" i="5"/>
  <c r="K40" i="5"/>
  <c r="J40" i="5"/>
  <c r="S39" i="5"/>
  <c r="R39" i="5"/>
  <c r="Q39" i="5"/>
  <c r="P39" i="5"/>
  <c r="O39" i="5"/>
  <c r="N39" i="5"/>
  <c r="M39" i="5"/>
  <c r="L39" i="5"/>
  <c r="K39" i="5"/>
  <c r="J39" i="5"/>
  <c r="S38" i="5"/>
  <c r="R38" i="5"/>
  <c r="Q38" i="5"/>
  <c r="P38" i="5"/>
  <c r="O38" i="5"/>
  <c r="N38" i="5"/>
  <c r="M38" i="5"/>
  <c r="L38" i="5"/>
  <c r="K38" i="5"/>
  <c r="J38" i="5"/>
  <c r="S37" i="5"/>
  <c r="R37" i="5"/>
  <c r="Q37" i="5"/>
  <c r="P37" i="5"/>
  <c r="O37" i="5"/>
  <c r="N37" i="5"/>
  <c r="M37" i="5"/>
  <c r="L37" i="5"/>
  <c r="K37" i="5"/>
  <c r="J37" i="5"/>
  <c r="S36" i="5"/>
  <c r="R36" i="5"/>
  <c r="Q36" i="5"/>
  <c r="P36" i="5"/>
  <c r="O36" i="5"/>
  <c r="N36" i="5"/>
  <c r="M36" i="5"/>
  <c r="L36" i="5"/>
  <c r="K36" i="5"/>
  <c r="J36" i="5"/>
  <c r="S35" i="5"/>
  <c r="R35" i="5"/>
  <c r="Q35" i="5"/>
  <c r="P35" i="5"/>
  <c r="O35" i="5"/>
  <c r="N35" i="5"/>
  <c r="M35" i="5"/>
  <c r="L35" i="5"/>
  <c r="K35" i="5"/>
  <c r="J35" i="5"/>
  <c r="S34" i="5"/>
  <c r="R34" i="5"/>
  <c r="Q34" i="5"/>
  <c r="P34" i="5"/>
  <c r="O34" i="5"/>
  <c r="N34" i="5"/>
  <c r="M34" i="5"/>
  <c r="L34" i="5"/>
  <c r="K34" i="5"/>
  <c r="J34" i="5"/>
  <c r="S33" i="5"/>
  <c r="R33" i="5"/>
  <c r="Q33" i="5"/>
  <c r="P33" i="5"/>
  <c r="O33" i="5"/>
  <c r="N33" i="5"/>
  <c r="M33" i="5"/>
  <c r="L33" i="5"/>
  <c r="K33" i="5"/>
  <c r="J33" i="5"/>
  <c r="S32" i="5"/>
  <c r="R32" i="5"/>
  <c r="Q32" i="5"/>
  <c r="P32" i="5"/>
  <c r="O32" i="5"/>
  <c r="N32" i="5"/>
  <c r="M32" i="5"/>
  <c r="L32" i="5"/>
  <c r="K32" i="5"/>
  <c r="J32" i="5"/>
  <c r="S31" i="5"/>
  <c r="R31" i="5"/>
  <c r="Q31" i="5"/>
  <c r="P31" i="5"/>
  <c r="O31" i="5"/>
  <c r="N31" i="5"/>
  <c r="M31" i="5"/>
  <c r="L31" i="5"/>
  <c r="K31" i="5"/>
  <c r="J31" i="5"/>
  <c r="S30" i="5"/>
  <c r="R30" i="5"/>
  <c r="Q30" i="5"/>
  <c r="P30" i="5"/>
  <c r="O30" i="5"/>
  <c r="N30" i="5"/>
  <c r="M30" i="5"/>
  <c r="L30" i="5"/>
  <c r="K30" i="5"/>
  <c r="J30" i="5"/>
  <c r="S29" i="5"/>
  <c r="R29" i="5"/>
  <c r="Q29" i="5"/>
  <c r="P29" i="5"/>
  <c r="O29" i="5"/>
  <c r="N29" i="5"/>
  <c r="M29" i="5"/>
  <c r="L29" i="5"/>
  <c r="K29" i="5"/>
  <c r="J29" i="5"/>
  <c r="S28" i="5"/>
  <c r="R28" i="5"/>
  <c r="Q28" i="5"/>
  <c r="P28" i="5"/>
  <c r="O28" i="5"/>
  <c r="N28" i="5"/>
  <c r="M28" i="5"/>
  <c r="L28" i="5"/>
  <c r="K28" i="5"/>
  <c r="J28" i="5"/>
  <c r="S27" i="5"/>
  <c r="R27" i="5"/>
  <c r="Q27" i="5"/>
  <c r="P27" i="5"/>
  <c r="O27" i="5"/>
  <c r="N27" i="5"/>
  <c r="M27" i="5"/>
  <c r="L27" i="5"/>
  <c r="K27" i="5"/>
  <c r="J27" i="5"/>
  <c r="S26" i="5"/>
  <c r="R26" i="5"/>
  <c r="Q26" i="5"/>
  <c r="P26" i="5"/>
  <c r="O26" i="5"/>
  <c r="N26" i="5"/>
  <c r="M26" i="5"/>
  <c r="L26" i="5"/>
  <c r="K26" i="5"/>
  <c r="J26" i="5"/>
  <c r="S25" i="5"/>
  <c r="R25" i="5"/>
  <c r="Q25" i="5"/>
  <c r="P25" i="5"/>
  <c r="O25" i="5"/>
  <c r="N25" i="5"/>
  <c r="M25" i="5"/>
  <c r="L25" i="5"/>
  <c r="K25" i="5"/>
  <c r="J25" i="5"/>
  <c r="S24" i="5"/>
  <c r="R24" i="5"/>
  <c r="Q24" i="5"/>
  <c r="P24" i="5"/>
  <c r="O24" i="5"/>
  <c r="N24" i="5"/>
  <c r="M24" i="5"/>
  <c r="L24" i="5"/>
  <c r="K24" i="5"/>
  <c r="J24" i="5"/>
  <c r="S23" i="5"/>
  <c r="R23" i="5"/>
  <c r="Q23" i="5"/>
  <c r="P23" i="5"/>
  <c r="O23" i="5"/>
  <c r="N23" i="5"/>
  <c r="M23" i="5"/>
  <c r="L23" i="5"/>
  <c r="K23" i="5"/>
  <c r="J23" i="5"/>
  <c r="S22" i="5"/>
  <c r="R22" i="5"/>
  <c r="Q22" i="5"/>
  <c r="P22" i="5"/>
  <c r="O22" i="5"/>
  <c r="N22" i="5"/>
  <c r="M22" i="5"/>
  <c r="L22" i="5"/>
  <c r="K22" i="5"/>
  <c r="J22" i="5"/>
  <c r="S21" i="5"/>
  <c r="R21" i="5"/>
  <c r="Q21" i="5"/>
  <c r="P21" i="5"/>
  <c r="O21" i="5"/>
  <c r="N21" i="5"/>
  <c r="M21" i="5"/>
  <c r="L21" i="5"/>
  <c r="K21" i="5"/>
  <c r="J21" i="5"/>
  <c r="S20" i="5"/>
  <c r="R20" i="5"/>
  <c r="Q20" i="5"/>
  <c r="P20" i="5"/>
  <c r="O20" i="5"/>
  <c r="N20" i="5"/>
  <c r="M20" i="5"/>
  <c r="L20" i="5"/>
  <c r="K20" i="5"/>
  <c r="J20" i="5"/>
  <c r="S19" i="5"/>
  <c r="R19" i="5"/>
  <c r="Q19" i="5"/>
  <c r="P19" i="5"/>
  <c r="O19" i="5"/>
  <c r="N19" i="5"/>
  <c r="M19" i="5"/>
  <c r="L19" i="5"/>
  <c r="K19" i="5"/>
  <c r="J19" i="5"/>
  <c r="S18" i="5"/>
  <c r="R18" i="5"/>
  <c r="Q18" i="5"/>
  <c r="P18" i="5"/>
  <c r="O18" i="5"/>
  <c r="N18" i="5"/>
  <c r="M18" i="5"/>
  <c r="L18" i="5"/>
  <c r="K18" i="5"/>
  <c r="J18" i="5"/>
  <c r="S17" i="5"/>
  <c r="R17" i="5"/>
  <c r="Q17" i="5"/>
  <c r="P17" i="5"/>
  <c r="O17" i="5"/>
  <c r="N17" i="5"/>
  <c r="M17" i="5"/>
  <c r="L17" i="5"/>
  <c r="K17" i="5"/>
  <c r="J17" i="5"/>
  <c r="S16" i="5"/>
  <c r="R16" i="5"/>
  <c r="Q16" i="5"/>
  <c r="P16" i="5"/>
  <c r="O16" i="5"/>
  <c r="N16" i="5"/>
  <c r="M16" i="5"/>
  <c r="L16" i="5"/>
  <c r="K16" i="5"/>
  <c r="J16" i="5"/>
  <c r="S15" i="5"/>
  <c r="R15" i="5"/>
  <c r="Q15" i="5"/>
  <c r="P15" i="5"/>
  <c r="O15" i="5"/>
  <c r="N15" i="5"/>
  <c r="M15" i="5"/>
  <c r="L15" i="5"/>
  <c r="K15" i="5"/>
  <c r="J15" i="5"/>
  <c r="S14" i="5"/>
  <c r="R14" i="5"/>
  <c r="Q14" i="5"/>
  <c r="P14" i="5"/>
  <c r="O14" i="5"/>
  <c r="N14" i="5"/>
  <c r="M14" i="5"/>
  <c r="L14" i="5"/>
  <c r="K14" i="5"/>
  <c r="J14" i="5"/>
  <c r="S13" i="5"/>
  <c r="R13" i="5"/>
  <c r="Q13" i="5"/>
  <c r="P13" i="5"/>
  <c r="O13" i="5"/>
  <c r="N13" i="5"/>
  <c r="M13" i="5"/>
  <c r="L13" i="5"/>
  <c r="K13" i="5"/>
  <c r="J13" i="5"/>
  <c r="S12" i="5"/>
  <c r="R12" i="5"/>
  <c r="Q12" i="5"/>
  <c r="P12" i="5"/>
  <c r="O12" i="5"/>
  <c r="N12" i="5"/>
  <c r="M12" i="5"/>
  <c r="L12" i="5"/>
  <c r="K12" i="5"/>
  <c r="J12" i="5"/>
  <c r="S11" i="5"/>
  <c r="R11" i="5"/>
  <c r="Q11" i="5"/>
  <c r="P11" i="5"/>
  <c r="O11" i="5"/>
  <c r="N11" i="5"/>
  <c r="M11" i="5"/>
  <c r="L11" i="5"/>
  <c r="K11" i="5"/>
  <c r="J11" i="5"/>
  <c r="S10" i="5"/>
  <c r="R10" i="5"/>
  <c r="Q10" i="5"/>
  <c r="P10" i="5"/>
  <c r="O10" i="5"/>
  <c r="N10" i="5"/>
  <c r="M10" i="5"/>
  <c r="L10" i="5"/>
  <c r="K10" i="5"/>
  <c r="J10" i="5"/>
  <c r="I102" i="5"/>
  <c r="H102" i="5"/>
  <c r="G102" i="5"/>
  <c r="I101" i="5"/>
  <c r="H101" i="5"/>
  <c r="G101" i="5"/>
  <c r="I100" i="5"/>
  <c r="H100" i="5"/>
  <c r="G100" i="5"/>
  <c r="I99" i="5"/>
  <c r="H99" i="5"/>
  <c r="G99" i="5"/>
  <c r="I98" i="5"/>
  <c r="H98" i="5"/>
  <c r="G98" i="5"/>
  <c r="I97" i="5"/>
  <c r="H97" i="5"/>
  <c r="G97" i="5"/>
  <c r="I96" i="5"/>
  <c r="H96" i="5"/>
  <c r="G96" i="5"/>
  <c r="I95" i="5"/>
  <c r="H95" i="5"/>
  <c r="G95" i="5"/>
  <c r="I94" i="5"/>
  <c r="H94" i="5"/>
  <c r="G94" i="5"/>
  <c r="I93" i="5"/>
  <c r="H93" i="5"/>
  <c r="G93" i="5"/>
  <c r="I92" i="5"/>
  <c r="H92" i="5"/>
  <c r="G92" i="5"/>
  <c r="I91" i="5"/>
  <c r="H91" i="5"/>
  <c r="G91" i="5"/>
  <c r="I90" i="5"/>
  <c r="H90" i="5"/>
  <c r="G90" i="5"/>
  <c r="I89" i="5"/>
  <c r="H89" i="5"/>
  <c r="G89" i="5"/>
  <c r="I88" i="5"/>
  <c r="H88" i="5"/>
  <c r="G88" i="5"/>
  <c r="I87" i="5"/>
  <c r="H87" i="5"/>
  <c r="G87" i="5"/>
  <c r="I86" i="5"/>
  <c r="H86" i="5"/>
  <c r="G86" i="5"/>
  <c r="I85" i="5"/>
  <c r="H85" i="5"/>
  <c r="G85" i="5"/>
  <c r="I84" i="5"/>
  <c r="H84" i="5"/>
  <c r="G84" i="5"/>
  <c r="I83" i="5"/>
  <c r="H83" i="5"/>
  <c r="G83" i="5"/>
  <c r="I82" i="5"/>
  <c r="H82" i="5"/>
  <c r="G82" i="5"/>
  <c r="I81" i="5"/>
  <c r="H81" i="5"/>
  <c r="G81" i="5"/>
  <c r="I80" i="5"/>
  <c r="H80" i="5"/>
  <c r="G80" i="5"/>
  <c r="I79" i="5"/>
  <c r="H79" i="5"/>
  <c r="G79" i="5"/>
  <c r="I78" i="5"/>
  <c r="H78" i="5"/>
  <c r="G78" i="5"/>
  <c r="I77" i="5"/>
  <c r="H77" i="5"/>
  <c r="G77" i="5"/>
  <c r="I76" i="5"/>
  <c r="H76" i="5"/>
  <c r="G76" i="5"/>
  <c r="I75" i="5"/>
  <c r="H75" i="5"/>
  <c r="G75" i="5"/>
  <c r="I74" i="5"/>
  <c r="H74" i="5"/>
  <c r="G74" i="5"/>
  <c r="I73" i="5"/>
  <c r="H73" i="5"/>
  <c r="G73" i="5"/>
  <c r="I72" i="5"/>
  <c r="H72" i="5"/>
  <c r="G72" i="5"/>
  <c r="I71" i="5"/>
  <c r="H71" i="5"/>
  <c r="G71" i="5"/>
  <c r="I70" i="5"/>
  <c r="H70" i="5"/>
  <c r="G70" i="5"/>
  <c r="I69" i="5"/>
  <c r="H69" i="5"/>
  <c r="G69" i="5"/>
  <c r="I68" i="5"/>
  <c r="H68" i="5"/>
  <c r="G68" i="5"/>
  <c r="I67" i="5"/>
  <c r="H67" i="5"/>
  <c r="G67" i="5"/>
  <c r="I66" i="5"/>
  <c r="H66" i="5"/>
  <c r="G66" i="5"/>
  <c r="I65" i="5"/>
  <c r="H65" i="5"/>
  <c r="G65" i="5"/>
  <c r="I64" i="5"/>
  <c r="H64" i="5"/>
  <c r="G64" i="5"/>
  <c r="I63" i="5"/>
  <c r="H63" i="5"/>
  <c r="G63" i="5"/>
  <c r="I62" i="5"/>
  <c r="H62" i="5"/>
  <c r="G62" i="5"/>
  <c r="I61" i="5"/>
  <c r="H61" i="5"/>
  <c r="G61" i="5"/>
  <c r="I60" i="5"/>
  <c r="H60" i="5"/>
  <c r="G60" i="5"/>
  <c r="I59" i="5"/>
  <c r="H59" i="5"/>
  <c r="G59" i="5"/>
  <c r="I58" i="5"/>
  <c r="H58" i="5"/>
  <c r="G58" i="5"/>
  <c r="I57" i="5"/>
  <c r="H57" i="5"/>
  <c r="G57" i="5"/>
  <c r="I56" i="5"/>
  <c r="H56" i="5"/>
  <c r="G56" i="5"/>
  <c r="I55" i="5"/>
  <c r="H55" i="5"/>
  <c r="G55" i="5"/>
  <c r="I54" i="5"/>
  <c r="H54" i="5"/>
  <c r="G54" i="5"/>
  <c r="I53" i="5"/>
  <c r="H53" i="5"/>
  <c r="G53" i="5"/>
  <c r="I52" i="5"/>
  <c r="H52" i="5"/>
  <c r="G52" i="5"/>
  <c r="I51" i="5"/>
  <c r="H51" i="5"/>
  <c r="G51" i="5"/>
  <c r="I50" i="5"/>
  <c r="H50" i="5"/>
  <c r="G50" i="5"/>
  <c r="I49" i="5"/>
  <c r="H49" i="5"/>
  <c r="G49" i="5"/>
  <c r="I48" i="5"/>
  <c r="H48" i="5"/>
  <c r="G48" i="5"/>
  <c r="I47" i="5"/>
  <c r="H47" i="5"/>
  <c r="G47" i="5"/>
  <c r="I46" i="5"/>
  <c r="H46" i="5"/>
  <c r="G46" i="5"/>
  <c r="I45" i="5"/>
  <c r="H45" i="5"/>
  <c r="G45" i="5"/>
  <c r="I44" i="5"/>
  <c r="H44" i="5"/>
  <c r="G44" i="5"/>
  <c r="I43" i="5"/>
  <c r="H43" i="5"/>
  <c r="G43" i="5"/>
  <c r="I42" i="5"/>
  <c r="H42" i="5"/>
  <c r="G42" i="5"/>
  <c r="I41" i="5"/>
  <c r="H41" i="5"/>
  <c r="G41" i="5"/>
  <c r="I40" i="5"/>
  <c r="H40" i="5"/>
  <c r="G40" i="5"/>
  <c r="I39" i="5"/>
  <c r="H39" i="5"/>
  <c r="G39" i="5"/>
  <c r="I38" i="5"/>
  <c r="H38" i="5"/>
  <c r="G38" i="5"/>
  <c r="I37" i="5"/>
  <c r="H37" i="5"/>
  <c r="G37" i="5"/>
  <c r="I36" i="5"/>
  <c r="H36" i="5"/>
  <c r="G36" i="5"/>
  <c r="I35" i="5"/>
  <c r="H35" i="5"/>
  <c r="G35" i="5"/>
  <c r="I34" i="5"/>
  <c r="H34" i="5"/>
  <c r="G34" i="5"/>
  <c r="I33" i="5"/>
  <c r="H33" i="5"/>
  <c r="G33" i="5"/>
  <c r="I32" i="5"/>
  <c r="H32" i="5"/>
  <c r="G32" i="5"/>
  <c r="I31" i="5"/>
  <c r="H31" i="5"/>
  <c r="G31" i="5"/>
  <c r="I30" i="5"/>
  <c r="H30" i="5"/>
  <c r="G30" i="5"/>
  <c r="I29" i="5"/>
  <c r="H29" i="5"/>
  <c r="G29" i="5"/>
  <c r="I28" i="5"/>
  <c r="H28" i="5"/>
  <c r="G28" i="5"/>
  <c r="I27" i="5"/>
  <c r="H27" i="5"/>
  <c r="G27" i="5"/>
  <c r="I26" i="5"/>
  <c r="H26" i="5"/>
  <c r="G26" i="5"/>
  <c r="I25" i="5"/>
  <c r="H25" i="5"/>
  <c r="G25" i="5"/>
  <c r="I24" i="5"/>
  <c r="H24" i="5"/>
  <c r="G24" i="5"/>
  <c r="I23" i="5"/>
  <c r="H23" i="5"/>
  <c r="G23" i="5"/>
  <c r="I22" i="5"/>
  <c r="H22" i="5"/>
  <c r="G22" i="5"/>
  <c r="I21" i="5"/>
  <c r="H21" i="5"/>
  <c r="G21" i="5"/>
  <c r="I20" i="5"/>
  <c r="H20" i="5"/>
  <c r="G20" i="5"/>
  <c r="I19" i="5"/>
  <c r="H19" i="5"/>
  <c r="G19" i="5"/>
  <c r="I18" i="5"/>
  <c r="H18" i="5"/>
  <c r="G18" i="5"/>
  <c r="I17" i="5"/>
  <c r="H17" i="5"/>
  <c r="G17" i="5"/>
  <c r="I16" i="5"/>
  <c r="H16" i="5"/>
  <c r="G16" i="5"/>
  <c r="I15" i="5"/>
  <c r="H15" i="5"/>
  <c r="G15" i="5"/>
  <c r="I14" i="5"/>
  <c r="H14" i="5"/>
  <c r="G14" i="5"/>
  <c r="I13" i="5"/>
  <c r="H13" i="5"/>
  <c r="G13" i="5"/>
  <c r="I12" i="5"/>
  <c r="H12" i="5"/>
  <c r="G12" i="5"/>
  <c r="I11" i="5"/>
  <c r="H11" i="5"/>
  <c r="G11" i="5"/>
  <c r="I10" i="5"/>
  <c r="H10" i="5"/>
  <c r="G10" i="5"/>
</calcChain>
</file>

<file path=xl/sharedStrings.xml><?xml version="1.0" encoding="utf-8"?>
<sst xmlns="http://schemas.openxmlformats.org/spreadsheetml/2006/main" count="2584" uniqueCount="402">
  <si>
    <t>Commodity: Nickel</t>
  </si>
  <si>
    <t>Scenario:  Market Intelligence 2024 Constant USD</t>
  </si>
  <si>
    <t/>
  </si>
  <si>
    <t xml:space="preserve"> Period Ended</t>
  </si>
  <si>
    <t xml:space="preserve"> Property</t>
  </si>
  <si>
    <t xml:space="preserve"> Property ID</t>
  </si>
  <si>
    <t xml:space="preserve"> Country/Region</t>
  </si>
  <si>
    <t xml:space="preserve"> Waste Mined:
Open Pit
(kilotonnes)</t>
  </si>
  <si>
    <t xml:space="preserve"> Waste Mined:
Underground (kilotonnes)</t>
  </si>
  <si>
    <t xml:space="preserve"> Waste Mined:
Total (kilotonnes)</t>
  </si>
  <si>
    <t xml:space="preserve"> Open Pit
Strip Ratio
(x)</t>
  </si>
  <si>
    <t xml:space="preserve"> Ore Mined:
Open Pit
(kilotonnes)</t>
  </si>
  <si>
    <t xml:space="preserve"> Ore Mined:
Underground (kilotonnes)</t>
  </si>
  <si>
    <t xml:space="preserve"> Ore Mined:
Total (kilotonnes)</t>
  </si>
  <si>
    <t xml:space="preserve"> Ore Treated
(kilotonnes)</t>
  </si>
  <si>
    <t xml:space="preserve"> Mine: Labor
Cost ($/tonne)</t>
  </si>
  <si>
    <t xml:space="preserve"> Mine: Fuel
Cost ($/tonne)</t>
  </si>
  <si>
    <t xml:space="preserve"> Mine: Electricity
Cost ($/tonne)</t>
  </si>
  <si>
    <t xml:space="preserve"> Mine: Other
Cost ($/tonne)</t>
  </si>
  <si>
    <t xml:space="preserve"> Mine: Total
Cost ($/tonne)</t>
  </si>
  <si>
    <t xml:space="preserve"> Mill: Labor
Cost ($/tonne)</t>
  </si>
  <si>
    <t xml:space="preserve"> Mill: Reagents
Cost ($/tonne)</t>
  </si>
  <si>
    <t xml:space="preserve"> Mill: Electricity
Cost ($/tonne)</t>
  </si>
  <si>
    <t xml:space="preserve"> Mill: Other
Cost ($/tonne)</t>
  </si>
  <si>
    <t xml:space="preserve"> Mill: Total
Cost ($/tonne)</t>
  </si>
  <si>
    <t xml:space="preserve"> Total Minesite
Cost ($/tonne)</t>
  </si>
  <si>
    <t xml:space="preserve"> Transport and
Offsite Cost
($/tonne)</t>
  </si>
  <si>
    <t xml:space="preserve"> Treatment &amp;
Refining Charges
($/tonne)</t>
  </si>
  <si>
    <t xml:space="preserve"> Cash Operating
Cost ($/tonne)</t>
  </si>
  <si>
    <t xml:space="preserve"> Royalty Cost
($/tonne)</t>
  </si>
  <si>
    <t xml:space="preserve"> Total Cash
Cost ($/tonne)</t>
  </si>
  <si>
    <t xml:space="preserve"> Reclamation, Closure
Provision ($/tonne)</t>
  </si>
  <si>
    <t xml:space="preserve"> Depreciation ($/tonne)</t>
  </si>
  <si>
    <t xml:space="preserve"> Deferred Stripping
Amortized ($/tonne)</t>
  </si>
  <si>
    <t xml:space="preserve"> Inventory Change
($/tonne)</t>
  </si>
  <si>
    <t xml:space="preserve"> Total Production
Cost ($/tonne)</t>
  </si>
  <si>
    <t xml:space="preserve"> Corporate Overhead
Charges ($/tonne)</t>
  </si>
  <si>
    <t xml:space="preserve"> Exploration and
Other Sustaining
Costs ($/tonne)</t>
  </si>
  <si>
    <t xml:space="preserve"> Sustaining Capex
($/tonne)</t>
  </si>
  <si>
    <t xml:space="preserve"> All-in-Sustaining Cost
($/tonne)</t>
  </si>
  <si>
    <t xml:space="preserve"> Development and
Expansion Capex
($/tonne)</t>
  </si>
  <si>
    <t xml:space="preserve"> Interest Charges
($/tonne)</t>
  </si>
  <si>
    <t xml:space="preserve"> Extraordinary Cash
Charges ($/tonne)</t>
  </si>
  <si>
    <t xml:space="preserve"> Extraordinary Non-Cash
Charges ($/tonne)</t>
  </si>
  <si>
    <t xml:space="preserve"> Other All-in-Cost
($/tonne)</t>
  </si>
  <si>
    <t xml:space="preserve"> All-in-Cost ($/tonne)</t>
  </si>
  <si>
    <t xml:space="preserve"> Gross Revenue
($/tonne)</t>
  </si>
  <si>
    <t xml:space="preserve"> Cash Operating
Margin ($/tonne)</t>
  </si>
  <si>
    <t xml:space="preserve"> Total Cash
Margin ($/tonne)</t>
  </si>
  <si>
    <t>Alex</t>
  </si>
  <si>
    <t>81253</t>
  </si>
  <si>
    <t>China</t>
  </si>
  <si>
    <t>Codemin</t>
  </si>
  <si>
    <t>28021</t>
  </si>
  <si>
    <t>Brazil</t>
  </si>
  <si>
    <t>Eagle</t>
  </si>
  <si>
    <t>33795</t>
  </si>
  <si>
    <t>USA</t>
  </si>
  <si>
    <t>Hachinohe</t>
  </si>
  <si>
    <t>76371</t>
  </si>
  <si>
    <t>Japan</t>
  </si>
  <si>
    <t>Jinchuan</t>
  </si>
  <si>
    <t>27136</t>
  </si>
  <si>
    <t>Kroondal</t>
  </si>
  <si>
    <t>32954</t>
  </si>
  <si>
    <t>South Africa</t>
  </si>
  <si>
    <t>Manitoba Division</t>
  </si>
  <si>
    <t>26560</t>
  </si>
  <si>
    <t>Canada</t>
  </si>
  <si>
    <t>Black Swan</t>
  </si>
  <si>
    <t>29416</t>
  </si>
  <si>
    <t>Australia</t>
  </si>
  <si>
    <t>Impala Bafokeng</t>
  </si>
  <si>
    <t>30267</t>
  </si>
  <si>
    <t>Kalatongke</t>
  </si>
  <si>
    <t>34844</t>
  </si>
  <si>
    <t>Murrin Murrin</t>
  </si>
  <si>
    <t>28725</t>
  </si>
  <si>
    <t>Norilsk</t>
  </si>
  <si>
    <t>75972</t>
  </si>
  <si>
    <t>Russia</t>
  </si>
  <si>
    <t>Nova-Bollinger</t>
  </si>
  <si>
    <t>40767</t>
  </si>
  <si>
    <t>Ramu</t>
  </si>
  <si>
    <t>27187</t>
  </si>
  <si>
    <t>Papua New Guinea</t>
  </si>
  <si>
    <t>Amandelbult</t>
  </si>
  <si>
    <t>31295</t>
  </si>
  <si>
    <t>Ambatovy</t>
  </si>
  <si>
    <t>30428</t>
  </si>
  <si>
    <t>Madagascar</t>
  </si>
  <si>
    <t>Booysendal South</t>
  </si>
  <si>
    <t>38707</t>
  </si>
  <si>
    <t>Marula</t>
  </si>
  <si>
    <t>30532</t>
  </si>
  <si>
    <t>Modikwa</t>
  </si>
  <si>
    <t>31138</t>
  </si>
  <si>
    <t>Mogalakwena</t>
  </si>
  <si>
    <t>27377</t>
  </si>
  <si>
    <t>Piaui</t>
  </si>
  <si>
    <t>37657</t>
  </si>
  <si>
    <t>Marikana</t>
  </si>
  <si>
    <t>27605</t>
  </si>
  <si>
    <t>Mimosa</t>
  </si>
  <si>
    <t>27951</t>
  </si>
  <si>
    <t>Zimbabwe</t>
  </si>
  <si>
    <t>Mototolo</t>
  </si>
  <si>
    <t>33727</t>
  </si>
  <si>
    <t>Oheyama</t>
  </si>
  <si>
    <t>76374</t>
  </si>
  <si>
    <t>Onca Puma</t>
  </si>
  <si>
    <t>28543</t>
  </si>
  <si>
    <t>Raglan</t>
  </si>
  <si>
    <t>26073</t>
  </si>
  <si>
    <t>Rio Tuba</t>
  </si>
  <si>
    <t>34257</t>
  </si>
  <si>
    <t>Philippines</t>
  </si>
  <si>
    <t>Platreef</t>
  </si>
  <si>
    <t>38500</t>
  </si>
  <si>
    <t>Pomalaa</t>
  </si>
  <si>
    <t>31089</t>
  </si>
  <si>
    <t>Indonesia</t>
  </si>
  <si>
    <t>Rustenburg</t>
  </si>
  <si>
    <t>27519</t>
  </si>
  <si>
    <t>SLN</t>
  </si>
  <si>
    <t>27634</t>
  </si>
  <si>
    <t>New Caledonia</t>
  </si>
  <si>
    <t>Sorowako</t>
  </si>
  <si>
    <t>27363</t>
  </si>
  <si>
    <t>Stillwater</t>
  </si>
  <si>
    <t>24891</t>
  </si>
  <si>
    <t>Tulaergen</t>
  </si>
  <si>
    <t>80826</t>
  </si>
  <si>
    <t>Barro Alto</t>
  </si>
  <si>
    <t>31041</t>
  </si>
  <si>
    <t>Booysendal North</t>
  </si>
  <si>
    <t>32552</t>
  </si>
  <si>
    <t>Cerro Matoso</t>
  </si>
  <si>
    <t>28584</t>
  </si>
  <si>
    <t>Colombia</t>
  </si>
  <si>
    <t>East Yellow Mountain</t>
  </si>
  <si>
    <t>33386</t>
  </si>
  <si>
    <t>Eland</t>
  </si>
  <si>
    <t>34342</t>
  </si>
  <si>
    <t>Goro</t>
  </si>
  <si>
    <t>27742</t>
  </si>
  <si>
    <t>Hyuga SX-EW</t>
  </si>
  <si>
    <t>76366</t>
  </si>
  <si>
    <t>Santa Rita</t>
  </si>
  <si>
    <t>33832</t>
  </si>
  <si>
    <t>Trident - Enterprise</t>
  </si>
  <si>
    <t>76924</t>
  </si>
  <si>
    <t>Zambia</t>
  </si>
  <si>
    <t>Union Section</t>
  </si>
  <si>
    <t>31296</t>
  </si>
  <si>
    <t>Weda Bay</t>
  </si>
  <si>
    <t>30273</t>
  </si>
  <si>
    <t>Taganito</t>
  </si>
  <si>
    <t>29157</t>
  </si>
  <si>
    <t>Terrafame</t>
  </si>
  <si>
    <t>35352</t>
  </si>
  <si>
    <t>Finland</t>
  </si>
  <si>
    <t>Unki</t>
  </si>
  <si>
    <t>30514</t>
  </si>
  <si>
    <t>Zondereinde</t>
  </si>
  <si>
    <t>27501</t>
  </si>
  <si>
    <t>Zimplats</t>
  </si>
  <si>
    <t>29249</t>
  </si>
  <si>
    <t>Kevitsa</t>
  </si>
  <si>
    <t>29179</t>
  </si>
  <si>
    <t>Moa Bay</t>
  </si>
  <si>
    <t>28629</t>
  </si>
  <si>
    <t>Cuba</t>
  </si>
  <si>
    <t>Munali</t>
  </si>
  <si>
    <t>27453</t>
  </si>
  <si>
    <t>Ontario Division</t>
  </si>
  <si>
    <t>27672</t>
  </si>
  <si>
    <t>Pilanesberg</t>
  </si>
  <si>
    <t>32875</t>
  </si>
  <si>
    <t>Platinum Mile</t>
  </si>
  <si>
    <t>36120</t>
  </si>
  <si>
    <t>Sudbury Operations</t>
  </si>
  <si>
    <t>27146</t>
  </si>
  <si>
    <t>Ta Khoa</t>
  </si>
  <si>
    <t>27531</t>
  </si>
  <si>
    <t>Vietnam</t>
  </si>
  <si>
    <t>Two Rivers</t>
  </si>
  <si>
    <t>30707</t>
  </si>
  <si>
    <t>Voisey's Bay</t>
  </si>
  <si>
    <t>28992</t>
  </si>
  <si>
    <t>Western Limb Tailings</t>
  </si>
  <si>
    <t>32553</t>
  </si>
  <si>
    <t>Ore</t>
  </si>
  <si>
    <t xml:space="preserve"> Head Grade
(%)</t>
  </si>
  <si>
    <t xml:space="preserve"> Recovery Rate
(%)</t>
  </si>
  <si>
    <t xml:space="preserve"> Recovered Nickel
(kilotonnes)</t>
  </si>
  <si>
    <t xml:space="preserve"> Payability (%)</t>
  </si>
  <si>
    <t xml:space="preserve"> Paid Nickel
Produced (kilotonnes)</t>
  </si>
  <si>
    <t xml:space="preserve"> Commodity Net
Revenue (%)</t>
  </si>
  <si>
    <t xml:space="preserve"> Mine: Labor
Cost (¢/lb)</t>
  </si>
  <si>
    <t xml:space="preserve"> Mine: Fuel
Cost (¢/lb)</t>
  </si>
  <si>
    <t xml:space="preserve"> Mine: Electricity
Cost (¢/lb)</t>
  </si>
  <si>
    <t xml:space="preserve"> Mine: Other
Cost (¢/lb)</t>
  </si>
  <si>
    <t xml:space="preserve"> Mine: Total
Cost (¢/lb)</t>
  </si>
  <si>
    <t xml:space="preserve"> Mill: Labor
Cost (¢/lb)</t>
  </si>
  <si>
    <t xml:space="preserve"> Mill: Reagents
Cost (¢/lb)</t>
  </si>
  <si>
    <t xml:space="preserve"> Mill: Electricity
Cost (¢/lb)</t>
  </si>
  <si>
    <t xml:space="preserve"> Mill: Other
Cost (¢/lb)</t>
  </si>
  <si>
    <t xml:space="preserve"> Mill: Total
Cost (¢/lb)</t>
  </si>
  <si>
    <t xml:space="preserve"> Total Minesite
Cost (¢/lb)</t>
  </si>
  <si>
    <t xml:space="preserve"> Transport and
Offsite Cost
(¢/lb)</t>
  </si>
  <si>
    <t xml:space="preserve"> Treatment &amp;
Refining Charges
(¢/lb)</t>
  </si>
  <si>
    <t xml:space="preserve"> Cash Operating
Cost (¢/lb)</t>
  </si>
  <si>
    <t xml:space="preserve"> Royalty Cost
(¢/lb)</t>
  </si>
  <si>
    <t xml:space="preserve"> Total Cash
Cost (¢/lb)</t>
  </si>
  <si>
    <t xml:space="preserve"> Reclamation, Closure
Provision (¢/lb)</t>
  </si>
  <si>
    <t xml:space="preserve"> Depreciation (¢/lb)</t>
  </si>
  <si>
    <t xml:space="preserve"> Deferred Stripping
Amortized (¢/lb)</t>
  </si>
  <si>
    <t xml:space="preserve"> Inventory Change
(¢/lb)</t>
  </si>
  <si>
    <t xml:space="preserve"> Total Production
Cost (¢/lb)</t>
  </si>
  <si>
    <t xml:space="preserve"> Corporate Overhead
Charges (¢/lb)</t>
  </si>
  <si>
    <t xml:space="preserve"> Exploration and
Other Sustaining
Costs (¢/lb)</t>
  </si>
  <si>
    <t xml:space="preserve"> Sustaining Capex
(¢/lb)</t>
  </si>
  <si>
    <t xml:space="preserve"> All-in-Sustaining Cost
(¢/lb)</t>
  </si>
  <si>
    <t xml:space="preserve"> Development and
Expansion Capex
(¢/lb)</t>
  </si>
  <si>
    <t xml:space="preserve"> Interest Charges
(¢/lb)</t>
  </si>
  <si>
    <t xml:space="preserve"> Extraordinary Cash
Charges (¢/lb)</t>
  </si>
  <si>
    <t xml:space="preserve"> Extraordinary Non-Cash
Charges (¢/lb)</t>
  </si>
  <si>
    <t xml:space="preserve"> Other All-in-Cost
(¢/lb)</t>
  </si>
  <si>
    <t xml:space="preserve"> All-in-Cost (¢/lb)</t>
  </si>
  <si>
    <t xml:space="preserve"> Realized Price
(¢/lb)</t>
  </si>
  <si>
    <t xml:space="preserve"> Gross Revenue
($M)</t>
  </si>
  <si>
    <t xml:space="preserve"> Cash Operating
Margin (¢/lb)</t>
  </si>
  <si>
    <t xml:space="preserve"> Total Cash
Margin (¢/lb)</t>
  </si>
  <si>
    <t>Production Costs Co Product</t>
  </si>
  <si>
    <t xml:space="preserve"> By-product Credits
(¢/lb)</t>
  </si>
  <si>
    <t>Production Costs By Product</t>
  </si>
  <si>
    <t xml:space="preserve"> Realization Cost
($M)</t>
  </si>
  <si>
    <t xml:space="preserve"> Net Revenue
($M)</t>
  </si>
  <si>
    <t xml:space="preserve"> Royalties ($M)</t>
  </si>
  <si>
    <t xml:space="preserve"> Total Minesite
Costs ($M)</t>
  </si>
  <si>
    <t xml:space="preserve"> Indirect and
Extraordinary Costs
($M)</t>
  </si>
  <si>
    <t xml:space="preserve"> Working Capital
($M)</t>
  </si>
  <si>
    <t xml:space="preserve"> Sustaining Capex
($M)</t>
  </si>
  <si>
    <t xml:space="preserve"> Development and
Expansion Capex
($M)</t>
  </si>
  <si>
    <t xml:space="preserve"> Pre-tax Cash
Flow ($M)</t>
  </si>
  <si>
    <t xml:space="preserve"> Tax ($M)</t>
  </si>
  <si>
    <t xml:space="preserve"> Post-tax Cash
Flow ($M)</t>
  </si>
  <si>
    <t xml:space="preserve"> Corporate Tax
Rate (%)</t>
  </si>
  <si>
    <t xml:space="preserve"> Depreciation ($M)</t>
  </si>
  <si>
    <t xml:space="preserve"> NPV Discounted
at 8%
($M)</t>
  </si>
  <si>
    <t xml:space="preserve"> NPV Discounted
at 10%
($M)</t>
  </si>
  <si>
    <t xml:space="preserve"> NPV Discounted
at 12%
($M)</t>
  </si>
  <si>
    <t xml:space="preserve"> NPV Discounted
at 14%
($M)</t>
  </si>
  <si>
    <t>Cash Flow</t>
  </si>
  <si>
    <t xml:space="preserve"> Owner</t>
  </si>
  <si>
    <t xml:space="preserve"> KeyInstn</t>
  </si>
  <si>
    <t xml:space="preserve"> Equity Ownership
(%)</t>
  </si>
  <si>
    <t>Xinjiang Xinxin Mining Industry Co. Ltd.</t>
  </si>
  <si>
    <t>Valterra Platinum Ltd.</t>
  </si>
  <si>
    <t>Korea Mine Rehabilitation and Mineral Resources Corp.</t>
  </si>
  <si>
    <t>Sumitomo Corp.</t>
  </si>
  <si>
    <t>Anglo American PLC</t>
  </si>
  <si>
    <t>Maritana Minerals Ltd.</t>
  </si>
  <si>
    <t>Northam Platinum Holdings Ltd.</t>
  </si>
  <si>
    <t>CoreX Holding BV</t>
  </si>
  <si>
    <t>Mineworkers</t>
  </si>
  <si>
    <t>Lundin Mining Corp.</t>
  </si>
  <si>
    <t>Prony Resources New Caledonia consortium</t>
  </si>
  <si>
    <t>Societe de Participation Miniere du Sud Caledonia SAS</t>
  </si>
  <si>
    <t>Pacific Metals Co. Ltd.</t>
  </si>
  <si>
    <t>Hyuga Smelting Co. Ltd.</t>
  </si>
  <si>
    <t>Impala Platinum Holdings Ltd.</t>
  </si>
  <si>
    <t>Private Interest</t>
  </si>
  <si>
    <t>JinChuan Group Co.Ltd.</t>
  </si>
  <si>
    <t>Boliden AB (publ)</t>
  </si>
  <si>
    <t>Sibanye Stillwater Ltd.</t>
  </si>
  <si>
    <t>Vale SA</t>
  </si>
  <si>
    <t>Incwala Resource (Pty) Ltd.</t>
  </si>
  <si>
    <t>Black Economic Empowerment</t>
  </si>
  <si>
    <t>General Nickel Company SA</t>
  </si>
  <si>
    <t>Sherritt International Corp.</t>
  </si>
  <si>
    <t>African Rainbow Minerals Ltd.</t>
  </si>
  <si>
    <t>Consolidated Mining and Investments Ltd</t>
  </si>
  <si>
    <t>Jinchuan Group International Resources Co. Ltd.</t>
  </si>
  <si>
    <t>Glencore PLC</t>
  </si>
  <si>
    <t>PJSC Mining and Metallurgical Co. Norilsk Nickel</t>
  </si>
  <si>
    <t>IGO Ltd.</t>
  </si>
  <si>
    <t>Nippon Yakin Kogyo Co. Ltd.</t>
  </si>
  <si>
    <t>Brazilian Nickel Plc</t>
  </si>
  <si>
    <t>Sedibelo Resources Limited</t>
  </si>
  <si>
    <t>Mvelaphanda Holdings (Proprietary) Ltd</t>
  </si>
  <si>
    <t>Ivanhoe Mines Ltd.</t>
  </si>
  <si>
    <t>PT Antam (Persero) Tbk</t>
  </si>
  <si>
    <t>Ji Lin Ji En Nickel Industry Co. Ltd.</t>
  </si>
  <si>
    <t>Jiuquan Iron and Steel (Group) Co. Ltd.</t>
  </si>
  <si>
    <t>Metallurgical Corp. of China Ltd.</t>
  </si>
  <si>
    <t>Mineral Resources Development Corp.</t>
  </si>
  <si>
    <t>Nickel 28 Capital Corp.</t>
  </si>
  <si>
    <t>Nickel Asia Corporation</t>
  </si>
  <si>
    <t>Sojitz Corp.</t>
  </si>
  <si>
    <t>Newshelf 1335 Pty. Ltd.</t>
  </si>
  <si>
    <t>Appian Capital Advisory LLP</t>
  </si>
  <si>
    <t>Eramet SA</t>
  </si>
  <si>
    <t>Nippon Steel Nisshin Co. Ltd.</t>
  </si>
  <si>
    <t>Société Territoriale Calédonienne de Participation Industrielle</t>
  </si>
  <si>
    <t>PT Vale Indonesia Tbk</t>
  </si>
  <si>
    <t>Blackstone Minerals Ltd.</t>
  </si>
  <si>
    <t>Xalotho Co. Ltd</t>
  </si>
  <si>
    <t>Terrafame Oy</t>
  </si>
  <si>
    <t>First Quantum Minerals Ltd.</t>
  </si>
  <si>
    <t>China State-Owned Mining Enterprise</t>
  </si>
  <si>
    <t>Bakgatla Ba Kgafela</t>
  </si>
  <si>
    <t>Siyanda Resources (Pty) Ltd.</t>
  </si>
  <si>
    <t>Tsingshan Holding Group Co. Ltd.</t>
  </si>
  <si>
    <t>Zimplats Holdings Ltd.</t>
  </si>
  <si>
    <t>Ownership</t>
  </si>
  <si>
    <t>List of owners</t>
  </si>
  <si>
    <t>Owner 1 SNL institution key</t>
  </si>
  <si>
    <t>Owner 2 SNL institution key</t>
  </si>
  <si>
    <t>Ultimate parent company name owner 1</t>
  </si>
  <si>
    <t>Ultimate parent company country owner 1</t>
  </si>
  <si>
    <t>Parent company Owner 1</t>
  </si>
  <si>
    <t>Parent company country onwer 1</t>
  </si>
  <si>
    <t>Country name owner 1</t>
  </si>
  <si>
    <t>Ultimate parent company name owner 2</t>
  </si>
  <si>
    <t>Ultimate parent company country owner 2</t>
  </si>
  <si>
    <t>Parent company Owner 2</t>
  </si>
  <si>
    <t>Parent company country onwer 2</t>
  </si>
  <si>
    <t>Country name owner 2</t>
  </si>
  <si>
    <t>Xinjiang Xinxin Mining Industry Co., Ltd.  100%</t>
  </si>
  <si>
    <t>NA</t>
  </si>
  <si>
    <t>Xinjiang NonFerrous Metal Industry (Group) Co.Ltd</t>
  </si>
  <si>
    <t>Valterra Platinum Limited  100%</t>
  </si>
  <si>
    <t>Unnamed Owner (Fractional) %; Korea Mine Rehabilitation and Mineral Resources Corporation (Venturer) 45.82%; Sumitomo Corporation (Venturer) 54.17%</t>
  </si>
  <si>
    <t>South Korea</t>
  </si>
  <si>
    <t>Anglo American plc  100%</t>
  </si>
  <si>
    <t>United Kingdom</t>
  </si>
  <si>
    <t>Maritana Minerals Limited  100%</t>
  </si>
  <si>
    <t>Northam Platinum Holdings Limited  100%</t>
  </si>
  <si>
    <t>CoreX Holding B.V. (Venturer) 99.94%; Mineworkers (Venturer) 0.06%</t>
  </si>
  <si>
    <t>Türkiye</t>
  </si>
  <si>
    <t>Talon Metals Corp.  100%</t>
  </si>
  <si>
    <t>BVI</t>
  </si>
  <si>
    <t>Societe de Participation Miniere du Sud Caledonia SAS (Venturer) 5%; Prony Resources New Caledonia consortium (Venturer) 95%</t>
  </si>
  <si>
    <t>France</t>
  </si>
  <si>
    <t>Private Interest (Venturer) 13%; Impala Platinum Holdings Limited (Venturer) 87%</t>
  </si>
  <si>
    <t>JinChuan Group Co.,Ltd  100%</t>
  </si>
  <si>
    <t>State-Owned Assets Supervision And Administration Commission Of Gansu Provincial</t>
  </si>
  <si>
    <t>Boliden AB (publ)  100%</t>
  </si>
  <si>
    <t>Sweden</t>
  </si>
  <si>
    <t>Sibanye Stillwater Limited  100%</t>
  </si>
  <si>
    <t>Vale S.A.  100%</t>
  </si>
  <si>
    <t>Incwala Resource (Pty) Limited (Venturer) 19.36%; Sibanye Stillwater Limited (Venturer) 80.64%</t>
  </si>
  <si>
    <t>The Shanduka Group Pty Ltd.</t>
  </si>
  <si>
    <t>Shanduka Resources</t>
  </si>
  <si>
    <t>Impala Platinum Holdings Limited (Venturer) 73.26%; Black Economic Empowerment (Venturer) 26.74%</t>
  </si>
  <si>
    <t>PSG Group Ltd</t>
  </si>
  <si>
    <t>Sibanye Stillwater Limited (Venturer) 50%; Impala Platinum Holdings Limited (Venturer) 50%</t>
  </si>
  <si>
    <t>General Nickel Company S.A.  50%; Sherritt International Corporation (Venturer) 50%</t>
  </si>
  <si>
    <t>Private Interest (Carried) 8.5%; African Rainbow Minerals Limited (Venturer) 41.5%; Valterra Platinum Limited (Venturer) 50%</t>
  </si>
  <si>
    <t>Consolidated Mining and Investments Ltd (Optionee) 68%; Jinchuan Group International Resources Co. Ltd (Optionor) 32%</t>
  </si>
  <si>
    <t>Jinchuan (BVI) Limited</t>
  </si>
  <si>
    <t>Hong Kong</t>
  </si>
  <si>
    <t>Glencore plc  100%</t>
  </si>
  <si>
    <t>Switzerland</t>
  </si>
  <si>
    <t>Public Joint Stock Company Mining and Metallurgical Company Norilsk Nickel  100%</t>
  </si>
  <si>
    <t>IGO Limited  100%</t>
  </si>
  <si>
    <t>Nippon Yakin Kogyo Co., Ltd.  100%</t>
  </si>
  <si>
    <t>Brazilian Nickel Plc  100%</t>
  </si>
  <si>
    <t>Sedibelo Resources Limited  100%</t>
  </si>
  <si>
    <t>Guernsey</t>
  </si>
  <si>
    <t>Mvelaphanda Holdings (Proprietary) Limited (Venturer) 8.3%; Sibanye Stillwater Limited (Venturer) 91.7%</t>
  </si>
  <si>
    <t>ITOCHU Corporation (Venturer) %; Japan Organization for Metals and Energy Security (Venturer) %; Ivanhoe Mines Ltd. (Venturer) 64%; JGC Holdings Corporation (Venturer) %; Black Economic Empowerment (Venturer) 26%</t>
  </si>
  <si>
    <t>Hongkong CBL Limited (Fractional) %; PT Antam (Persero) Tbk  100%</t>
  </si>
  <si>
    <t>PT Mineral Industri Indonesia (Persero)</t>
  </si>
  <si>
    <t>Ningbo Contemporary Brunp Lygend Co., Ltd.</t>
  </si>
  <si>
    <t>Jiuquan Iron and Steel (Group) Co., Ltd. (Venturer) 11.05%; Nickel 28 Capital Corp. (Carried) 8.56%; Jinchuan Group International Resources Co. Ltd (Venturer) 5.93%; Metallurgical Corporation of China Ltd. (Venturer) 56.97%; Ji Lin Ji En Nickel Industry Co., Ltd. (Venturer) 11.05%; Mineral Resources Development Corp (Venturer) 3.94%; Private Interest (Venturer) 2.5%</t>
  </si>
  <si>
    <t>State-owned Assets Supervision and Administration Commission of the State Counci</t>
  </si>
  <si>
    <t>China Minmetals Co., Ltd</t>
  </si>
  <si>
    <t>Pacific Metals Co., Ltd. (Venturer) 36%; Nickel Asia Corporation (Venturer) 60%; Sojitz Corporation (Venturer) 4%</t>
  </si>
  <si>
    <t>Sibanye Stillwater Limited (Venturer) 74%; Newshelf 1335 Proprietary Limited (Venturer) 26%</t>
  </si>
  <si>
    <t>Appian Capital Advisory LLP  100%</t>
  </si>
  <si>
    <t>ERAMET S.A. (Venturer) 56%; Nippon Steel Nisshin Co., Ltd. (Venturer) 10%; Société Territoriale Calédonienne de Participation Industrielle (Venturer) 34%</t>
  </si>
  <si>
    <t>NORDIL, SAS; PromoSud</t>
  </si>
  <si>
    <t>France; France</t>
  </si>
  <si>
    <t>PT Vale Indonesia Tbk  100%</t>
  </si>
  <si>
    <t>Xalotho Company Limited (Optionee) 80%; Blackstone Minerals Limited (Optionor) 20%</t>
  </si>
  <si>
    <t>Nickel Asia Corporation (Venturer) 65%; Pacific Metals Co., Ltd. (Venturer) 33.5%; Sojitz Corporation (Venturer) 1.5%</t>
  </si>
  <si>
    <t>Terrafame Oy  100%</t>
  </si>
  <si>
    <t>Finnish Minerals Group Oy</t>
  </si>
  <si>
    <t>First Quantum Minerals Ltd.  100%</t>
  </si>
  <si>
    <t>China State-Owned Mining Enterprise  100%</t>
  </si>
  <si>
    <t>African Rainbow Minerals Limited (Venturer) 54%; Impala Platinum Holdings Limited (Venturer) 46%</t>
  </si>
  <si>
    <t>Bakgatla Ba Kgafela (Venturer) 15%; Siyanda Resources (Pty) Ltd (Venturer) 85%</t>
  </si>
  <si>
    <t>ERAMET S.A. (Venturer) 38.7%; Tsingshan Holding Group Co., Ltd. (Venturer) 51.3%; PT Antam (Persero) Tbk (Venturer) 10%</t>
  </si>
  <si>
    <t>Zimplats Holdings Limited  100%</t>
  </si>
  <si>
    <t>Impala Platinum Holdings Limited</t>
  </si>
  <si>
    <t>Impala Platinum BV</t>
  </si>
  <si>
    <t>Netherlands</t>
  </si>
  <si>
    <t>Valterra Platinum Limited (Fractional) %; Northam Platinum Holdings Limited  100%</t>
  </si>
  <si>
    <t>允䅁䩁䄸䅁楃䅁䅁䅕祂䝁䅫杤桂䡁䅑党杁䕁䅫杢あ䝁䅕杣求䡁䅍䅤杁䍁䅧杖求䝁䄴䅤ㅂ䡁䅉党祂䍁䅫䅉硁䑁䅍兊㝁䍁䅁兓瑂䡁䅁兙獂䝁䅅䅉兂䝁䅷兙あ䝁䅫杢ㅂ䝁䄰䅉䥂䝁䄸䅢歂䝁䅫杢湂䡁䅍䅉䵂䝁䅫兢灂䡁䅑党歂䍁䅁䅋坂䝁䅕杢あ䡁䅕杣求䡁䅉克杁䑁䅧睎汁䅁䅁兎䅁䍁䉧䅁噂䝁䄴杢桂䝁䄰党歂䍁䅁睔㍂䝁䄴党祂䍁䅁䅋䝂䡁䅉兙橂䡁䅑兡療䝁䄴兙獂䍁䅫䅉汁䑁䅳䅉䱂䝁䄸杣求䝁䅅䅉乂䝁䅫杢求䍁䅁杕求䝁䅧兙楂䝁䅫䅢灂䡁䅑兙あ䝁䅫睢畂䍁䅁兙畂䝁䅑䅉乂䝁䅫杢求䡁䅉兙獂䍁䅁杕求䡁䅍睢ㅂ䡁䅉睙求䡁䅍䅉䑂䝁䄸杣睂䝁䄸杣桂䡁䅑兡療䝁䄴䅉潁䙁䅙党畂䡁䅑兤祂䝁䅕杣灁䍁䅁䅎ㅁ䍁䄴䅏祁䍁䅕睏杁䙁䅍兤瑂䝁䅫䅤療䝁䄰睢杁䕁䅍睢祂䡁䅁睢祂䝁䅅䅤灂䝁䄸杢杁䍁䅧杖求䝁䄴䅤ㅂ䡁䅉党祂䍁䅫䅉ㅁ䑁䅑杌硁䑁䅣兊䅁䅁䅣䅁䵁䅁䅁杍㑁䑁䅕䅏ぁ䅁䅁杋䅁䅁䄴䅁祁䑁䅑睍穁䑁䅉睎䅁䅁䅁䅁䵁䅁䅁睎㉁䑁䅍睎硁䅁䅁䅋䅁䅁䅷䅁祁䑁䅣睎ぁ䑁䅉䅁䉁䅁䅁䅄䅁䑁䅉兏祁䑁䅑兏䅁䅁䅑䅁䵁䅁䅁杍㕁䑁䅅睎㕁䅁䅁児䅁䉁䅙䅁偂䙁䅣杔䙂䙁䅉睘䵂䕁䅫睕啂䅁䅁杁䅁䩁䄴䅁䍂䝁䅅睡湂䝁䅅䅤獂䝁䅅䅉䍂䝁䅅䅉䱂䝁䅣兙浂䝁䅕䅢桂䍁䅁䅋坂䝁䅕杢あ䡁䅕杣求䡁䅉克杁䑁䅅兎汁䑁䅳䅉呂䝁䅫入桂䝁䄴䅚桂䍁䅁杕求䡁䅍睢ㅂ䡁䅉睙求䡁䅍䅉潁䙁䅁䅤㕂䍁䅫䅉䵂䡁䅑䅚杁䍁䅧杖求䝁䄴䅤ㅂ䡁䅉党祂䍁䅫䅉㑁䑁䅕兊䅁䅁䄰䅁䵁䅁䅁睍睁䑁䅑杍㑁䅁䅁杂䅁䑁䅯䅁䭂䝁䅫杢䑂䝁䅧兤桂䝁䄴䅉䡂䡁䅉睢ㅂ䡁䅁䅉䑂䝁䄸杌獁䕁䅷䅤歂䍁䅁䅉硁䑁䅁䅍汁䅁䅁兏䅁偁䅯䅁呂䝁䄸睙灂䝁䅕䅤求䍁䅁䅚求䍁䅁䅕桂䡁䅉䅤灂䝁䅍兡睂䝁䅅䅤灂䝁䄸杢杁䕁䄰兡畂䝁䅫党祂䝁䅕䅉歂䡁䅕䅉呂䡁䅕䅚杁䕁䅍兙獂䝁䅕䅚療䝁䄴兡桂䍁䅁睕䉂䙁䅍䅉潁䙁䅙党畂䡁䅑兤祂䝁䅕杣灁䍁䅁兎汁䑁䅳䅉兂䡁䅉睢畂䡁䅫䅉卂䝁䅕督療䡁䅕杣橂䝁䅕督杁䕁䄴党㍂䍁䅁睑桂䝁䅷党歂䝁䄸杢灂䝁䅅䅉橂䝁䄸杢穂䝁䄸杣あ䝁䅫兤瑂䍁䅁䅋坂䝁䅕杢あ䡁䅕杣求䡁䅉克杁䑁䅫兎汁䅁䅁睁䅁䕁䅁䅁慂䝁䅫兢睂䝁䅷兙あ䡁䅍䅉䥂䝁䄸䅢歂䝁䅫杢湂䡁䅍䅉䵂䝁䅫兢灂䡁䅑党歂䍁䅁䅉硁䑁䅁䅍汁䅁䅁兂䅁䅁䅷䅁穁䑁䅁杍㉁䑁䅣䅁坁䅁䅁䅅䅁䕁䄸睤畂䝁䅕杣杁䑁䅅䅁䩁䅁䅁杍䅁䕁䅅杢湂䝁䅷睢杁䕁䅅兢求䡁䅉兡橂䝁䅅杢杁䡁䅁䅢橂䍁䅁䅉硁䑁䅁䅍汁䅁䅁杈䅁䍁䅧䅁偂䙁䅣杔䙂䙁䅉睘呂䕁䄴䅔時䕁䅫杔呂䙁䅑杔時䕁䅳兒婂䅁䅁䅃䅁䅁䅷䅁穁䑁䅍睍㑁䑁䅙䅁䭁䅁䅁䅙䅁䙁䅧兡畂䝁䅯兡桂䝁䄴睚杁䙁䅧兡畂䡁䅧兡畂䍁䅁兔灂䝁䄴兡畂䝁䅣䅉䩂䝁䄴䅚ㅂ䡁䅍䅤祂䡁䅫䅉䑂䝁䄸杌獁䍁䅁䅔あ䝁䅑杌杁䍁䅁免睁䑁䅁兊䅁䅁䅳䅁䵁䅁䅁睍硁䑁䅁䅎硁䅁䅁䅅䅁䅁䅷䅁穁䑁䅅杍㕁䑁䅙䅁䵁䅁䅁杶䅁䕁䅫杢橂䡁䅣兙獂䝁䅅䅉卂䝁䅕督療䡁䅕杣橂䝁䅕䅉潁䙁䅁䅤㕂䍁䅫䅉䵂䝁䅫兢灂䡁䅑党歂䍁䅁䅋坂䝁䅕杢あ䡁䅕杣求䡁䅉克杁䑁䅅兏畁䑁䅍李汁䑁䅳䅉呂䝁䅫杙桂䝁䄴入求䍁䅁睕あ䝁䅫䅢獂䡁䅣兙あ䝁䅕杣杁䕁䅷兡瑂䝁䅫䅤求䝁䅑䅉潁䙁䅙党畂䡁䅑兤祂䝁䅕杣灁䍁䅁䅏睁䍁䄴李ぁ䍁䅕䅁㡁䅁䅁䅄䅁䑁䅧免祁䑁䅕睍䅁䅁䄴䅁䵁䅁䅁杍㍁䑁䅕䅍硁䅁䅁李䅁䍁䅑䅁䩂䕁䅣睔杁䕁䅷兡瑂䝁䅫䅤求䝁䅑䅉杁䑁䅅䅍睁䍁䅕䅁䝂䅁䅁䅄䅁䑁䅉䅏睁䑁䅉免䅁䅁䄸䅁䵁䅁䅁杍㍁䑁䅅䅏㍁䅁䅁䅌䅁䉁䅁䅁偂䡁䅣杢求䡁䅉䅉祁䅁䅁充䅁䅁䅙䅁佂䕁䅅䅁十䅁䅁䅄䅁䑁䅍䅏㍁䑁䅁睎䅁䍁䅕䅁䵁䅁䅁睍穁䑁䅣兏ㅁ䅁䅁䅊䅁䅁䅷䅁穁䑁䅉兎ㅁ䑁䅉䅁桁䅁䅁䅄䅁䑁䅉睎穁䑁䅙睍䅁䉁䅍䅁䝂䅁䅁杔灂䡁䅁䅣療䝁䄴䅉婂䝁䅅睡灂䝁䄴䅉䱂䝁䄸睚㕂䝁䄸䅉䑂䝁䄸杌獁䍁䅁䅔あ䝁䅑杌杁䍁䅁免睁䑁䅁兊䅁䑁䅑䅁㑁䅁䅁䅕啂䍁䅁杖桂䝁䅷党杁䕁䅫杢歂䝁䄸杢求䡁䅍兡桂䍁䅁䅖楂䝁䅳䅉杁䑁䅅䅍睁䍁䅕䅁啁䅁䅁䅄䅁䑁䅉兏ぁ䑁䅅李䅁䉁䄸䅁䵁䅁䅁睍硁䑁䅅睍㑁䅁䅁杓䅁䅁䅉䅁䅁䉁䅯䅁䵁䅁䅁杍㍁䑁䅕免㕁䅁䅁兆䅁䅁䅷䅁穁䑁䅅杍㕁䑁䅕䅁塁䅁䅁䅑䅁䙁䅙兙獂䡁䅑党祂䡁䅉兙杁䙁䅁䅢桂䡁䅑兡畂䡁䅕兢杁䕁䅷兡瑂䝁䅫䅤求䝁䅑䅉杁䑁䅅䅍睁䍁䅕䅁奁䅁䅁䅄䅁䑁䅣李穁䑁䅙李䅁䉁䅫䅁䵁䅁䅁睎㉁䑁䅍睎ぁ䅁䅁睇䅁䅁䅷䅁祁䑁䅙䅍㍁䑁䅍䅁捁䅁䅁䅰䅁䙁䅙兙獂䡁䅑党祂䡁䅉兙杁䙁䅁䅢桂䡁䅑兡畂䡁䅕兢杁䕁䅷兡瑂䝁䅫䅤求䝁䅑䅉潁䕁䅙杣桂䝁䅍䅤灂䝁䄸杢桂䝁䅷克杁䍁䅕睏杁䕁䄴睢祂䡁䅑䅡桂䝁䄰䅉兂䝁䅷兙あ䝁䅫杢ㅂ䝁䄰䅉䥂䝁䄸䅢歂䝁䅫杢湂䡁䅍䅉䵂䝁䅫兢灂䡁䅑党歂䍁䅁䅉硁䑁䅁䅍汁䅁䅁睎䅁䉁䅉䅁䑂䝁䄸䅢療䝁䄰杙灂䝁䅅䅁䡃䅁䅁杊䅁䕁䅣䅢求䝁䄴睙療䡁䅉党杁䡁䅁䅢橂䍁䅁䅉硁䑁䅁䅍汁䅁䅁先䅁䅁䅷䅁穁䑁䅙免祁䑁䅁䅁⽁䅁䅁䅄䅁䑁䅉睎㉁䑁䅣杍䅁䍁䄴䅁䅂䅁䅁兔桂䡁䅉兡あ䝁䅅杢桂䍁䅁兔灂䝁䄴党祂䝁䅅䅢穂䍁䅁䅔灂䝁䄰兡あ䝁䅕䅚杁䍁䅁免睁䑁䅁兊䅁䍁䅁䅁兂䅁䅁杔療䡁䅉䅤潂䝁䅅兢杁䙁䅁䅢桂䡁䅑兡畂䡁䅕兢杁䕁䅧睢獂䝁䅑兡畂䝁䅣督杁䕁䅷兡瑂䝁䅫䅤求䝁䅑䅉杁䑁䅅䅍睁䍁䅕䅁楁䅁䅁杍䅁䙁䅑兙獂䝁䄸杢杁䕁䄰党あ䝁䅅䅢穂䍁䅁睑療䡁䅉䅣畁䍁䅁䅉硁䑁䅁䅍汁䅁䅁兌䅁䅁䅷䅁㍁䑁䅙兏祁䑁䅑䅁橁䅁䅁䅄䅁䑁䅉睎穁䑁䅣睎䅁䍁䅙䅁䵁䅁䅁睍㍁䑁䅙兎㍁䅁䅁睊䅁䅁䅷䅁祁䑁䅙兎㉁䑁䅁䅁灁䅁䅁杨䅁䕁䅍睢祂䝁䅕䅗杁䕁䅧睢獂䝁䅑兡畂䝁䅣䅉䍂䍁䄴杖畁䍁䅁䅋坂䝁䅕杢あ䡁䅕杣求䡁䅉克杁䑁䅫兏畁䑁䅫䅎汁䑁䅳䅉乂䝁䅫杢求䡁䅣睢祂䝁䅳党祂䡁䅍䅉潁䙁䅙党畂䡁䅑兤祂䝁䅕杣灁䍁䅁䅍畁䑁䅁李汁䅁䅁睋䅁䍁䅁䅁坂䝁䅅䅢求䍁䅁睕畁䕁䅅杌杁䍁䅁免睁䑁䅁兊䅁䍁䄸䅁䵁䅁䅁睍祁䑁䅫兎ぁ䅁䅁䅍䅁䅁䅷䅁穁䑁䅕睍ㅁ䑁䅉䅁灂䅁䅁䅄䅁䑁䅍䅎穁䑁䅑杍䅁䑁䅅䅁䵁䅁䅁杍ぁ䑁䅧兏硁䅁䅁杍䅁䅁䅷䅁祁䑁䅫免ㅁ䑁䅣䅁穁䅁䅁䅄䅁䑁䅉睎硁䑁䅍李䅁䑁䅧䅁䵁䅁䅁睍ぁ䑁䅧䅎ぁ䅁䅁杏䅁䅁䅷䅁祁䑁䅣李睁䑁䅕䅁㝁䅁䅁䅍䅁䕁䅉睢獂䝁䅫䅚求䝁䄴䅉䉂䕁䅉䅉潁䡁䅁兤楂䝁䅷克杁䍁䅁免睁䑁䅁兊䅁䑁䄴䅁䍂䅁䅁睕灂䝁䅉兙畂䡁䅫党杁䙁䅍䅤灂䝁䅷䅢㍂䝁䅅䅤求䡁䅉䅉䵂䝁䅫兢灂䡁䅑党歂䍁䅁䅉硁䑁䅁䅍汁䅁䅁䅑䅁䍁䅑䅁呂䙁䅁睘兂䕁䅅杕䙂䕁䄴䅖時䕁䅍睔噂䕁䄴䅖卂䙁䅫䅁㕂䅁䅁䅄䅁䑁䅉䅏㉁䑁䅉兏䅁䕁䅅䅁䵁䅁䅁睎ㅁ䑁䅫睎祁䅁䅁村䅁䅁䅷䅁穁䑁䅁兎穁䑁䅉䅁䑂䅁䅁杷䅁䕁䅫兢睂䝁䅅䅢桂䍁䅁䅕獂䝁䅅䅤灂䝁䄴兤瑂䍁䅁䅓療䝁䅷䅚灂䝁䄴睚穂䍁䅁䅔灂䝁䄰兡あ䝁䅕䅚杁䍁䅧杖求䝁䄴䅤ㅂ䡁䅉党祂䍁䅫䅉㍁䑁䅍杌祁䑁䅙兊㝁䍁䅁村獂䝁䅅睙牂䍁䅁兒橂䝁䄸杢療䝁䄰兡橂䍁䅁兒瑂䡁䅁睢㍂䝁䅕杣瑂䝁䅕杢あ䍁䅁䅋坂䝁䅕杢あ䡁䅕杣求䡁䅉克杁䑁䅉李畁䑁䅣䅎汁䅁䅁䅒䅁䅁䅷䅁ぁ䑁䅁睎㉁䑁䅣䅁䙂䅁䅁䅄䅁䑁䅉睎㕁䑁䅕免䅁䕁䅣䅁㉃䅁䅁睕灂䝁䅉兙畂䡁䅫党杁䙁䅍䅤灂䝁䅷䅢㍂䝁䅅䅤求䡁䅉䅉䵂䝁䅫兢灂䡁䅑党歂䍁䅁䅋坂䝁䅕杢あ䡁䅕杣求䡁䅉克杁䑁䅕䅍汁䑁䅳䅉䩂䝁䄰䅣桂䝁䅷兙杁䙁䅁䅢桂䡁䅑兡畂䡁䅕兢杁䕁䅧睢獂䝁䅑兡畂䝁䅣督杁䕁䅷兡瑂䝁䅫䅤求䝁䅑䅉潁䙁䅙党畂䡁䅑兤祂䝁䅕杣灁䍁䅁兎睁䍁䅕䅁䥂䅁䅁䅱䅁䕁䅣党畂䝁䅕杣桂䝁䅷䅉佂䝁䅫睙牂䝁䅕䅢杁䕁䅍睢瑂䡁䅁兙畂䡁䅫䅉呂䍁䄴兑畁䍁䅁䅉ㅁ䑁䅁兊㝁䍁䅁睕潂䝁䅕杣祂䝁䅫䅤あ䍁䅁兓畂䡁䅑党祂䝁䄴兙あ䝁䅫睢畂䝁䅅䅢杁䕁䅍睢祂䡁䅁睢祂䝁䅅䅤灂䝁䄸杢杁䍁䅧杖求䝁䄴䅤ㅂ䡁䅉党祂䍁䅫䅉ㅁ䑁䅁兊䅁䕁䅫䅁㉁䅁䅁村祂䝁䅅来灂䝁䅷兡桂䝁䄴䅉佂䝁䅫睙牂䝁䅕䅢杁䙁䅁䅢橂䍁䅁䅉硁䑁䅁䅍汁䅁䅁睕䅁偁䅯䅁兂䡁䅉兡㉂䝁䅅䅤求䍁䅁兓畂䡁䅑党祂䝁䅕督あ䍁䅁䅋䑂䝁䅅杣祂䝁䅫党歂䍁䅫䅉㑁䍁䄴兎汁䑁䅳䅉䉂䝁䅙杣灂䝁䅍兙畂䍁䅁杕桂䝁䅫杢楂䝁䄸睤杁䕁䄰兡畂䝁䅕杣桂䝁䅷督杁䕁䅷兡瑂䝁䅫䅤求䝁䅑䅉潁䙁䅙党畂䡁䅑兤祂䝁䅕杣灁䍁䅁䅎硁䍁䄴兎汁䑁䅳䅉坂䝁䅅䅢あ䝁䅕杣祂䝁䅅䅉兂䝁䅷兙あ䝁䅫杢ㅂ䝁䄰䅉䵂䝁䅫兢灂䡁䅑党歂䍁䅁䅋坂䝁䅕杢あ䡁䅕杣求䡁䅉克杁䑁䅕䅍汁䅁䅁睓䅁䅁䅷䅁穁䑁䅍睎祁䑁䅣䅁䵂䅁䅁䅄䅁䑁䅉睎ぁ䑁䅕睍䅁䕁䄰䅁獄䅁䅁睑療䝁䄴督療䝁䅷兡歂䝁䅅䅤求䝁䅑䅉乂䝁䅫杢灂䝁䄴睚杁䝁䅅杢歂䍁䅁兓畂䡁䅙党穂䡁䅑兢求䝁䄴䅤穂䍁䅁䅔あ䝁䅑䅉潁䕁䄸䅣あ䝁䅫睢畂䝁䅕党灁䍁䅁李㑁䍁䅕睏杁䕁䅯兡畂䝁䅍䅡ㅂ䝁䅅杢杁䕁䅣杣療䡁䅕䅣杁䕁䅫杢あ䝁䅕杣畂䝁䅅䅤灂䝁䄸杢桂䝁䅷䅉卂䝁䅕督療䡁䅕杣橂䝁䅕督杁䕁䅍睢畁䍁䅁䅔あ䝁䅑䅉潁䕁䄸䅣あ䝁䅫睢畂䝁䄸杣灁䍁䅁睍祁䍁䅕䅁佂䅁䅁䅄䅁䑁䅉䅏㍁䑁䅉兎䅁䕁䄸䅁獄䅁䅁杔灂䝁䅍睡求䝁䅷䅉䉂䡁䅍兡桂䍁䅁睑療䡁䅉䅣療䡁䅉兙あ䝁䅫睢畂䍁䅁䅋坂䝁䅕杢あ䡁䅕杣求䡁䅉克杁䑁䅙兎汁䑁䅳䅉兂䝁䅅睙灂䝁䅙兡橂䍁䅁兔求䡁䅑兙獂䡁䅍䅉䑂䝁䄸杌獁䍁䅁䅔あ䝁䅑杌杁䍁䅧杖求䝁䄴䅤ㅂ䡁䅉党祂䍁䅫䅉穁䑁䅍杌ㅁ䍁䅕睏杁䙁䅍睢煂䝁䅫䅤㙂䍁䅁睑療䡁䅉䅣療䡁䅉兙あ䝁䅫睢畂䍁䅁䅋坂䝁䅕杢あ䡁䅕杣求䡁䅉克杁䑁䅅杌ㅁ䍁䅕䅁兂䅁䅁杯䅁䙁䅁兤楂䝁䅷兡橂䍁䅁杓療䝁䅫杢あ䍁䅁睕あ䝁䄸睙牂䍁䅁睑療䝁䄰䅣桂䝁䄴入杁䕁䄰兡畂䝁䅫杢湂䍁䅁兙畂䝁䅑䅉乂䝁䅕䅤桂䝁䅷䅢ㅂ䡁䅉睚灂䝁䅍兙獂䍁䅁睑療䝁䄰䅣桂䝁䄴入杁䕁䄴睢祂䝁䅫䅢穂䝁䅳䅉佂䝁䅫睙牂䝁䅕䅢杁䍁䅁免睁䑁䅁兊䅁䙁䅅䅁䵁䅁䅁杍㑁䑁䅕䅎穁䅁䅁杕䅁䙁䅑䅁䑂䝁䅧兡畂䝁䅅䅉呂䡁䅑兙あ䝁䅕兌偂䡁䅣杢求䝁䅑䅉乂䝁䅫杢灂䝁䄴睚杁䕁䅕杢あ䝁䅕杣睂䡁䅉兡穂䝁䅕䅉杁䑁䅅䅍睁䍁䅕䅁獂䅁䅁䅄䅁䑁䅍杍㑁䑁䅣兎䅁䙁䅑䅁䍂䅁䅁睕求䝁䅑兡楂䝁䅕䅢療䍁䅁杕求䡁䅍睢ㅂ䡁䅉睙求䡁䅍䅉䵂䝁䅫兢灂䡁䅑党歂䍁䅁䅉硁䑁䅁䅍汁䅁䅁兖䅁佁䍉䅁䭂䝁䅫兤硂䡁䅕兙畂䍁䅁兓祂䝁䄸杢杁䝁䅅杢歂䍁䅁睕あ䝁䅕党獂䍁䅁䅋䡂䡁䅉睢ㅂ䡁䅁克杁䕁䅍睢畁䍁䅷䅉䵂䡁䅑䅚畁䍁䅁䅋坂䝁䅕杢あ䡁䅕杣求䡁䅉克杁䑁䅅免畁䑁䅁兎汁䑁䅳䅉佂䝁䅫睙牂䝁䅕䅢杁䑁䅉䅏杁䕁䅍兙睂䝁䅫䅤桂䝁䅷䅉䑂䝁䄸杣睂䍁䄴䅉潁䕁䅍兙祂䡁䅉兡求䝁䅑克杁䑁䅧杌ㅁ䑁䅙兊㝁䍁䅁杓灂䝁䄴睙潂䡁䅕兙畂䍁䅁睒祂䝁䄸兤睂䍁䅁兓畂䡁䅑党祂䝁䄴兙あ䝁䅫睢畂䝁䅅䅢杁䙁䅉党穂䝁䄸兤祂䝁䅍党穂䍁䅁睑療䍁䄴䅉䵂䡁䅑䅚杁䍁䅧杖求䝁䄴䅤ㅂ䡁䅉党祂䍁䅫䅉ㅁ䍁䄴兏穁䍁䅕睏杁䕁䄰党あ䝁䅅䅢獂䡁䅕杣湂䝁䅫睙桂䝁䅷䅉䑂䝁䄸杣睂䝁䄸杣桂䡁䅑兡療䝁䄴䅉療䝁䅙䅉䑂䝁䅧兡畂䝁䅅䅉䵂䡁䅑䅚畁䍁䅁䅋坂䝁䅕杢あ䡁䅕杣求䡁䅉克杁䑁䅕李畁䑁䅫睎汁䑁䅳䅉䭂䝁䅫䅉䵂䝁䅫杢杁䕁䅯兡杁䕁䅕杢杁䕁䄴兡橂䝁䅳党獂䍁䅁兓畂䝁䅑兤穂䡁䅑杣㕂䍁䅁睑療䍁䄴䅌杁䕁䅷䅤歂䍁䄴䅉潁䙁䅙党畂䡁䅑兤祂䝁䅕杣灁䍁䅁免硁䍁䄴䅍ㅁ䍁䅕睏杁䕁䄰兡畂䝁䅕杣桂䝁䅷䅉卂䝁䅕督療䡁䅕杣橂䝁䅕督杁䕁䅑党㉂䝁䅕䅢療䡁䅁兢求䝁䄴䅤杁䕁䅍睢祂䡁䅁䅉潁䙁䅙党畂䡁䅑兤祂䝁䅕杣灁䍁䅁睍畁䑁䅫䅎汁䑁䅳䅉兂䡁䅉兡㉂䝁䅅䅤求䍁䅁兓畂䡁䅑党祂䝁䅕督あ䍁䅁䅋坂䝁䅕杢あ䡁䅕杣求䡁䅉克杁䑁䅉杌ㅁ䍁䅕䅁坂䅁䅁䄰䅁䕁䄰杤求䝁䅷兙睂䝁䅧兙畂䝁䅑兙杁䕁䅧睢獂䝁䅑兡畂䝁䅣督杁䍁䅧䅕祂䝁䄸䅣祂䝁䅫党あ䝁䅅杣㕂䍁䅫䅉䵂䝁䅫兢灂䡁䅑党歂䍁䅁䅋坂䝁䅕杢あ䡁䅕杣求䡁䅉克杁䑁䅧杌穁䍁䅕睏杁䙁䅍兡楂䝁䅅杢㕂䝁䅕䅉呂䡁䅑兡獂䝁䅷睤桂䡁䅑党祂䍁䅁䅔灂䝁䄰兡あ䝁䅕䅚杁䍁䅧杖求䝁䄴䅤ㅂ䡁䅉党祂䍁䅫䅉㕁䑁䅅杌㍁䍁䅕䅁塂䅁䅁䅄䅁䑁䅍䅏ㅁ䑁䅁䅍䅁䙁䅧䅁煃允䅁兓啂䕁䄸睑䥂䙁䅕䅉䑂䝁䄸杣睂䝁䄸杣桂䡁䅑兡療䝁䄴䅉潁䙁䅙党畂䡁䅑兤祂䝁䅕杣灁䍁䅁兊㝁䍁䅁杓桂䡁䅁兙畂䍁䅁睔祂䝁䅣兙畂䝁䅫来桂䡁䅑兡療䝁䄴䅉浂䝁䄸杣杁䕁䄰党あ䝁䅅䅢穂䍁䅁兙畂䝁䅑䅉䙂䝁䄴党祂䝁䅣入杁䙁䅍党橂䡁䅕杣灂䡁䅑入杁䍁䅧杖求䝁䄴䅤ㅂ䡁䅉党祂䍁䅫䅉汁䑁䅳䅉䩂䡁䅙兙畂䝁䅧睢求䍁䅁兔灂䝁䄴党穂䍁䅁䅔あ䝁䅑杌杁䍁䅧杖求䝁䄴䅤ㅂ䡁䅉党祂䍁䅫䅉㉁䑁䅑兊㝁䍁䅁杓䡂䕁䅍䅉䥂䝁䄸䅢歂䝁䅫杢湂䡁䅍䅉䑂䝁䄸杣睂䝁䄸杣桂䡁䅑兡療䝁䄴䅉潁䙁䅙党畂䡁䅑兤祂䝁䅕杣灁䍁䅁兊㝁䍁䅁村獂䝁䅅睙牂䍁䅁兒橂䝁䄸杢療䝁䄰兡橂䍁䅁兒瑂䡁䅁睢㍂䝁䅕杣瑂䝁䅕杢あ䍁䅁䅋坂䝁䅕杢あ䡁䅕杣求䡁䅉克杁䑁䅉李汁䅁䅁兗䅁䅁䅷䅁穁䑁䅁睎睁䑁䅣䅁慂䅁䅁䅄䅁䑁䅍免睁䑁䅧兏䅁䙁䅳䅁䕃䅁䅁䅓療䝁䄴睚牂䝁䄸杢湂䍁䅁睑䍂䕁䅷䅉䵂䝁䅫兢灂䡁䅑党歂䍁䅁䅋䝂䡁䅉兙橂䡁䅑兡療䝁䄴兙獂䍁䅫䅉汁䑁䅳䅉兂䙁䅑䅉䉂䝁䄴䅤桂䝁䄰䅉潁䙁䅁党祂䡁䅍党祂䝁䄸克杁䙁䅑杙牂䍁䅁䅉硁䑁䅁䅍汁䅁䅁䅘䅁䅁䅷䅁穁䑁䅑杍ㅁ䑁䅣䅁摂䅁䅁䄵䅁䙁䅁兙橂䝁䅫杚灂䝁䅍䅉乂䝁䅕䅤桂䝁䅷督杁䕁䅍睢畁䍁䅷䅉䵂䡁䅑䅚畁䍁䅁䅋坂䝁䅕杢あ䡁䅕杣求䡁䅉克杁䑁䅍李汁䑁䅳䅉佂䝁䅫睙牂䝁䅕䅢杁䕁䅅督灂䝁䅅䅉䑂䝁䄸杣睂䝁䄸杣桂䡁䅑兡療䝁䄴䅉潁䙁䅙党畂䡁䅑兤祂䝁䅕杣灁䍁䅁李睁䍁䅕睏杁䙁䅍睢煂䝁䅫䅤㙂䍁䅁睑療䡁䅉䅣療䡁䅉兙あ䝁䅫睢畂䍁䅁䅋坂䝁䅕杢あ䡁䅕杣求䡁䅉克杁䑁䅑兊䅁䙁䄴䅁㑃䅁䅁睕灂䝁䅉兙畂䡁䅫党杁䙁䅍䅤灂䝁䅷䅢㍂䝁䅅䅤求䡁䅉䅉䵂䝁䅫兢灂䡁䅑党歂䍁䅁䅋坂䝁䅕杢あ䡁䅕杣求䡁䅉克杁䑁䅣䅎汁䑁䅳䅉佂䝁䅕睤穂䝁䅧党獂䝁䅙䅉硁䑁䅍睍ㅁ䍁䅁䅕祂䝁䄸䅣祂䝁䅫党あ䝁䅅杣㕂䍁䅁䅔灂䝁䄰兡あ䝁䅕䅚杁䍁䅧杖求䝁䄴䅤ㅂ䡁䅉党祂䍁䅫䅉祁䑁䅙兊䅁䙁䄸䅁畁䅁䅁睕兂䙁䄸䅕䉂䙁䅉兒佂䙁䅑睘䑂䕁䄸兔兂䕁䅅杔婂䙁䄸杔䉂䕁䄰兒䅁䡁䅉䅁䕂䅁䅁杒灂䡁䅉督あ䍁䅁兕ㅂ䝁䅅杢あ䡁䅕兢杁䕁䄰兡畂䝁䅕杣桂䝁䅷督杁䕁䅷䅤歂䍁䄴䅉杁䑁䅅䅍睁䍁䅕䅁杂䅁䅁䅄䅁䑁䅍睍㑁䑁䅍杍䅁䝁䅅䅁䕂䅁䅁兑睂䡁䅁兡桂䝁䄴䅉䑂䝁䅅䅣灂䡁䅑兙獂䍁䅁兑歂䡁䅙兡穂䝁䄸杣㕂䍁䅁䅔䵂䙁䅁䅉杁䑁䅅䅍睁䍁䅕䅁楂䅁䅁䅄䅁䑁䅉睎㉁䑁䅍䅎䅁䝁䅍䅁ぁ允䅁兒卂䕁䅅兔䙂䙁䅑䅉呂䍁䄴兑畁䍁䅁䅋坂䝁䅕杢あ䡁䅕杣求䡁䅉克杁䑁䅕李汁䑁䅳䅉佂䝁䅫䅣睂䝁䄸杢杁䙁䅍䅤求䝁䅕䅢杁䕁䄴兡穂䡁䅍䅡灂䝁䄴䅉䑂䝁䄸杌獁䍁䅁䅔あ䝁䅑杌杁䍁䅧杖求䝁䄴䅤ㅂ䡁䅉党祂䍁䅫䅉硁䑁䅁兊㝁䍁䅁睕療䝁䅍兡灄䡁䅑儶杁䙁䅑党祂䡁䅉兡あ䝁䄸杣灂䝁䅅䅢求䍁䅁睑桂䝁䅷儶歂䝁䄸杢灂䝁䅕杢畂䝁䅕䅉歂䝁䅕䅉兂䝁䅅杣あ䝁䅫睙灂䡁䅁兙あ䝁䅫睢畂䍁䅁兓畂䝁䅑兤穂䡁䅑杣灂䝁䅕䅢獂䝁䅕䅉潁䙁䅙党畂䡁䅑兤祂䝁䅕杣灁䍁䅁睍ぁ䍁䅕䅁歂䅁䅁䅄䅁䑁䅉睎硁䑁䅑李䅁䝁䅕䅁䵁䅁䅁杍㑁䑁䅫兏祁䅁䅁杚䅁䅁䅷䅁祁䑁䅣兎穁䑁䅅䅁湂䅁䅁杰䅁䙁䅧兙獂䝁䄸䅤潂䝁䄸䅉䑂䝁䄸兢睂䝁䅅杢㕂䍁䅁䅔灂䝁䄰兡あ䝁䅕䅚杁䍁䅧睔睂䡁䅑兡療䝁䄴党求䍁䅫䅉㑁䑁䅁兊㝁䍁䅁村獂䝁䅅睙牂䡁䅍䅤療䝁䄴党杁䕁䄰兡畂䝁䅕杣桂䝁䅷督杁䕁䅷兡瑂䝁䅫䅤求䝁䅑䅉潁䕁䄸䅣あ䝁䅫睢畂䝁䄸杣灁䍁䅁杍睁䍁䅕䅁潂䅁䅁杊䅁䙁䅑党祂䡁䅉兙浂䝁䅅兢求䍁䅁睔㕂䍁䅁䅉硁䑁䅁䅍汁䅁䅁条䅁䅁䅷䅁㑁䑁䅁䅏祁䑁䅙䅁牂䅁䅁杷䅁䕁䅅杚祂䝁䅫睙桂䝁䄴䅉卂䝁䅅兡畂䝁䅉睢㍂䍁䅁兔灂䝁䄴党祂䝁䅅䅢穂䍁䅁䅔灂䝁䄰兡あ䝁䅕䅚杁䍁䅧杖求䝁䄴䅤ㅂ䡁䅉党祂䍁䅫䅉ㅁ䑁䅑兊㝁䍁䅁兓瑂䡁䅁兙獂䝁䅅䅉兂䝁䅷兙あ䝁䅫杢ㅂ䝁䄰䅉䥂䝁䄸䅢歂䝁䅫杢湂䡁䅍䅉䵂䝁䅫兢灂䡁䅑党歂䍁䅁䅋坂䝁䅕杢あ䡁䅕杣求䡁䅉克杁䑁䅑李汁䅁䅁兢䅁䅁䅷䅁穁䑁䅁兎硁䑁䅑䅁畂䅁䅁䅄䅁䑁䅍䅍祁䑁䅣睍䅁䝁䄸䅁奁䅁䅁睕㍂䝁䅫䅤㙂䝁䅕杣獂䝁䅅杢歂䅁䅁八䅁偁䅁䅁䙂䙁䅉兑乂䕁䅕䅖杁䙁䅍杌䉂䍁䄴䅉潁䙁䅙党畂䡁䅑兤祂䝁䅕杣灁䍁䅁睍㑁䍁䄴睎汁䑁䅳䅉啂䡁䅍兡畂䝁䅣督潂䝁䅅杢杁䕁䅧睢獂䝁䅑兡畂䝁䅣䅉䡂䡁䅉睢ㅂ䡁䅁䅉䑂䝁䄸杌獁䍁䅁䅔あ䝁䅑杌杁䍁䅧杖求䝁䄴䅤ㅂ䡁䅉党祂䍁䅫䅉ㅁ䑁䅅杌穁䍁䅕睏杁䙁䅁䅖杁䕁䅅杢あ䝁䅅兢杁䍁䅧䅕求䡁䅉督求䡁䅉睢灁䍁䅁䅖楂䝁䅳䅉潁䙁䅙党畂䡁䅑兤祂䝁䅕杣灁䍁䅁免睁䍁䅕䅁睂䅁䅁䅄䅁䑁䅍杍ㅁ䑁䅕睍䅁䡁䅅䅁㉁䅁䅁睕兂䙁䄸兖䵂䙁䅑睘兂䕁䅅杕䙂䕁䄴䅖時䕁䅍睔乂䙁䅁兑佂䙁䅫睘佂䕁䅅兔䙂䅁䅁督䅁䍁䅁䅁呂䙁䅁睘䑂䕁䄸兖佂䙁䅑杕婂䙁䄸杔䉂䕁䄰兒䅁䡁䅑䅁慁䅁䅁睕療䡁䅕䅤潂䍁䅁兑浂䡁䅉兡橂䝁䅅䅁ㅂ䅁䅁杯䅁䙁䅍䅤桂䡁䅑党瑁䕁䄸睤畂䝁䅕䅚杁䕁䅅督穂䝁䅕䅤穂䍁䅁睕ㅂ䡁䅁党祂䡁䅙兡穂䝁䅫睢畂䍁䅁兑畂䝁䅑䅉䉂䝁䅑兢灂䝁䄴兡穂䡁䅑杣桂䡁䅑兡療䝁䄴䅉䑂䝁䄸兢瑂䝁䅫督穂䝁䅫睢畂䍁䅁睔浂䍁䅁睒桂䝁䄴督ㅂ䍁䅁䅕祂䝁䄸杤灂䝁䄴睙灂䝁䅅䅢䅁䡁䅙䅁奁䅁䅁睕療䡁䅕䅤潂䍁䅁睓療䡁䅉党桂䅁䅁睤䅁䍁䄴䅁䭂䝁䅫杢橂䝁䅧兤桂䝁䄴䅉潁䕁䅉杖䩂䍁䅫䅉䵂䝁䅫兢灂䡁䅑党歂䅁䅁䅥䅁䍁䅷䅁呂䙁䅁睘噂䕁䅷䅖時䙁䅁兑卂䕁䅕杔啂䙁䄸睑偂䙁䅕杔啂䙁䅉兗䅁䡁䅯䅁䵁䅁䅁睑潂䝁䅫杢桂䅁䅁睥䅁䅁䅯䅁䑂䡁䅕杙桂䅁䅁䅦䅁䍁䅷䅁佂䕁䄸杕䕂䕁䅫䅔獁䍁䅁睕䉂䙁䅍睏杁䙁䅁杣療䝁䄰睢呂䡁䅕䅚䅁䡁䄰䅁佁䅁䅁杒祂䝁䅅杢橂䝁䅕䅁⭂䅁䅁杖䅁䕁䄴兡畂䝁䅣杙療䍁䅁睑療䝁䄴䅤求䝁䄰䅣療䡁䅉兙祂䡁䅫䅉䍂䡁䅉兤畂䡁䅁䅉䵂䡁䅫睚求䝁䄴䅚杁䕁䅍睢畁䍁䅷䅉䵂䡁䅑䅚畁䅁䅁睦䅁䉁䅑䅁䩂䝁䄴䅚療䝁䄴党穂䝁䅫兙䅁䥁䅁䅁允䅁䅁杖灂䝁䅕䅤畂䝁䅅兢䅁䥁䅅䅁奁䅁䅁䅕潂䝁䅫䅢灂䡁䅁䅣灂䝁䄴党穂䅁䅁杧䅁䅁䅧䅁䍂䙁䅙兓䅁䥁䅍䅁歂䅁䅁䅗灂䝁䄴条灂䝁䅅杢湂䍁䅁杔療䝁䄴杒求䡁䅉杣療䡁䅕督杁䕁䄰党あ䝁䅅䅢杁䕁䅫杢歂䡁䅕督あ䡁䅉入杁䍁䅧睒祂䝁䄸兤睂䍁䅫䅉䑂䝁䄸杌䵂䡁䅑䅚䅁䥁䅑䅁啁䅁䅁䅓療䝁䄴睚杁䕁䅳睢畂䝁䅣䅁䙃䅁䅁杄䅁䕁䅉杣桂䡁䅯兡獂䅁䅁杨䅁䉁䄴䅁噂䝁䄴兡あ䝁䅕䅚杁䕁䅳兡畂䝁䅣䅚療䝁䄰䅁䥃䅁䅁䅈䅁䙁䅁睕䡂䍁䅁睒祂䝁䄸兤睂䍁䅁䅔あ䝁䅑䅁䩃䅁䅁䅄䅁䕁䅯兙睂䝁䅅杢䅁䥁䅯䅁㑁䅁䅁䅖潂䝁䅕䅉呂䝁䅧兙畂䝁䅑兤牂䝁䅅䅉䡂䡁䅉睢ㅂ䡁䅁䅉兂䡁䅑入杁䕁䅷䅤歂䍁䄴䅁䱃䅁䅁杅䅁䕁䅣兤求䡁䅉杢穂䝁䅕入䅁䥁䅷䅁佁䅁䅁睕㍂䝁䅕䅚求䝁䄴䅁乃䅁䅁杊䅁䙁䅍䅡桂䝁䄴䅚ㅂ䝁䅳兙杁䙁䅉党穂䝁䄸兤祂䝁䅍党穂䅁䅁杪䅁䉁䅑䅁䉂䡁䅕督あ䡁䅉兙獂䝁䅫兙䅁䥁䄸䅁佁䅁䅁杕ㅂ䡁䅍督灂䝁䅅䅁元䅁䅁杄䅁䕁䅍兙畂䝁䅅䅚桂䅁䅁杫䅁䉁䄴䅁䝂䡁䅉兙畂䝁䅍党㝁䍁䅁杒祂䝁䅅杢橂䝁䅕䅁呃䅁䅁䅅䅁䙁䅑䄯祂䝁䅳兡㕂䝁䅕䅁啃䅁䅁杊䅁䕁䅫兢睂䝁䅅䅢桂䍁䅁䅕獂䝁䅅䅤灂䝁䄴兤瑂䍁䅁村坂䅁䅁公䅁䑁䅉䅁䑂䝁䅧兡畂䝁䅅䅉乂䝁䅫杢瑂䝁䅕䅤桂䝁䅷督杁䕁䅍睢畁䍁䅷䅉䵂䡁䅑䅚䅁䩁䅙䅁楃䅁䅁睕あ䝁䅅䅤求䍁䄰睢㍂䝁䄴党歂䍁䅁兑穂䡁䅍党あ䡁䅍䅉呂䡁䅕䅣求䡁䅉杤灂䡁䅍兡療䝁䄴䅉桂䝁䄴䅚杁䕁䅅䅚瑂䝁䅫杢灂䡁䅍䅤祂䝁䅅䅤灂䝁䄸杢杁䕁䅍睢瑂䝁䄰兡穂䡁䅍兡療䝁䄴䅉療䝁䅙䅉あ䝁䅧党杁䙁䅍䅤桂䡁䅑党杁䕁䅍睢ㅂ䝁䄴睙灂䅁䅁睬䅁䉁䅷䅁佂䝁䅕睤杁䕁䅍兙獂䝁䅕䅚療䝁䄴兡桂䅁䅁䅭䅁䅁䅧䅁噂䙁䅍兑䅁䩁䅫䅁䍂䅁䅁兓瑂䡁䅁兙獂䝁䅅䅉兂䝁䅷兙あ䝁䅫杢ㅂ䝁䄰䅉䥂䝁䄸䅢歂䝁䅫杢湂䡁䅍䅉䵂䝁䅫兢灂䡁䅑党歂䅁䅁杭䅁䉁䅧䅁佂䝁䅕䅤潂䝁䅕杣獂䝁䅅杢歂䡁䅍䅁扃䅁䅁䅅䅁䕁䅙兡畂䝁䅷兙畂䝁䅑䅁捃䅁䅁䅎䅁䕁䅙兡畂䝁䄴兡穂䝁䅧䅉乂䝁䅫杢求䡁䅉兙獂䡁䅍䅉䡂䡁䅉睢ㅂ䡁䅁䅉偂䡁䅫䅁摃䅁䅁䅕䅁䙁䅁䅖杁䕁䄰兡畂䝁䅕杣桂䝁䅷䅉䩂䝁䄴䅚ㅂ䡁䅍䅤祂䝁䅫䅉䩂䝁䄴䅚療䝁䄴党穂䝁䅫兙杁䍁䅧䅕求䡁䅉督求䡁䅉睢灁䅁䅁杮䅁䵁䉧䅁䵁䅉䅅䅁䕁䅁䅁睁䅁䅁䅁权䅁䅁䅁权䉁䅁䅁权䍁䅁䅁允䅁䅁䅅䅁䭁䅁䅍䅁䵁䅉䅅䅁䙁䅁䅁睁䅁䅁䅁权䅁䅁䅁权灁䅁䅁权䥁䅁䅁权剁䅁䅁允䅁䅁䅅䅁䭁䉁䅉䅁䵁䅉䅅䅁䑁䅁䅁睁䵁䅁䅁兂䅁䅁䅂䩫儱兑䅯入䅁䅁䅅䅁䉁䅁䅁权扃䅁䅁䍄䉁䅁䅁䅂䅁䅁䅍䅁䅁䅁䅯䅁䅁䅁䅯䅈䅁䅁䅯杁䅁䅁䅅䅁䉁䅁䅁权摁䅁䅁䍄䉁䅁䅁兂䅁䅁䅍䅁䅁䅁䅯䅁䅁䅁䅯杂䅁䅁䅯䅃䅁䅁䅯元䅁䅁䅅䅁䉁䅁䅁睁㑁橷䄰䍄䉁䅁䅁睁䅁䅁䅍䅄䅁䅁䅕䅁䅁䉍慣歭䭅䡁䅍䅁䉁䅁䅁允䅁䅁䅯睦䅁䅁杷允䅁䅁䅕䅁䑁䅁䅁䅁䭁䅁䅁䅁䭁䅁䅑䅁䭁䅁䅧䅁䭁䅁䅫䅁䉁䅁䅁允䅁䅁䅍塑䍚䅁杷允䅁䅁䅕䅁䑁䅁䅁䅁䭁䅁䅁䅁䭁䕁䅯䅁䭁䅁䅧䅁䭁䉁䅅䅁䉁䅁䅁允䅁䅁䅍敊⽧䅁杷允䅁䅁䅑䅁䑁䅁䅁䅁䭁䅁䅁䅁䭁䅁䅑䅁䭁䅁䅉䅁䉁䅁䅁允䅁䅁䅯兂䅁䅁杷允䅁䅁䅑䅁䑁䅁䅁䅁䭁䅁䅁䅁䭁䅁䅙䅁䭁䅁䅉䅁䉁䅁䅁允䅁䅁䅯睂䅁䅁杷允䅁䅁䅍䅁䑁䅁䅷䅁䙁䅁䅁䅁㑁噭䉂权㙂䅁䅁允䅁䅁䅅䅁䭁䡁䅕䅁䵁䅉䅅䅁䙁䅁䅁睁䅁䅁䅁权䅁䅁䅁权坁䅁䅁权䥁䅁䅁权䩁䅁䅁允䅁䅁䅅䅁䑁乁歚村䵁䅉䅅䅁䑁䅁䅁睁䵁䅁䅁兂䅁䅁䅄浮削兑䅯督䅁䅁䅅䅁䉁䅁䅁权慁䅁䅁䍄䉁䅁䅁兂䅁䅁䅍䅁䅁䅁䅯䅁䅁䅁䅯兇䅁䅁䅯䅃䅁䅁䅯充䅁䅁䅅䅁䉁䅁䅁权十䅁䅁䍄䉁䅁䅁䅂䅁䅁䅍䅁䅁䅁䅯䅁䅁䅁䅯权䅁䅁䅯杁䅁䅁䅅䅁䉁䅁䅁权䱁䅁䅁䍄䉁䅁䅁䅂䅁䅁䅍䅁䅁䅁䅯䅁䅁䅁䅯睏䅁䅁䅯杁䅁䅁䅅䅁䉁䅁䅁权㡁䅁䅁䍄䉁䅁䅁睁䅁䅁䅍䅄䅁䅁䅕䅁䅁乁㜶啕䭅䡁䅯䅁䉁䅁䅁允䅁䅁䅯䅮䅁䅁杷允䅁䅁䅕䅁䑁䅁䅁䅁䭁䅁䅁䅁䭁䉁䅁䅁䭁䅁䅧䅁䭁䉁䅅䅁䉁䅁䅁允䅁䅁䅯杅䅁䅁杷允䅁䅁䅑䅁䑁䅁䅁䅁䭁䅁䅁䅁䭁䅁䄴䅁䭁䅁䅉䅁䉁䅁䅁允䅁䅁䅯睃䅁䅁杷允䅁䅁䅑䅁䑁䅁䅁䅁䭁䅁䅁䅁䭁䉁䅫䅁䭁䅁䅉䅁䉁䅁䅁允䅁䅁䅯杇䅁䅁杷允䅁䅁䅕䅁䑁䅁䅁䅁䭁䅁䅁䅁䭁䅁䄸䅁䭁䅁䅧䅁䭁䅁䅫䅁䉁䅁䅁允䅁䅁䅍昫⽳䅁杷允䅁䅁䅕䅁䑁䅁䅁䅁䭁䅁䅁䅁䭁䕁䅕䅁䭁䅁䅧䅁䭁䅁䅫䅁䉁䅁䅁允䅁䅁䅍䜵䍒䅁杷允䅁䅁䅕䅁䑁䅁䅁䅁䭁䅁䅁䅁䭁䕁䅕䅁䭁䅁䅧䅁䭁䉁䅅䅁䉁䅁䅁允䅁䅁䅯杅䅁䅁杷允䅁䅁䅑䅁䑁䅁䅁䅁䭁䅁䅁䅁䭁䅁䅷䅁䭁䅁䅉䅁䉁䅁䅁允䅁䅁䅯兄䅁䅁杷允䅁䅁䅍䅁䑁䅁䅷䅁䙁䅁䅁䅁楂噭䉂权祂䅁䅁允䅁䅁䅅䅁䭁䉁䅯䅁䵁䅉䅅䅁䕁䅁䅁睁䅁䅁䅁权䅁䅁䅁权允䅁䅁权䍁䅁䅁允䅁䅁䅅䅁䭁䉁䄴䅁䵁䅉䅅䅁䑁䅁䅁睁䵁䅁䅁兂䅁䅁䅁浯偊兑䅯督䅁䅁䅅䅁䉁䅁䅁权慁䅁䅁䍄䉁䅁䅁兂䅁䅁䅍䅁䅁䅁䅯䅁䅁䅁䅯䅍䅁䅁䅯䅃䅁䅁䅯元䅁䅁䅅䅁䉁䅁䅁睁乃䔱䅉䍄䉁䅁䅁䅂䅁䅁䅍䅁䅁䅁䅯䅁䅁䅁䅯睅䅁䅁䅯杁䅁䅁䅅䅁䉁䅁䅁权啁䅁䅁䍄䉁䅁䅁䅂䅁䅁䅍䅁䅁䅁䅯䅁䅁䅁䅯兘䅁䅁䅯杁䅁䅁䅅䅁䉁䅁䅁权敂䅁䅁䍄䉁䅁䅁兂䅁䅁䅍䅁䅁䅁䅯䅁䅁䅁䅯杍䅁䅁䅯䅃䅁䅁䅯充䅁䅁䅅䅁䉁䅁䅁权十䅁䅁䍄䉁䅁䅁兂䅁䅁䅍䅁䅁䅁䅯䅁䅁䅁䅯兆䅁䅁䅯䅃䅁䅁䅯充䅁䅁䅅䅁䉁䅁䅁睁杄潦䉑䍄䉁䅁䅁兂䅁䅁䅍䅁䅁䅁䅯䅁䅁䅁䅯免䅁䅁䅯䅃䅁䅁䅯充䅁䅁䅅䅁䉁䅁䅁权十䅁䅁䍄䉁䅁䅁睁䅁䅁䅍䅄䅁䅁䅕䅁䅁䉧がご䭅䡁䅫䅁䉁䅁䅁允䅁䅁䅯杇䅁䅁杷允䅁䅁䅕䅁䑁䅁䅁䅁䭁䅁䅁䅁䭁䅁䄴䅁䭁䅁䅧䅁䭁䅁䅫䅁䉁䅁䅁允䅁䅁䅍湭䍖䅁杷允䅁䅁䅕䅁䑁䅁䅁䅁䭁䅁䅁䅁䭁䍁䅅䅁䭁䅁䅧䅁䭁䉁䅅䅁䉁䅁䅁允䅁䅁䅯杅䅁䅁杷允䅁䅁䅍䅁䑁䅁䅷䅁䙁䅁䅁䅁㕁噭䉂权あ䅁䅁允䅁䅁䅅䅁䭁䥁䄸䅁䵁䅉䅅䅁䑁䅁䅁睁䵁䅁䅁兂䅁䅁䅃汆㜵兑䅯入䅁䅁䅅䅁䉁䅁䅁权慁䅁䅁䍄䉁䅁䅁兂䅁䅁䅍䅁䅁䅁䅯䅁䅁䅁䅯睆䅁䅁䅯䅃䅁䅁䅯元䅁䅁䅅䅁䉁䅁䅁睁塃䕗䅉䍄䉁䅁䅁睁䅁䅁䅍䅄䅁䅁䅕䅁䅁䑌ㅤ䕯䭅䡁䅯䅁䉁䅁䅁允䅁䅁䅯杇䅁䅁杷允䅁䅁䅕䅁䑁䅁䅁䅁䭁䅁䅁䅁䭁䑁䅅䅁䭁䅁䅧䅁䭁䅁䅫䅁䉁䅁䅁允䅁䅁䅍硡䉂䅁杷允䅁䅁䅍䅁䑁䅁䅷䅁䙁䅁䅁䥁婂ㅭ䉂权㙂䅁䅁允䅁䅁䅅䅁䭁䉁䅯䅁䵁䅉䅅䅁䕁䅁䅁睁䅁䅁䅁权䅁䅁䅁权䉂䅁䅁权䍁䅁䅁允䅁䅁䅅䅁䭁䕁䅫䅁䵁䅉䅅䅁䙁䅁䅁睁䅁䅁䅁权䅁䅁䅁权佁䅁䅁权䥁䅁䅁权剁䅁䅁允䅁䅁䅅䅁䭁䉁䅉䅁䵁䅉䅅䅁䑁䅁䅁睁䵁䅁䅁兂䅁䅁䅂婲党兑䅯䅤䅁䅁䅅䅁䉁䅁䅁权ㅂ䅁䅁䍄䉁䅁䅁睁䅁䅁䅍䅄䅁䅁䅕䅁䅁䝧摡䕕䭅䡁䅉䅁䉁䅁䅁允䅁䅁䅯䅨䅁䅁杷允䅁䅁䅑䅁䑁䅁䅁䅁䭁䅁䅁䅁䭁䉁䅣䅁䭁䅁䅉䅁䉁䅁䅁允䅁䅁䅯䅇䅁䅁杷允䅁䅁䅕䅁䑁䅁䅁䅁䭁䅁䅁䅁䭁䉁䅳䅁䭁䅁䅧䅁䭁䉁䅅䅁䉁䅁䅁允䅁䅁䅯杅䅁䅁杷允䅁䅁䅑䅁䑁䅁䅁䅁䭁䅁䅁䅁䭁䝁䅳䅁䭁䅁䅉䅁䉁䅁䅁允䅁䅁䅯䅢䅁䅁杷允䅁䅁䅕䅁䑁䅁䅁䅁䭁䅁䅁䅁䭁䉁䅣䅁䭁䅁䅧䅁䭁䉁䅅䅁䉁䅁䅁允䅁䅁䅯杅䅁䅁杷允䅁䅁䅍䅁䑁䅁䅷䅁䙁䅁䅁䵁⭂汬䉂权穂䅁䅁允䅁䅁䅅䅁䭁䉁䅯䅁䵁䅉䅅䅁䙁䅁䅁睁䅁䅁䅁权䅁䅁䅁权橁䅁䅁权䥁䅁䅁权剁䅁䅁允䅁䅁䅅䅁䭁䉁䅉䅁䵁䅉䅅䅁䑁䅁䅁睁䵁䅁䅁兂䅁䅁䅂灰典兑䅯䅤䅁䅁䅅䅁䉁䅁䅁权䑃䅁䅁䍄䉁䅁䅁兂䅁䅁䅍䅁䅁䅁䅯䅁䅁䅁䅯兆䅁䅁䅯䅃䅁䅁䅯元䅁䅁䅅䅁䉁䅁䅁睁乃䔱䅉䍄䉁䅁䅁睁䅁䅁䅍䅄䅁䅁䅕䅁䅁䉁奏䕕䭅䡁䅑䅁䉁䅁䅁允䅁䅁䅯杦䅁䅁杷允䅁䅁䅍䅁䑁䅁䅷䅁䙁䅁䅁䵁䱄洰䉎权あ䅁䅁允䅁䅁䅅䅁䭁䡁䅳䅁䵁䅉䅅䅁䙁䅁䅁睁䅁䅁䅁权䅁䅁䅁权流䅁䅁权䥁䅁䅁权䩁䅁䅁允䅁䅁䅅䅁䑁䩁奤村䵁䅉䅅䅁䕁䅁䅁睁䅁䅁䅁权䅁䅁䅁权潁䅁䅁权䍁䅁䅁允䅁䅁䅅䅁䭁䉁䅯䅁䵁䅉䅅䅁䑁䅁䅁睁䵁䅁䅁兂䅁䅁䅁婹兰兑䅯入䅁䅁䅅䅁䉁䅁䅁权慁䅁䅁䍄䉁䅁䅁兂䅁䅁䅍䅁䅁䅁䅯䅁䅁䅁䅯杂䅁䅁䅯䅃䅁䅁䅯充䅁䅁䅅䅁䉁䅁䅁睁㍃歚䅉䍄䉁䅁䅁䅂䅁䅁䅍䅁䅁䅁䅯䅁䅁䅁䅯睄䅁䅁䅯杁䅁䅁䅅䅁䉁䅁䅁权敁䅁䅁䍄䉁䅁䅁睁䅁䅁䅍䅄䅁䅁䅕䅁䅁䭁楊ご䭅䡁䅯䅁䉁䅁䅁允䅁䅁䅯杇䅁䅁杷允䅁䅁䅕䅁䑁䅁䅁䅁䭁䅁䅁䅁䭁䉁䄸䅁䭁䅁䅧䅁䭁䉁䅅䅁䉁䅁䅁允䅁䅁䅯杅䅁䅁杷允䅁䅁䅍䅁䑁䅁䅷䅁䙁䅁䅁䅁敃汋䉆权穂䅁䅁允䅁䅁䅅䅁䭁䉁䅯䅁䵁䅉䅅䅁䙁䅁䅁睁䅁䅁䅁权䅁䅁䅁权䭁䅁䅁权䥁䅁䅁权剁䅁䅁允䅁䅁䅅䅁䭁䉁䅉䅁䵁䅉䅅䅁䙁䅁䅁睁䅁䅁䅁权䅁䅁䅁权允䅁䅁权䥁䅁䅁权䩁䅁䅁允䅁䅁䅅䅁䑁偁㝮睐䵁䅉䅅䅁䕁䅁䅁睁䅁䅁䅁权䅁䅁䅁权晁䅁䅁权䍁䅁䅁允䅁䅁䅅䅁䭁䍁䅁䅁䵁䅉䅅䅁䙁䅁䅁睁䅁䅁䅁权䅁䅁䅁权䉁䅁䅁权䥁䅁䅁权䩁䅁䅁允䅁䅁䅅䅁䑁䝁桪兴䵅䅉䅅䅁䙁䅁䅁睁䅁䅁䅁权䅁䅁䅁权㑁䅁䅁权䥁䅁䅁权剁䅁䅁允䅁䅁䅅䅁䭁䉁䅉䅁䵁䅉䅅䅁䑁䅁䅁睁䵁䅁䅁兂䅁䅁䅄浮削兑䅯䅤䅁䅁䅅䅁䉁䅁䅁权䭃䅁䅁䍄䉁䅁䅁兂䅁䅁䅍䅁䅁䅁䅯䅁䅁䅁䅯睈䅁䅁䅯䅃䅁䅁䅯元䅁䅁䅅䅁䉁䅁䅁睁捁啚䅉䍄䉁䅁䅁睁䅁䅁䅍䅄䅁䅁䅕䅁䅁䙑照䕕䭅䡁䅫䅁䉁䅁䅁允䅁䅁䅯杇䅁䅁杷允䅁䅁䅕䅁䑁䅁䅁䅁䭁䅁䅁䅁䭁䅁䄸䅁䭁䅁䅧䅁䭁䉁䅅䅁䉁䅁䅁允䅁䅁䅯杅䅁䅁杷允䅁䅁䅕䅁䑁䅁䅁䅁䭁䅁䅁䅁䭁䍁䅯䅁䭁䅁䅧䅁䭁䅁䅫䅁䉁䅁䅁允䅁䅁䅍灬㙳䅃杷允䅁䅁䅍䅁䑁䅁䅷䅁䙁䅁䅁䕁坂䙮䉂权あ䅁䅁允䅁䅁䅅䅁䭁䩁䅧䅁䵁䅉䅅䅁䕁䅁䅁睁䅁䅁䅁权䅁䅁䅁权桁䅁䅁权䍁䅁䅁允䅁䅁䅅䅁䭁䍁䅉䅁䵁䅉䅅䅁䕁䅁䅁睁䅁䅁䅁权䅁䅁䅁权歁䅁䅁权䍁䅁䅁允䅁䅁䅅䅁䭁䍁䄰䅁䵁䅉䅅䅁䑁䅁䅁睁䵁䅁䅁兂䅁䅁䅄婊党兑䅯杣䅁䅁䅅䅁䉁䅁䅁权慁䅁䅁䍄䉁䅁䅁兂䅁䅁䅍䅁䅁䅁䅯䅁䅁䅁䅯䅊䅁䅁䅯䅃䅁䅁䅯元䅁䅁䅅䅁䉁䅁䅁睁婃正䅉䍄䉁䅁䅁䅂䅁䅁䅍䅁䅁䅁䅯䅁䅁䅁䅯兊䅁䅁䅯杁䅁䅁䅅䅁䉁䅁䅁权楁䅁䅁䍄䉁䅁䅁兂䅁䅁䅍䅁䅁䅁䅯䅁䅁䅁䅯児䅁䅁䅯䅃䅁䅁䅯元䅁䅁䅅䅁䉁䅁䅁睁畄歗䅉䍄䉁䅁䅁兂䅁䅁䅍䅁䅁䅁䅯䅁䅁䅁䅯党䅁䅁䅯䅃䅁䅁䅯元䅁䅁䅅䅁䉁䅁䅁睁䕂呸䄴䍄䉁䅁䅁兂䅁䅁䅍䅁䅁䅁䅯䅁䅁䅁䅯光䅁䅁䅯䅃䅁䅁䅯元䅁䅁䅅䅁䉁䅁䅁睁牂䕅䅅䍄䉁䅁䅁兂䅁䅁䅍䅁䅁䅁䅯䅁䅁䅁䅯䅔䅁䅁䅯䅃䅁䅁䅯充䅁䅁䅅䅁䉁䅁䅁权十䅁䅁䍄䉁䅁䅁睁䅁䅁䅍䅄䅁䅁䅕䅁䅁䭷娲䕕䭅䡁䅫䅁䉁䅁䅁允䅁䅁䅯睤䅁䅁杷允䅁䅁䅍䅁䑁䅁䅷䅁䙁䅁䅁䅁ㅂ汭䉂权㙂䅁䅁允䅁䅁䅅䅁䭁䉁䅯䅁䵁䅉䅅䅁䙁䅁䅁睁䅁䅁䅁权䅁䅁䅁权湁䅁䅁权䥁䅁䅁权䩁䅁䅁允䅁䅁䅅䅁䑁䉁橗入䵁䅉䅅䅁䙁䅁䅁睁䅁䅁䅁权䅁䅁䅁权穁䅁䅁权䥁䅁䅁权䩁䅁䅁允䅁䅁䅅䅁䑁䍁牒村䵁䅉䅅䅁䙁䅁䅁睁䅁䅁䅁权䅁䅁䅁权汁䅁䅁权䥁䅁䅁权䩁䅁䅁允䅁䅁䅅䅁䑁䝁关兑䵁䅉䅅䅁䕁䅁䅁睁䅁䅁䅁权䅁䅁䅁权扁䅁䅁权䍁䅁䅁允䅁䅁䅅䅁䭁䑁䅑䅁䵁䅉䅅䅁䑁䅁䅁睁䵁䅁䅁权十䅁䅁权㕂䅁䅁允䅁䅁䅅䅁䭁䉁䅯䅁䵁䅉䅅䅁䙁䅁䅁睁䅁䅁䅁权䅁䅁䅁权潁䅁䅁权䥁䅁䅁权䩁䅁䅁允䅁䅁䅅䅁䭁䉁䅉䅁䵁䅉䅅䅁䑁䅁䅁睁䵁䅁䅁兂䅁䅁䅂灖典兑䅯来䅁䅁䅅䅁䉁䅁䅁权慁䅁䅁䍄䉁䅁䅁兂䅁䅁䅍䅁䅁䅁䅯䅁䅁䅁䅯兊䅁䅁䅯䅃䅁䅁䅯充䅁䅁䅅䅁䉁䅁䅁权十䅁䅁䍄䉁䅁䅁䅂䅁䅁䅍䅁䅁䅁䅯䅁䅁䅁䅯杋䅁䅁䅯杁䅁䅁䅅䅁䉁䅁䅁权牁䅁䅁䍄䉁䅁䅁兂䅁䅁䅍䅁䅁䅁䅯䅁䅁䅁䅯䅌䅁䅁䅯䅃䅁䅁䅯元䅁䅁䅅䅁䉁䅁䅁睁汄䕡䅉䍄䉁䅁䅁䅂䅁䅁䅍䅁䅁䅁䅯䅁䅁䅁䅯杌䅁䅁䅯杁䅁䅁䅅䅁䉁䅁䅁权癁䅁䅁䍄䉁䅁䅁睁䅁䅁䅍䅄䅁䅁䅕䅁䅁佷捳䕕䭅䡁䅉䅁䉁䅁䅁允䅁䅁䅯杇䅁䅁杷允䅁䅁䅕䅁䑁䅁䅁䅁䭁䅁䅁䅁䭁䍁䅑䅁䭁䅁䅧䅁䭁䉁䅅䅁䉁䅁䅁允䅁䅁䅯杅䅁䅁杷允䅁䅁䅍䅁䑁䅁䅷䅁䙁䅁䅁䵁敃汙䉆权㕂䅁䅁允䅁䅁䅅䅁䭁䉁䅯䅁䵁䅉䅅䅁䙁䅁䅁睁䅁䅁䅁权䅁䅁䅁权煁䅁䅁权䥁䅁䅁权剁䅁䅁允䅁䅁䅅䅁䑁乁灒村䵁䅉䅅䅁䕁䅁䅁睁䅁䅁䅁权䅁䅁䅁权硁䅁䅁权䍁䅁䅁允䅁䅁䅅䅁䭁䍁䅉䅁䵁䅉䅅䅁䙁䅁䅁睁䅁䅁䅁权䅁䅁䅁权睁䅁䅁权䥁䅁䅁权剁䅁䅁允䅁䅁䅅䅁䭁䉁䅉䅁䵁䅉䅅䅁䙁䅁䅁睁䅁䅁䅁权䅁䅁䅁权䉂䅁䅁权䥁䅁䅁权剁䅁䅁允䅁䅁䅅䅁䑁䉁祱䅒䵁䅉䅅䅁䙁䅁䅁睁䅁䅁䅁权䅁䅁䅁权療䅁䅁权䥁䅁䅁权剁䅁䅁允䅁䅁䅅䅁䑁䕁杸村䵁䅉䅅䅁䑁䅁䅁睁䵁䅁䅁兂䅁䅁䅁㕅全兑䅯来䅁䅁䅅䅁䉁䅁䅁权慁䅁䅁䍄䉁䅁䅁兂䅁䅁䅍䅁䅁䅁䅯䅁䅁䅁䅯权䅁䅁䅯䅃䅁䅁䅯元䅁䅁䅅䅁䉁䅁䅁睁慃啤䅉䍄䉁䅁䅁兂䅁䅁䅍䅁䅁䅁䅯䅁䅁䅁䅯兇䅁䅁䅯䅃䅁䅁䅯元䅁䅁䅅䅁䉁䅁䅁权十䅁䅁䍄䉁䅁䅁兂䅁䅁䅍䅁䅁䅁䅯䅁䅁䅁䅯允䅁䅁䅯䅃䅁䅁䅯充䅁䅁䅅䅁䉁䅁䅁睁㑂歱䅑䍄䉁䅁䅁兂䅁䅁䅍䅁䅁䅁䅯䅁䅁䅁䅯䅋䅁䅁䅯䅃䅁䅁䅯充䅁䅁䅅䅁䉁䅁䅁权十䅁䅁䍄䉁䅁䅁䅂䅁䅁䅍䅁䅁䅁䅯䅁䅁䅁䅯杆䅁䅁䅯杁䅁䅁䅅䅁䉁䅁䅁权ㅁ䅁䅁䍄䉁䅁䅁䅂䅁䅁䅍䅁䅁䅁䅯䅁䅁䅁䅯李䅁䅁䅯杁䅁䅁䅅䅁䉁䅁䅁权㍁䅁䅁䍄䉁䅁䅁兂䅁䅁䅍䅁䅁䅁䅯䅁䅁䅁䅯杆䅁䅁䅯䅃䅁䅁䅯充䅁䅁䅅䅁䉁䅁䅁睁睃啢䅉䍄䉁䅁䅁䅂䅁䅁䅍䅁䅁䅁䅯䅁䅁䅁䅯克䅁䅁䅯杁䅁䅁䅅䅁䉁䅁䅁权癁䅁䅁䍄䉁䅁䅁睁䅁䅁䅍䅄䅁䅁䅕䅁䅁䉁桺歔䭅䡁䅑䅁䉁䅁䅁允䅁䅁䅯杩䅁䅁杷允䅁䅁䅑䅁䑁䅁䅁䅁䭁䅁䅁䅁䭁䑁䅧䅁䭁䅁䅉䅁䉁䅁䅁允䅁䅁䅯兏䅁䅁杷允䅁䅁䅍䅁䑁䅁䅷䅁䙁䅁䅁䵁慁䙒䉂权㙂䅁䅁允䅁䅁䅅䅁䭁䉁䅯䅁䵁䅉䅅䅁䑁䅁䅁睁䵁䅁䅁兂䅁䅁䅂㕣公兑䅯入䅁䅁䅅䅁䉁䅁䅁权㝂䅁䅁䍄䉁䅁䅁兂䅁䅁䅍䅁䅁䅁䅯䅁䅁䅁䅯䅏䅁䅁䅯䅃䅁䅁䅯元䅁䅁䅅䅁䉁䅁䅁睁乄啚䅉䍄䉁䅁䅁睁䅁䅁䅍䅄䅁䅁䅕䅁䅁䡷婋䕕䭅䡁䅉䅁䉁䅁䅁允䅁䅁䅯杇䅁䅁杷允䅁䅁䅕䅁䑁䅁䅁䅁䭁䅁䅁䅁䭁䉁䅷䅁䭁䅁䅧䅁䭁䅁䅫䅁䉁䅁䅁允䅁䅁䅍䵒⭕䅁杷允䅁䅁䅍䅁䑁䅁䅷䅁䙁䅁䅁䕁歁噴䉂权㙂䅁䅁允䅁䅁䅅䅁䭁䉁䅯䅁䵁䅉䅅䅁䕁䅁䅁睁䅁䅁䅁权䅁䅁䅁权㙁䅁䅁权䍁䅁䅁允䅁䅁䅅䅁䭁䅁䅳䅁䵁䅉䅅䅁䙁䅁䅁睁䅁䅁䅁权䅁䅁䅁权㙁䅁䅁权䥁䅁䅁权䩁䅁䅁允䅁䅁䅅䅁䑁䩁ㅰ村䵁䅉䅅䅁䙁䅁䅁睁䅁䅁䅁权䅁䅁䅁权㙁䅁䅁权䥁䅁䅁权剁䅁䅁允䅁䅁䅅䅁䭁䉁䅉䅁䵁䅉䅅䅁䙁䅁䅁睁䅁䅁䅁权䅁䅁䅁权啂䅁䅁权䥁䅁䅁权剁䅁䅁允䅁䅁䅅䅁䭁䉁䅉䅁䵁䅉䅅䅁䕁䅁䅁睁䅁䅁䅁权䅁䅁䅁权㥁䅁䅁权䍁䅁䅁允䅁䅁䅅䅁䭁䑁䄴䅁䵁䅉䅅䅁䙁䅁䅁睁䅁䅁䅁权䅁䅁䅁权灁䅁䅁权䥁䅁䅁权䩁䅁䅁允䅁䅁䅅䅁䑁䭁稹䅑䵁䅉䅅䅁䙁䅁䅁睁䅁䅁䅁权䅁䅁䅁权㥁䅁䅁权䥁䅁䅁权剁䅁䅁允䅁䅁䅅䅁䭁䉁䅉䅁䵁䅉䅅䅁䙁䅁䅁睁䅁䅁䅁权䅁䅁䅁权⽁䅁䅁权䥁䅁䅁权剁䅁䅁允䅁䅁䅅䅁䑁䥁砲䅑䵁䅉䅅䅁䕁䅁䅁睁䅁䅁䅁权䅁䅁䅁权睁䅁䅁权䍁䅁䅁允䅁䅁䅅䅁䭁䕁䅁䅁䵁䅉䅅䅁䕁䅁䅁睁䅁䅁䅁权䅁䅁䅁权䡂䅁䅁权䍁䅁䅁允䅁䅁䅅䅁䭁䕁䅧䅁䵁䅉䅅䅁䑁䅁䅁睁䵁䅁䅁兂䅁䅁䅃汆㜵兑䅯督䅁䅁䅅䅁䉁䅁䅁权慁䅁䅁䍄䉁䅁䅁兂䅁䅁䅍䅁䅁䅁䅯䅁䅁䅁䅯睏䅁䅁䅯䅃䅁䅁䅯元䅁䅁䅅䅁䉁䅁䅁睁乃䔱䅉䍄䉁䅁䅁兂䅁䅁䅍䅁䅁䅁䅯䅁䅁䅁䅯睏䅁䅁䅯䅃䅁䅁䅯充䅁䅁䅅䅁䉁䅁䅁睁杄䕚䅉䍄䉁䅁䅁䅂䅁䅁䅍䅁䅁䅁䅯䅁䅁䅁䅯杍䅁䅁䅯杁䅁䅁䅅䅁䉁䅁䅁权䅂䅁䅁䍄䉁䅁䅁䅂䅁䅁䅍䅁䅁䅁䅯䅁䅁䅁䅯睐䅁䅁䅯杁䅁䅁䅅䅁䉁䅁䅁权塂䅁䅁䍄䉁䅁䅁兂䅁䅁䅍䅁䅁䅁䅯䅁䅁䅁䅯村䅁䅁䅯䅃䅁䅁䅯充䅁䅁䅅䅁䉁䅁䅁权十䅁䅁䍄䉁䅁䅁睁䅁䅁䅍䅄䅁䅁䅕䅁䅁佷捳䕕䭅䡁䅫䅁䉁䅁䅁允䅁䅁䅯杇䅁䅁杷允䅁䅁䅑䅁䑁䅁䅁䅁䭁䅁䅁䅁䭁䕁䅍䅁䭁䅁䅉䅁䉁䅁䅁允䅁䅁䅯䅒䅁䅁杷允䅁䅁䅕䅁䑁䅁䅁䅁䭁䅁䅁䅁䭁䕁䅍䅁䭁䅁䅧䅁䭁䅁䅫䅁䉁䅁䅁允䅁䅁䅍洱䍒䅁杷允䅁䅁䅑䅁䑁䅁䅁䅁䭁䅁䅁䅁䭁䕁䅕䅁䭁䅁䅉䅁䉁䅁䅁允䅁䅁䅯杒䅁䅁杷允䅁䅁䅕䅁䑁䅁䅁䅁䭁䅁䅁䅁䭁䕁䅍䅁䭁䅁䅧䅁䭁䉁䅅䅁䉁䅁䅁允䅁䅁䅍噴䍰䅁杷允䅁䅁䅍䅁䑁䅁䅷䅁䙁䅁䅁䕁噄汭䉂权穂䅁䅁允䅁䅁䅅䅁䭁䉁䅯䅁䵁䅉䅅䅁䑁䅁䅁睁䵁䅁䅁兂䅁䅁䅂䩦兴兑䅯来䅁䅁䅅䅁䉁䅁䅁权慁䅁䅁䍄䉁䅁䅁兂䅁䅁䅍䅁䅁䅁䅯䅁䅁䅁䅯睒䅁䅁䅯䅃䅁䅁䅯元䅁䅁䅅䅁䉁䅁䅁睁坄䕚䅉䍄䉁䅁䅁兂䅁䅁䅍䅁䅁䅁䅯䅁䅁䅁䅯睒䅁䅁䅯䅃䅁䅁䅯充䅁䅁䅅䅁䉁䅁䅁睁乃䔱䅉䍄䉁䅁䅁睁䅁䅁䅍䅄䅁䅁䅯杅䅁䅁䅯杣䅁䅁䅅䅁䉁䅁䅁权慁䅁䅁䍄䉁䅁䅁兂䅁䅁䅍䅁䅁䅁䅯䅁䅁䅁䅯兑䅁䅁䅯䅃䅁䅁䅯元䅁䅁䅅䅁䉁䅁䅁睁獁橭䄴䍄䉁䅁䅁睁䅁䅁䅍䅄䅁䅁䅕䅁䅁䕁婥䕕䭅䡁䅑䅁䉁䅁䅁允䅁䅁䅯睪䅁䅁杷允䅁䅁䅑䅁䑁䅁䅁䅁䭁䅁䅁䅁䭁䕁䅯䅁䭁䅁䅉䅁䉁䅁䅁允䅁䅁䅯睓䅁䅁杷允䅁䅁䅕䅁䑁䅁䅁䅁䭁䅁䅁䅁䭁䕁䅯䅁䭁䅁䅧䅁䭁䅁䅫䅁䉁䅁䅁允䅁䅁䅍ㅬ䍨䅁杷允䅁䅁䅍䅁䑁䅁䅷䅁䙁䅁䅁䵁⭂汬䉂权㙂䅁䅁允䅁䅁䅅䅁䭁䉁䅯䅁䵁䅉䅅䅁䑁䅁䅁睁䵁䅁䅁兂䅁䅁䅂䩦兴兑䅯杣䅁䅁䅅䅁䉁䅁䅁权慁䅁䅁䍄䉁䅁䅁睁䅁䅁䅍䅄䅁䅁䅕䅁䅁䅧奆啕䭅䡁䅫䅁䉁䅁䅁允䅁䅁䅯杇䅁䅁杷允䅁䅁䅑䅁䑁䅁䅁䅁䭁䅁䅁䅁䭁䍁䅙䅁䭁䅁䅉䅁䉁䅁䅁允䅁䅁䅯䅇䅁䅁杷允䅁䅁䅕䅁䑁䅁䅁䅁䭁䅁䅁䅁䭁䕁䄸䅁䭁䅁䅧䅁䭁䅁䅫䅁䉁䅁䅁允䅁䅁䅍䵒⭕䅁杷允䅁䅁䅍䅁䑁䅁䅷䅁䙁䅁䅁䕁歁噴䉂权㕂䅁䅁允䅁䅁䅅䅁䭁䉁䅯䅁䵁䅉䅅䅁䙁䅁䅁睁䅁䅁䅁权䅁䅁䅁权流䅁䅁权䥁䅁䅁权剁䅁䅁允䅁䅁䅅䅁䭁䉁䅉䅁䵁䅉䅅䅁䑁䅁䅁睁䵁䅁䅁兂䅁䅁䅃楨剸兑䅯䅤䅁䅁䅅䅁䉁䅁䅁权㡂䅁䅁䍄䉁䅁䅁䅂䅁䅁䅍䅁䅁䅁䅯䅁䅁䅁䅯䅔䅁䅁䅯杁䅁䅁䅅䅁䉁䅁䅁权奁䅁䅁䍄䉁䅁䅁兂䅁䅁䅍䅁䅁䅁䅯䅁䅁䅁䅯䅔䅁䅁䅯䅃䅁䅁䅯元䅁䅁䅅䅁䉁䅁䅁睁塃䕗䅉䍄䉁䅁䅁睁䅁䅁䅍䅄䅁䅁䅕䅁䅁䉁桺歔䭅䡁䅍䅁䉁䅁䅁允䅁䅁䅯杇䅁䅁杷允䅁䅁䅍䅁䑁䅁䅷䅁䙁䅁䅁䕁元噮䉂权祂䅁䅁允䅁䅁䅅䅁䭁䩁䅕䅁䵁䅉䅅䅁䕁䅁䅁睁䅁䅁䅁权䅁䅁䅁权乂䅁䅁权䍁䅁䅁允䅁䅁䅅䅁䭁䕁䄴䅁䵁䅉䅅䅁䑁䅁䅁睁䵁䅁䅁兂䅁䅁䅂灖典兑䅯入䅁䅁䅅䅁䉁䅁䅁权呃䅁䅁䍄䉁䅁䅁兂䅁䅁䅍䅁䅁䅁䅯䅁䅁䅁䅯兔䅁䅁䅯䅃䅁䅁䅯元䅁䅁䅅䅁䉁䅁䅁睁㑄啣䅙䍄䉁䅁䅁睁䅁䅁䅍䅄䅁䅁䅕䅁䅁䱧坵䕕䭅䡁䅉䅁䉁䅁䅁允䅁䅁䅯杇䅁䅁杷允䅁䅁䅑䅁䑁䅁䅁䅁䭁䅁䅁䅁䭁䙁䅳䅁䭁䅁䅉䅁䉁䅁䅁允䅁䅁䅯䅘䅁䅁杷允䅁䅁䅕䅁䑁䅁䅁䅁䭁䅁䅁䅁䭁䕁䄰䅁䭁䅁䅧䅁䭁䉁䅅䅁䉁䅁䅁允䅁䅁䅍㐵䍸䅁杷允䅁䅁䅑䅁䑁䅁䅁䅁䭁䅁䅁䅁䭁䕁䄸䅁䭁䅁䅉䅁䉁䅁䅁允䅁䅁䅯先䅁䅁杷允䅁䅁䅑䅁䑁䅁䅁䅁䭁䅁䅁䅁䭁䑁䅍䅁䭁䅁䅉䅁䉁䅁䅁允䅁䅁䅯䅕䅁䅁杷允䅁䅁䅕䅁䑁䅁䅁䅁䭁䅁䅁䅁䭁䕁䄸䅁䭁䅁䅧䅁䭁䉁䅅䅁䉁䅁䅁允䅁䅁䅯杅䅁䅁杷允䅁䅁䅍䅁䑁䅁䅷䅁䙁䅁䅁䵁⭂汬䉂权祂䅁䅁允䅁䅁䅅䅁䭁䉁䅯䅁䵁䅉䅅䅁䕁䅁䅁睁䅁䅁䅁权䅁䅁䅁权䍂䅁䅁权䍁䅁䅁允䅁䅁䅅䅁䭁䙁䅅䅁䵁䅉䅅䅁䙁䅁䅁睁䅁䅁䅁权䅁䅁䅁权牂䅁䅁权䥁䅁䅁权剁䅁䅁允䅁䅁䅅䅁䭁䉁䅉䅁䵁䅉䅅䅁䙁䅁䅁睁䅁䅁䅁权䅁䅁䅁权䵁䅁䅁权䥁䅁䅁权䩁䅁䅁允䅁䅁䅅䅁䑁䩁啈村䵁䅉䅅䅁䑁䅁䅁睁䵁䅁䅁兂䅁䅁䅃楨剸兑䅯杣䅁䅁䅅䅁䉁䅁䅁权慁䅁䅁䍄䉁䅁䅁兂䅁䅁䅍䅁䅁䅁䅯䅁䅁䅁䅯村䅁䅁䅯䅃䅁䅁䅯元䅁䅁䅅䅁䉁䅁䅁睁噂ち䅉䍄䉁䅁䅁睁䅁䅁䅍䅄䅁䅁䅕䅁䅁䉁乚ご䭅䡁䅯䅁䉁䅁䅁允䅁䅁䅯杇䅁䅁杷允䅁䅁䅕䅁䑁䅁䅁䅁䭁䅁䅁䅁䭁䅁䅷䅁䭁䅁䅧䅁䭁䉁䅅䅁䉁䅁䅁允䅁䅁䅍ㄫ䍬䅁杷允䅁䅁䅕䅁䑁䅁䅁䅁䭁䅁䅁䅁䭁䉁䅳䅁䭁䅁䅧䅁䭁䅁䅫䅁䉁䅁䅁允䅁䅁䅍慙䅬䅁杷允䅁䅁䅍䅁䑁䅁䅷䅁䙁䅁䅁䕁穂噭䉂权㙂䅁䅁允䅁䅁䅅䅁䭁䡁䅳䅁䵁䅉䅅䅁䑁䅁䅁睁䵁䅁䅁兂䅁䅁䅄慏兎兑䅯杣䅁䅁䅅䅁䉁䅁䅁权㑂䅁䅁䍄䉁䅁䅁䅂䅁䅁䅍䅁䅁䅁䅯䅁䅁䅁䅯杕䅁䅁䅯杁䅁䅁䅅䅁䉁䅁䅁权癁䅁䅁䍄䉁䅁䅁兂䅁䅁䅍䅁䅁䅁䅯䅁䅁䅁䅯杕䅁䅁䅯䅃䅁䅁䅯元䅁䅁䅅䅁䉁䅁䅁睁癃っ䅁䍄䉁䅁䅁兂䅁䅁䅍䅁䅁䅁䅯䅁䅁䅁䅯兙䅁䅁䅯䅃䅁䅁䅯元䅁䅁䅅䅁䉁䅁䅁睁䝁䕙䅕䍄䉁䅁䅁兂䅁䅁䅍䅁䅁䅁䅯䅁䅁䅁䅯杕䅁䅁䅯䅃䅁䅁䅯充䅁䅁䅅䅁䉁䅁䅁权十䅁䅁䍄䉁䅁䅁睁䅁䅁䅍䅄䅁䅁䅕䅁䅁䉁奏䕕䭅䡁䅫䅁䉁䅁䅁允䅁䅁䅯杇䅁䅁杷允䅁䅁䅍䅁䑁䅁䅷䅁䙁䅁䅁䕁䩁汧䉊权㙂䅁䅁允䅁䅁䅅䅁䭁䉁䅯䅁䵁䅉䅅䅁䑁䅁䅁睁䵁䅁䅁兂䅁䅁獁㍎杗兑䅯入䅁䅁䅅䅁䉁䅁䅁权慁䅁䅁䍄䉁䅁䅁兂䅁䅁䅍䅁䅁䅁䅯䅁䅁䅁䅯䅌䅁䅁䅯䅃䅁䅁䅯充䅁䅁䅅䅁䉁䅁䅁睁䱄啚䅉䍄䉁䅁䅁兂䅁䅁䅍䅁䅁䅁䅯䅁䅁䅁䅯杌䅁䅁䅯䅃䅁䅁䅯元䅁䅁䅅䅁䉁䅁䅁睁癃っ䅁䍄䉁䅁䅁兂䅁䅁䅍䅁䅁䅁䅯䅁䅁䅁䅯杌䅁䅁䅯䅃䅁䅁䅯充䅁䅁䅅䅁䉁䅁䅁权十䅁䅁䍄䉁䅁䅁睁䅁䅁䅍䅄䅁䅁䅕䅁䅁乑慗䕕䭅䡁䅯䅁䉁䅁䅁允䅁䅁䅯杇䅁䅁杷允䅁䅁䅑䅁䑁䅁䅁䅁䭁䅁䅁䅁䭁䍁䅣䅁䭁䅁䅉䅁䉁䅁䅁允䅁䅁䅯睕䅁䅁杷允䅁䅁䅕䅁䑁䅁䅁䅁䭁䅁䅁䅁䭁䍁䅣䅁䭁䅁䅧䅁䭁䉁䅅䅁䉁䅁䅁允䅁䅁䅯杅䅁䅁杷允䅁䅁䅍䅁䑁䅁䅷䅁䙁䅁䅁䕁橂䙌䉂权祂䅁䅁允䅁䅁䅅䅁䭁䉁䅯䅁䵁䅉䅅䅁䕁䅁䅁睁䅁䅁䅁权䅁䅁䅁权啂䅁䅁权䍁䅁䅁允䅁䅁䅅䅁䭁䙁䅕䅁䵁䅉䅅䅁䑁䅁䅁睁䵁䅁䅁兂䅁䅁䅂䩫儱兑䅯督䅁䅁䅅䅁䉁䅁䅁权慃䅁䅁䍄䉁䅁䅁兂䅁䅁䅍䅁䅁䅁䅯䅁䅁䅁䅯䅖䅁䅁䅯䅃䅁䅁䅯元䅁䅁䅅䅁䉁䅁䅁睁浂啢䅉䍄䉁䅁䅁睁䅁䅁䅍䅄䅁䅁䅕䅁䅁䝁批䕕䭅䡁䅯䅁䉁䅁䅁允䅁䅁䅯杇䅁䅁杷允䅁䅁䅑䅁䑁䅁䅁䅁䭁䅁䅁䅁䭁䍁䅷䅁䭁䅁䅉䅁䉁䅁䅁允䅁䅁䅯杖䅁䅁杷允䅁䅁䅕䅁䑁䅁䅁䅁䭁䅁䅁䅁䭁䑁䅉䅁䭁䅁䅧䅁䭁䅁䅫䅁䉁䅁䅁允䅁䅁䅍摪䍒䅁杷允䅁䅁䅕䅁䑁䅁䅁䅁䭁䅁䅁䅁䭁䑁䄸䅁䭁䅁䅧䅁䭁䅁䅫䅁䉁䅁䅁允䅁䅁䅍摪䍒䅁杷允䅁䅁䅑䅁䑁䅁䅁䅁䭁䅁䅁䅁䭁䙁䅧䅁䭁䅁䅉䅁䉁䅁䅁允䅁䅁䅯兗䅁䅁杷允䅁䅁䅍䅁䑁䅁䅷䅁䙁䅁䅁䥁ㅁ噭䉂权穂䅁䅁允䅁䅁䅅䅁䭁䉁䅯䅁䵁䅉䅅䅁䙁䅁䅁睁䅁䅁䅁权䅁䅁䅁权奂䅁䅁权䥁䅁䅁权䩁䅁䅁允䅁䅁䅅䅁䑁䥁汨村䵁䅉䅅䅁䙁䅁䅁睁䅁䅁䅁权䅁䅁䅁权慂䅁䅁权䥁䅁䅁权剁䅁䅁允䅁䅁䅅䅁䑁乁歚村䵁䅉䅅䅁䑁䅁䅁睁䵁䅁䅁兂䅁䅁睁硆慱兑䅯杣䅁䅁䅅䅁䉁䅁䅁权⽂䅁䅁䍄䉁䅁䅁兂䅁䅁䅍䅁䅁䅁䅯䅁䅁䅁䅯䅗䅁䅁䅯䅃䅁䅁䅯充䅁䅁䅅䅁䉁䅁䅁睁ㅃ歗䅉䍄䉁䅁䅁睁䅁䅁䅍䅄䅁䅁䅕䅁䅁䉧敚づ䭅䡁䅑䅁䉁䅁䅁允䅁䅁䅯杦䅁䅁杷允䅁䅁䅕䅁䑁䅁䅁䅁䭁䅁䅁䅁䭁䙁䅳䅁䭁䅁䅧䅁䭁䅁䅫䅁䉁䅁䅁允䅁䅁䅍ㅪ䍨䅁杷允䅁䅁䅕䅁䑁䅁䅁䅁䭁䅁䅁䅁䭁䝁䄴䅁䭁䅁䅧䅁䭁䉁䅅䅁䉁䅁䅁允䅁䅁䅯杅䅁䅁杷允䅁䅁䅕䅁䑁䅁䅁䅁䭁䅁䅁䅁䭁䙁䅳䅁䭁䅁䅧䅁䭁䉁䅅䅁䉁䅁䅁允䅁䅁䅍䥺䝗杂杷允䅁䅁䅕䅁䑁䅁䅁䅁䭁䅁䅁䅁䭁䉁䅷䅁䭁䅁䅧䅁䭁䉁䅅䅁䉁䅁䅁允䅁䅁䅯杅䅁䅁杷允䅁䅁䅕䅁䑁䅁䅁䅁䭁䅁䅁䅁䭁䙁䄰䅁䭁䅁䅧䅁䭁䅁䅫䅁䉁䅁䅁允䅁䅁䅍䝊䍴䅁杷允䅁䅁䅕䅁䑁䅁䅁䅁䭁䅁䅁䅁䭁䙁䄰䅁䭁䅁䅧䅁䭁䉁䅅䅁䉁䅁䅁允䅁䅁䅍㑥䙰䅁杷允䅁䅁䅑䅁䑁䅁䅁䅁䭁䅁䅁䅁䭁䉁䅕䅁䭁䅁䅉䅁䉁䅁䅁允䅁䅁䅯睘䅁䅁杷允䅁䅁䅍䅁䑁䅁䅷䅁䙁䅁䅁䥁ㅁ噭䉂权祂䅁䅁允䅁䅁䅅䅁䭁䉁䅯䅁䵁䅉䅅䅁䑁䅁䅁睁䵁䅁䅁兂䅁䅁䅁灙公兑䅯来䅁䅁䅅䅁䉁䅁䅁权慁䅁䅁䍄䉁䅁䅁䅂䅁䅁䅍䅁䅁䅁䅯䅁䅁䅁䅯睉䅁䅁䅯杁䅁䅁䅅䅁䉁䅁䅁权杂䅁䅁䍄䉁䅁䅁睁䅁䅁䅍䅄䅁䅁䅕䅁䅁䙑捡䕕䭅䡁䅍䅁䉁䅁䅁允䅁䅁䅯杇䅁䅁杷允䅁䅁䅑䅁䑁䅁䅁䅁䭁䅁䅁䅁䭁䝁䅅䅁䭁䅁䅉䅁䉁䅁䅁允䅁䅁䅯杙䅁䅁杷允䅁䅁䅕䅁䑁䅁䅁䅁䭁䅁䅁䅁䭁䝁䅅䅁䭁䅁䅧䅁䭁䉁䅅䅁䉁䅁䅁允䅁䅁䅯杅䅁䅁杷允䅁䅁䅑䅁䑁䅁䅁䅁䭁䅁䅁䅁䭁䝁䅍䅁䭁䅁䅉䅁䉁䅁䅁允䅁䅁䅯䅚䅁䅁杷允䅁䅁䅑䅁䑁䅁䅁䅁䭁䅁䅁䅁䭁䝁䅕䅁䭁䅁䅉䅁䉁䅁䅁允䅁䅁䅯先䅁䅁杷允䅁䅁䅑䅁䑁䅁䅁䅁䭁䅁䅁䅁䭁䝁䅙䅁䭁䅁䅉䅁䉁䅁䅁允䅁䅁䅯睌䅁䅁杷允䅁䅁䅕䅁䑁䅁䅁䅁䭁䅁䅁䅁䭁䝁䅍䅁䭁䅁䅧䅁䭁䅁䅫䅁䉁䅁䅁允䅁䅁䅍䝔䍂䅁杷允䅁䅁䅕䅁䑁䅁䅁䅁䭁䅁䅁䅁䭁䝁䅍䅁䭁䅁䅧䅁䭁䉁䅅䅁䉁䅁䅁允䅁䅁䅍塗䍆䅁杷允䅁䅁䅕䅁䑁䅁䅁䅁䭁䅁䅁䅁䭁䝁䅫䅁䭁䅁䅧䅁䭁䉁䅅䅁䉁䅁䅁允䅁䅁䅯杅䅁䅁杷允䅁䅁䅑䅁䑁䅁䅁䅁䭁䅁䅁䅁䭁䡁䅅䅁䭁䅁䅉䅁䉁䅁䅁允䅁䅁䅯䅑䅁䅁杷允䅁䅁䅕䅁䑁䅁䅁䅁䭁䅁䅁䅁䭁䉁䅍䅁䭁䅁䅧䅁䭁䅁䅫䅁䉁䅁䅁允䅁䅁䅍圸䌱䅁杷允䅁䅁䅕䅁䑁䅁䅁䅁䭁䅁䅁䅁䭁䉁䅍䅁䭁䅁䅧䅁䭁䉁䅅䅁䉁䅁䅁允䅁䅁䅯杅䅁䅁杷允䅁䅁䅍䅁䑁䅁䅷䅁䙁䅁䅁䵁䉂䙭䉂权祂䅁䅁允䅁䅁䅅䅁䭁䉁䅯䅁䵁䅉䅅䅁䙁䅁䅁睁䅁䅁䅁权䅁䅁䅁权求䅁䅁权䥁䅁䅁权剁䅁䅁允䅁䅁䅅䅁䭁䉁䅉䅁䵁䅉䅅䅁䕁䅁䅁睁䅁䅁䅁权䅁䅁䅁权湂䅁䅁权䍁䅁䅁允䅁䅁䅅䅁䭁䝁䅧䅁䵁䅉䅅䅁䑁䅁䅁睁䵁䅁䅁兂䅁䅁䅄婲公兑䅯杣䅁䅁䅅䅁䉁䅁䅁权㍂䅁䅁䍄䉁䅁䅁睁䅁䅁䅍䅄䅁䅁䅯杅䅁䅁䅯来䅁䅁䅅䅁䉁䅁䅁权慁䅁䅁䍄䉁䅁䅁兂䅁䅁䅍䅁䅁䅁䅯䅁䅁䅁䅯睚䅁䅁䅯䅃䅁䅁䅯元䅁䅁䅅䅁䉁䅁䅁睁硄牯䅉䍄䉁䅁䅁睁䅁䅁䅍䅄䅁䅁䅕䅁䅁偧㥺ご䭅䡁䅍䅁䉁䅁䅁允䅁䅁䅯杇䅁䅁杷允䅁䅁䅍䅁䑁䅁䅷䅁䙁䅁䅁䅁畄㍒䉨权㙂䅁䅁允䅁䅁䅅䅁䭁䉁䅯䅁䵁䅉䅅䅁䙁䅁䅁睁䅁䅁䅁权䅁䅁䅁权湂䅁䅁权䥁䅁䅁权剁䅁䅁允䅁䅁䅅䅁䑁䍁䥕杓䵁䅉䅅䅁䙁䅁䅁睁䅁䅁䅁权䅁䅁䅁权穁䅁䅁权䥁䅁䅁权剁䅁䅁允䅁䅁䅅䅁䑁䡁䭵兒䵁䅉䅅䅁䑁䅁䅁睁䵁䅁䅁兂䅁䅁䅄灦党兑䅯䅤䅁䅁䅅䅁䉁䅁䅁权ㅂ䅁䅁䍄䉁䅁䅁䅂䅁䅁䅍䅁䅁䅁䅯䅁䅁䅁䅯兡䅁䅁䅯杁䅁䅁䅅䅁䉁䅁䅁权煂䅁䅁䍄䉁䅁䅁睁䅁䅁䅍䅄䅁䅁䅕䅁䅁䩑摃䕕䭅䡁䅯䅁䉁䅁䅁允䅁䅁䅯兤䅁䅁杷允䅁䅁䅕䅁䑁䅁䅁䅁䭁䅁䅁䅁䭁䙁䅯䅁䭁䅁䅧䅁䭁䅁䅫䅁䉁䅁䅁允䅁䅁䅍敊⽧䅁杷允䅁䅁䅕䅁䑁䅁䅁䅁䭁䅁䅁䅁䭁䝁䅫䅁䭁䅁䅧䅁䭁䅁䅫䅁䉁䅁䅁允䅁䅁䅍佥䜹䅁杷允䅁䅁䅕䅁䑁䅁䅁䅁䭁䅁䅁䅁䭁䍁䅍䅁䭁䅁䅧䅁䭁䅁䅫䅁䉁䅁䅁允䅁䅁䅍㉂䍆䅁杷允䅁䅁䅍䅁䑁䅁䅷䅁䙁䅁䅁䥁㝃汬䉂权㕂䅁䅁允䅁䅁䅅䅁䭁䉁䅯䅁䵁䅉䅅䅁䙁䅁䅁睁䅁䅁䅁权䅁䅁䅁权牂䅁䅁权䥁䅁䅁权䩁䅁䅁允䅁䅁䅅䅁䑁䙁圶杮䵁䅉䅅䅁䕁䅁䅁睁䅁䅁䅁权䅁䅁䅁权慂䅁䅁权䍁䅁䅁允䅁䅁䅅䅁䭁䝁䄰䅁䵁䅉䅅䅁䕁䅁䅁睁䅁䅁䅁权䅁䅁䅁权畂䅁䅁权䍁䅁䅁允䅁䅁䅅䅁䭁䉁䅧䅁䵁䅉䅅䅁䑁䅁䅁睁䵁䅁䅁兂䅁䅁䅄㥹橊兑䅯杣䅁䅁䅅䅁䉁䅁䅁权慁䅁䅁䍄䉁䅁䅁兂䅁䅁䅍䅁䅁䅁䅯䅁䅁䅁䅯杢䅁䅁䅯䅃䅁䅁䅯元䅁䅁䅅䅁䉁䅁䅁睁塃䕗䅉䍄䉁䅁䅁兂䅁䅁䅍䅁䅁䅁䅯䅁䅁䅁䅯杚䅁䅁䅯䅃䅁䅁䅯元䅁䅁䅅䅁䉁䅁䅁睁癃っ䅁䍄䉁䅁䅁睁䅁䅁䅍䅄䅁䅁䅕䅁䅁乑慗䕕䭅䡁䅑䅁䉁䅁䅁允䅁䅁䅯䅫䅁䅁杷允䅁䅁䅕䅁䑁䅁䅁䅁䭁䅁䅁䅁䭁䝁䅙䅁䭁䅁䅧䅁䭁䉁䅅䅁䉁䅁䅁允䅁䅁䅯杅䅁䅁杷允䅁䅁䅍䅁䑁䅁䅷䅁䙁䅁䅁䥁浂噮䉂权穂䅁䅁允䅁䅁䅅䅁䭁䥁䅑䅁䵁䅉䅅䅁䕁䅁䅁睁䅁䅁䅁权䅁䅁䅁权療䅁䅁权䍁䅁䅁允䅁䅁䅅䅁䭁䡁䅁䅁䵁䅉䅅䅁䑁䅁䅁睁䵁䅁䅁兂䅁䅁杁汘浒兑䅯来䅁䅁䅅䅁䉁䅁䅁权慁䅁䅁䍄䉁䅁䅁兂䅁䅁䅍䅁䅁䅁䅯䅁䅁䅁䅯睢䅁䅁䅯䅃䅁䅁䅯元䅁䅁䅅䅁䉁䅁䅁睁䉄っ䅉䍄䉁䅁䅁兂䅁䅁䅍䅁䅁䅁䅯䅁䅁䅁䅯兣䅁䅁䅯䅃䅁䅁䅯元䅁䅁䅅䅁䉁䅁䅁睁乃䔱䅉䍄䉁䅁䅁睁䅁䅁䅍䅄䅁䅁䅕䅁䅁䝁批䕕䭅䡁䅑䅁䉁䅁䅁允䅁䅁䅯睥䅁䅁杷允䅁䅁䅕䅁䑁䅁䅁䅁䭁䅁䅁䅁䭁䡁䅅䅁䭁䅁䅧䅁䭁䉁䅅䅁䉁䅁䅁允䅁䅁䅯杅䅁䅁杷允䅁䅁䅕䅁䑁䅁䅁䅁䭁䅁䅁䅁䭁䅁䅑䅁䭁䅁䅧䅁䭁䉁䅅䅁䉁䅁䅁允䅁䅁䅯杅䅁䅁杷允䅁䅁䅕䅁䑁䅁䅁䅁䭁䅁䅁䅁䭁䑁䅙䅁䭁䅁䅧䅁䭁䅁䅫䅁䉁䅁䅁允䅁䅁䅍硡䉂䅁杷允䅁䅁䅕䅁䑁䅁䅁䅁䭁䅁䅁䅁䭁䑁䅙䅁䭁䅁䅧䅁䭁䉁䅅䅁䉁䅁䅁允䅁䅁䅍ㅬ䍨䅁杷允䅁䅁䅍䅁䑁䅁䅷䅁䙁䅁䅁䅁坁啔䈹权祂䅁䅁允䅁䅁䅅䅁䭁䉁䅯䅁䵁䅉䅅䅁䑁䅁䅁睁䵁䅁䅁兂䅁䅁䅄砶典兑䅯䅤䅁䅁䅅䅁䉁䅁䅁权䝃䅁䅁䍄䉁䅁䅁睁䅁䅁䅍䅄䅁䅁䅕䅁䅁䉷䕰䕕䭅䡁䅑䅁䉁䅁䅁允䅁䅁䅯兤䅁䅁杷允䅁䅁䅍䅁䑁䅁䅷䅁䙁䅁䅁䵁慁䙒䉂权祂䅁䅁允䅁䅁䅅䅁䭁䉁䅯䅁䵁䅉䅅䅁䑁䅁䅁睁䵁䅁䅁兂䅁䅁䅂㕣公兑䅯杣䅁䅁䅅䅁䉁䅁䅁权㉂䅁䅁䍄䉁䅁䅁睁䅁䅁䅍䅄䅁䅁䅕䅁䅁䑧婗䕕䭅䡁䅑䅁䉁䅁䅁允䅁䅁䅯兤䅁䅁杷允䅁䅁䅍䅁䑁䅁䅷䅁䙁䅁䅁䕁睄䙮䉂权祂䅁䅁允䅁䅁䅅䅁䭁䉁䅯䅁䵁䅉䅅䅁䑁䅁䅁睁䵁䅁䅁兂䅁䅁䅄婲公兑䅯䅤䅁䅁䅅䅁䉁䅁䅁权㍂䅁䅁䍄䉁䅁䅁睁䅁䅁䅍䅄䅁䅁䅕䅁䅁䵁慭䕕䭅䡁䅉䅁䉁䅁䅁允䅁䅁䅯杇䅁䅁杷允䅁䅁䅍䅁䑁䅁䅷䅁䙁䅁䅁䥁䝃䙌䉆权穂䅁䅁允䅁䅁䅅䅁䭁䉁䅯䅁䵁䅉䅅䅁䑁䅁䅁睁䵁䅁䅁兂䅁䅁䅃噁剨兑䅯杣䅁䅁䅅䅁䉁䅁䅁权慁䅁䅁䍄䉁䅁䅁睁䅁䅁䅍䅄䅁䅁䅕䅁䅁䑧婗䕕䭅䡁䅫䅁䉁䅁䅁允䅁䅁䅯杇䅁䅁杷允䅁䅁䅍䅁䑁䅁䅷䅁䙁䅁䅁䥁䝃䙌䉆权㙂䅁䅁允䅁䅁䅅䅁䭁䉁䅯䅁䵁䅉䅅䅁䑁䅁䅁睁䵁䅁䅁兂䅁䅁䅂娱兰兑䅯入䅁䅁䅅䅁䉁䅁䅁权慁䅁䅁䍄䉁䅁䅁睁䅁䅁䅍䅄䅁䅁䅕䅁䅁偑捃䕕䭅䡁䅑䅁䉁䅁䅁允䅁䅁䅯睥䅁䅁杷允䅁䅁䅍䅁䑁䅁䅷䅁䙁䅁䅁䅁䡂噭䉂权㙂䅁䅁允䅁䅁䅅䅁䭁䉁䅯䅁䵁䅉䅅䅁䑁䅁䅁睁䵁䅁䅁兂䅁䅁䅃楨剸兑䅯入䅁䅁䅅䅁䉁䅁䅁权慁䅁䅁䍄䉁䅁䅁睁䅁䅁䅍䅄䅁䅁䅕䅁䅁䭑捡䕕䭅䡁䅍䅁䉁䅁䅁允䅁䅁䅯杇䅁䅁杷允䅁䅁䅍䅁䑁䅁䅷䅁䙁䅁䅁䥁浂噮䉂权㕂䅁䅁允䅁䅁䅅䅁䭁䡁䅳䅁䵁䅉䅅䅁䑁䅁䅁睁䵁䅁䅁兂䅁䅁䅃汆㜵兑䅯来䅁䅁䅅䅁䉁䅁䅁权慁䅁䅁䍄䉁䅁䅁睁䅁䅁䅍䅄䅁䅁䅕䅁䅁䉧がご䭅䡁䅍䅁䉁䅁䅁允䅁䅁䅯杇䅁䅁杷允䅁䅁䅍䅁䑁䅁䅷䅁䙁䅁䅁䕁坂䙮䉂权祂䅁䅁允䅁䅁䅅䅁䭁䡁䄰䅁䵁䅉䅅䅁䑁䅁䅁睁䵁䅁䅁兂䅁䅁䅃癅偒兑䅯来䅁䅁䅅䅁䉁䅁䅁权慁䅁䅁䍄䉁䅁䅁睁䅁䅁䅍䅄䅁䅁䅯杅䅁䅁䅯督䅁䅁䅅䅁䉁䅁䅁权慁䅁䅁䍄䉁䅁䅁睁䅁䅁䅍䅄䅁䅁䅕䅁䅁䵷卶す䭅䡁䅫䅁䉁䅁䅁允䅁䅁䅯杇䅁䅁杷允䅁䅁䅍䅁䑁䅁䅷䅁䙁䅁䅁䥁十䔹䈹权祂䅁䅁允䅁䅁䅅䅁䭁䉁䅯䅁䵁䅉䅅䅁䑁䅁䅁睁䵁䅁䅁兂䅁䅁䅄婊党兑䅯督䅁䅁䅅䅁䉁䅁䅁权慁䅁䅁䍄䉁䅁䅁睁䅁䅁䅍䅄䅁䅁䅕䅁䅁乑慗䕕䭅䡁䅉䅁䉁䅁䅁允䅁䅁䅯杇䅁䅁杷允䅁䅁䅍䅁䑁䅁䅷䅁䙁䅁䅁䥁十䔹䈹权あ䅁䅁允䅁䅁䅅䅁䭁䡁䅕䅁䵁䅉䅅䅁䑁䅁䅁睁䵁䅁䅁兂䅁䅁䅂婏兰兑䅯䅤䅁䅁䅅䅁䉁䅁䅁权㝂䅁䅁䍄䉁䅁䅁睁䅁䅁䅍䅄䅁䅁䅕䅁䅁偑捃䕕䭅䡁䅫䅁䉁䅁䅁允䅁䅁䅯杇䅁䅁杷允䅁䅁䅍䅁䑁䅁䅷䅁䙁䅁䅁䕁歁噴䉂权穂䅁䅁允䅁䅁䅅䅁䭁䉁䅯䅁䵁䅉䅅䅁䑁䅁䅁睁䵁䅁䅁兂䅁䅁䅂㝉兖兑䅯入䅁䅁䅅䅁䉁䅁䅁权慁䅁䅁䍄䉁䅁䅁睁䅁䅁䅍䅄䅁䅁䅕䅁䅁䍑ㅏ䕕䭅䡁䅉䅁䉁䅁䅁允䅁䅁䅯杇䅁䅁杷允䅁䅁䅍䅁䑁䅁䅷䅁䙁䅁䅁䅁捁唴䈵权㕂䅁䅁允䅁䅁䅅䅁䭁䉁䅯䅁䵁䅉䅅䅁䑁䅁䅁睁䵁䅁䅁兂䅁䅁䅁歆倱兑䅯入䅁䅁䅅䅁䉁䅁䅁权慁䅁䅁䍄䉁䅁䅁睁䅁䅁䅍䅄䅁䅁䅕䅁䅁䅑䍭歕䭅䡁䅍䅁䉁䅁䅁允䅁䅁䅯杇䅁䅁杷允䅁䅁䅍䅁䑁䅁䅷䅁䙁䅁䅁䕁㕁汭䉂权㙂䅁䅁允䅁䅁䅅䅁䭁䡁䅳䅁䵁䅉䅅䅁䑁䅁䅁睁䵁䅁䅁权十䅁䅁权あ䅁䅁允䅁䅁䅅䅁䭁䡁䅳䅁䵁䅉䅅䅁䑁䅁䅁睁䵁䅁䅁兂䅁䅁䅁浯偊兑䅯杣䅁䅁䅅䅁䉁䅁䅁权慁䅁䅁䍄䉁䅁䅁睁䅁䅁䅍䅄䅁䅁䅕䅁䅁䍷坏䕕䭅䡁䅑䅁䉁䅁䅁允䅁䅁䅯䅧䅁䅁杷允䅁䅁䅍䅁䑁䅁䅷䅁䙁䅁䅁䅁㕁噭䉂权穂䅁䅁允䅁䅁䅅䅁䭁䉁䅯䅁䵁䅉䅅䅁䑁䅁䅁睁䵁䅁䅁兂䅁䅁䅂㝉兖兑䅯䅤䅁䅁䅅䅁䉁䅁䅁权ㅂ䅁䅁䍄䉁䅁䅁睁䅁䅁䅍䅄䅁䅁䅕䅁䅁䉁奏䕕䭅䡁䅍䅁䉁䅁䅁允䅁䅁䅯杇䅁䅁杷允䅁䅁䅍䅁䑁䅁䅷䅁䙁䅁䅁䥁䉁䙗䉆权㙂䅁䅁允䅁䅁䅅䅁䭁䉁䅯䅁䵁䅉䅅䅁䑁䅁䅁睁䵁䅁䅁兂䅁䅁䅁楮剰兑䅯杣䅁䅁䅅䅁䉁䅁䅁权慁䅁䅁䍄䉁䅁䅁睁䅁䅁䅍䅄䅁䅁䅕䅁䅁䙉唵歚䭅䡁䅫䅁䉁䅁䅁允䅁䅁䅯杇䅁䅁杷允䅁䅁䅍䅁䑁䅁䅷䅁䙁䅁䅁䍁敂䝖䉚权あ䅁䅁允䅁䅁䅅䅁䭁䥁䅅䅁䵁䅉䅅䅁䑁䅁䅁睁䵁䅁䅁兂䅁䅁䅄㥹橊兑䅯督䅁䅁䅅䅁䉁䅁䅁权慁䅁䅁䍄䉁䅁䅁睁䅁䅁䅍䅄䅁䅁䅕䅁䅁䵷卶す䭅䡁䅯䅁䉁䅁䅁允䅁䅁䅯杇䅁䅁杷允䅁䅁䅍䅁䑁䅁䅷䅁䙁䅁䅁䅁呁䙭䉂权祂䅁䅁允䅁䅁䅅䅁䭁䉁䅯䅁䵁䅉䅅䅁䑁䅁䅁睁䵁䅁䅁兂䅁䅁䅄婊党兑䅯䅤䅁䅁䅅䅁䉁䅁䅁权ㅂ䅁䅁䍄䉁䅁䅁睁䅁䅁䅍䅄䅁䅁䅕䅁䅁䙑照䕕䭅䡁䅍䅁䉁䅁䅁允䅁䅁䅯杇䅁䅁杷允䅁䅁䅍䅁䑁䅁䅷䅁䙁䅁䅁䵁䉂䙭䉂权㕂䅁䅁允䅁䅁䅅䅁䭁䉁䅯䅁䵁䅉䅅䅁䑁䅁䅁睁䵁䅁䅁兂䅁䅁䅂㕣公兑䅯䅤䅁䅁䅅䅁䉁䅁䅁权㝂䅁䅁䍄䉁䅁䅁睁䅁䅁䅍䅄䅁䅁䅕䅁䅁䵁慭䕕䭅䡁䅑䅁䉁䅁䅁允䅁䅁䅯杧䅁䅁杷允䅁䅁䅍䅁䑁䅁䅷䅁䙁䅁䅁䥁婂ㅭ䉂权㕂䅁䅁允䅁䅁䅅䅁䭁䉁䅯䅁䵁䅉䅅䅁䑁䅁䅁睁䵁䅁䅁兂䅁䅁䅂䨸典兑䅯督䅁䅁䅅䅁䉁䅁䅁权慁䅁䅁䍄䉁䅁䅁睁䅁䅁䅍䅄䅁䅁䅕䅁䅁偑捃䕕䭅䡁䅯䅁䉁䅁䅁允䅁䅁䅯杇䅁䅁杷允䅁䅁䅍䅁䑁䅁䅷䅁䙁䅁䅁䵁慁䙒䉂权穂䅁䅁允䅁䅁䅅䅁䭁䉁䅯䅁䵁䅉䅅䅁䑁䅁䅁睁䵁䅁䅁兂䅁䅁䅁䩢兴兑䅯督䅁䅁䅅䅁䉁䅁䅁权慁䅁䅁䍄䉁䅁䅁睁䅁䅁䅍䅄䅁䅁䅕䅁䅁䑷橭䕕䭅䡁䅫䅁䉁䅁䅁允䅁䅁䅯睧䅁䅁杷允䅁䅁䅍䅁䑁䅁䅷䅁䙁䅁䅁䵁汁汬䉂权㕂䅁䅁允䅁䅁䅅䅁䭁䉁䅯䅁䵁䅉䅅䅁䑁䅁䅁睁䵁䅁䅁兂䅁䅁䅁㕒公兑䅯入䅁䅁䅅䅁䉁䅁䅁权慁䅁䅁䍄䉁䅁䅁睁䅁䅁䅍䅄䅁䅁䅕䅁䅁䑁婭䕕䭅䡁䅫䅁䉁䅁䅁允䅁䅁䅯杇䅁䅁杷允䅁䅁䅍䅁䑁䅁䅷䅁䙁䅁䅁䍁㍷慤䉂权祂䅁䅁允䅁䅁䅅䅁䭁䉁䅯䅁䵁䅉䅅䅁䑁䅁䅁睁䵁䅁䅁兂䅁䅁䅄㕉党兑䅯入䅁䅁䅅䅁䉁䅁䅁权䅃䅁䅁䍄䉁䅁䅁睁䅁䅁䅍䅄䅁䅁䅕䅁䅁䡁慗䕕䭅䡁䅍䅁䉁䅁䅁允䅁䅁䅯杇䅁䅁杷允䅁䅁䅍䅁䑁䅁䅷䅁䙁䅁䅁䕁橁噴䉂权穂䅁䅁允䅁䅁䅅䅁䭁䉁䅯䅁䵁䅉䅅䅁䑁䅁䅁睁䵁䅁䅁兂䅁䅁䅃婎公兑䅯来䅁䅁䅅䅁䉁䅁䅁权慁䅁䅁䍄䉁䅁䅁睁䅁䅁䅍䅄䅁䅁䅕䅁䅁䡁慗䕕䭅䡁䅉䅁䉁䅁䅁允䅁䅁䅯杇䅁䅁杷允䅁䅁䅍䅁䑁䅁䅷䅁䙁䅁䅁䥁㝃汬䉂权㙂䅁䅁允䅁䅁䅅䅁䭁䉁䅯䅁䵁䅉䅅䅁䑁䅁䅁睁䵁䅁䅁兂䅁䅁䅃倯倱兑䅯来䅁䅁䅅䅁䉁䅁䅁权慁䅁䅁䍄䉁䅁䅁睁䅁䅁䅍䅄䅁䅁䅕䅁䅁䙉唵歚䭅䡁䅍䅁䉁䅁䅁允䅁䅁䅯杇䅁䅁杷允䅁䅁䅍䅁䑁䅁䅷䅁䙁䅁䅁䵁㕁ㅯ䉂权あ䅁䅁允䅁䅁䅅䅁䭁䥁䅕䅁䵁䅉䅅䅁䑁䅁䅁睁䵁䅁䅁兂䅁䅁䅁佈但兑䅯杣䅁䅁䅅䅁䉁䅁䅁权慁䅁䅁䍄䉁䅁䅁睁䅁䅁䅍䅄䅁䅁䅕䅁䅁䵁慭䕕䭅䡁䅯䅁䉁䅁䅁允䅁䅁䅯杇䅁䅁杷允䅁䅁䅍䅁䑁䅁䅷䅁䙁䅁䅁䅁獂ㅭ䉂权㕂䅁䅁允䅁䅁䅅䅁䭁䉁䅯䅁䵁䅉䅅䅁䑁䅁䅁睁䵁䅁䅁兂䅁䅁䅂祙典兑䅯督䅁䅁䅅䅁䉁䅁䅁权慁䅁䅁䍄䉁䅁䅁睁䅁䅁䅍䅄䅁䅁䅕䅁䅁䩁焴啕䭅䡁䅑䅁䉁䅁䅁允䅁䅁䅯杦䅁䅁杷允䅁䅁䅍䅁䑁䅁䅷䅁䙁䅁䅁䵁慁䙒䉂权㕂䅁䅁允䅁䅁䅅䅁䭁䉁䅯䅁䵁䅉䅅䅁䑁䅁䅁睁䵁䅁䅁兂䅁䅁䅁婤兰兑䅯䅤䅁䅁䅅䅁䉁䅁䅁权䡃䅁䅁䍄䉁䅁䅁睁䅁䅁䅍䅄䅁䅁䅕䅁䅁䍷坏䕕䭅䡁䅍䅁䉁䅁䅁允䅁䅁䅯䅧䅁䅁杷允䅁䅁䅍䅁䑁䅁䅷䅁䙁䅁䅁䍁㍷慤䉂权穂䅁䅁允䅁䅁䅅䅁䭁䉁䅯䅁䵁䅉䅅䅁䑁䅁䅁睁䵁䅁䅁兂䅁䅁䅃㕵党兑䅯督䅁䅁䅅䅁䉁䅁䅁权慁䅁䅁䍄䉁䅁䅁睁䅁䅁䅍䅄䅁䅁䅕䅁䅁䍑ㅏ䕕䭅䡁䅯䅁䉁䅁䅁允䅁䅁䅯杇䅁䅁杷允䅁䅁䅍䅁䑁䅁䅷䅁䙁䅁䅁䥁浂噮䉂权あ䅁䅁允䅁䅁䅅䅁䭁䡁䅳䅁䵁䅉䅅䅁䑁䅁䅁睁䵁䅁䅁兂䅁䅁䅃倯倱兑䅯䅤䅁䅁䅅䅁䉁䅁䅁权䥃䅁䅁䍄䉁䅁䅁睁䅁䅁䅍䅄䅁䅁䅕䅁䅁䕁婥䕕䭅䡁䅉䅁䉁䅁䅁允䅁䅁䅯杇䅁䅁杷允䅁䅁䅍䅁䑁䅁䅷䅁䙁䅁䅁䕁㡂ㅭ䉂权あ䅁䅁允䅁䅁䅅䅁䭁䥁䅁䅁䵁䅉䅅䅁䑁䅁䅁睁䵁䅁䅁兂䅁䅁䅁楮剰兑䅯入䅁䅁䅅䅁䉁䅁䅁权慁䅁䅁䍄䉁䅁䅁睁䅁䅁䅍䅄䅁䅁䅕䅁䅁䅑䍭歕䭅䡁䅫䅁䉁䅁䅁允䅁䅁䅯杇䅁䅁杷允䅁䅁䅍䅁䑁䅁䅷䅁䙁䅁䅁䥁浂噮䉂权㙂䅁䅁允䅁䅁䅅䅁䭁䡁䅳䅁䵁䅉䅅䅁䑁䅁䅁睁䵁䅁䅁兂䅁䅁䅂䍗兰兑䅯来䅁䅁䅅䅁䉁䅁䅁权慁䅁䅁䍄䉁䅁䅁睁䅁䅁䅍䅄䅁䅁䅕䅁䅁䭑圲䕕䭅䡁䅍䅁䉁䅁䅁允䅁䅁䅯兩䅁䅁杷允䅁䅁䅍䅁䑁䅁䅷䅁䙁䅁䅁䅁㕁噭䉂权㙂䅁䅁允䅁䅁䅅䅁䭁䉁䅯䅁䵁䅉䅅䅁䑁䅁䅁睁䵁䅁䅁兂䅁䅁䅄婲公兑䅯督䅁䅁䅅䅁䉁䅁䅁权㍂䅁䅁䍄䉁䅁䅁睁䅁䅁䅍䅄䅁䅁䅕䅁䅁䡁慗䕕䭅䡁䅫䅁䉁䅁䅁允䅁䅁䅯杇䅁䅁杷允䅁䅁䅍䅁䑁䅁䅷䅁䙁䅁䅁䅁㕁噭䉂权祂䅁䅁允䅁䅁䅅䅁䭁䉁䅯䅁䵁䅉䅅䅁䑁䅁䅁睁䵁䅁䅁兂䅁䅁䅄婲公兑䅯来䅁䅁䅅䅁䉁䅁䅁权㍂䅁䅁䍄䉁䅁䅁睁䅁䅁䅍䅄䅁䅁䅕䅁䅁䩁焴啕䭅䡁䅯䅁䉁䅁䅁允䅁䅁䅯杇䅁䅁杷允䅁䅁䅍䅁䑁䅁䅷䅁䙁䅁䅁䅁獂ㅭ䉂权祂䅁䅁允䅁䅁䅅䅁䭁䉁䅯䅁䵁䅉䅅䅁䑁䅁䅁睁䵁䅁䅁兂䅁䅁䅂㕣公兑䅯督䅁䅁䅅䅁䉁䅁䅁权㉂䅁䅁䍄䉁䅁䅁睁䅁䅁䅍䅄䅁䅁䅕䅁䅁䍷坏䕕䭅䡁䅯䅁䉁䅁䅁允䅁䅁䅯䅧䅁䅁杷允䅁䅁䅍䅁䑁䅁䅷䅁䙁䅁䅁䅁㑁噭䉂权穂䅁䅁允䅁䅁䅅䅁䭁䥁䅳䅁䵁䅉䅅䅁䑁䅁䅁睁䵁䅁䅁兂䅁䅁䅂婲党兑䅯来䅁䅁䅅䅁䉁䅁䅁权ㅂ䅁䅁䍄䉁䅁䅁睁䅁䅁䅍䅄䅁䅁䅕䅁䅁䙧扭䕕䭅䡁䅍䅁䉁䅁䅁允䅁䅁䅯杇䅁䅁杷允䅁䅁䅍䅁䑁䅁䅷䅁䙁䅁䅁䕁元噮䉂权あ䅁䅁允䅁䅁䅅䅁䭁䥁䅷䅁䵁䅉䅅䅁䑁䅁䅁睁䵁䅁䅁兂䅁䅁䅄慏兎兑䅯督䅁䅁䅅䅁䉁䅁䅁权㉂䅁䅁䍄䉁䅁䅁睁䅁䅁䅍䅄䅁䅁䅕䅁䅁䅧奆啕䭅䡁䅑䅁䉁䅁䅁允䅁䅁䅯䅩䅁䅁杷允䅁䅁䅍䅁䑁䅁䅷䅁䙁䅁䅁䕁䩁汧䉊权祂䅁䅁允䅁䅁䅅䅁䭁䉁䅯䅁䵁䅉䅅䅁䑁䅁䅁睁䵁䅁䅁兂䅁䅁䅃㕵党兑䅯䅤䅁䅁䅅䅁䉁䅁䅁权乃䅁䅁䍄䉁䅁䅁睁䅁䅁䅍䅄䅁䅁䅕䅁䅁䡷婋䕕䭅䡁䅫䅁䉁䅁䅁允䅁䅁䅯杇䅁䅁杷允䅁䅁䅍䅁䑁䅁䅷䅁䙁䅁䅁䥁婂ㅭ䉂权祂䅁䅁允䅁䅁䅅䅁䭁䉁䅯䅁䵁䅉䅅䅁䑁䅁䅁睁䵁䅁䅁兂䅁䅁䅄砶典兑䅯来䅁䅁䅅䅁䉁䅁䅁权慁䅁䅁䍄䉁䅁䅁睁䅁䅁䅍䅄䅁䅁䅕䅁䅁䝁婋䕕䭅䡁䅍䅁䉁䅁䅁允䅁䅁䅯杇䅁䅁杷允䅁䅁䅍䅁䑁䅁䅷䅁䙁䅁䅁䕁瑃汬䉂权祂䅁䅁允䅁䅁䅅䅁䭁䥁䅫䅁䵁䅉䅅䅁䑁䅁䅁睁䵁䅁䅁兂䅁䅁䅁䩏公兑䅯䅤䅁䅁䅅䅁䉁䅁䅁权ㅂ䅁䅁䍄䉁䅁䅁睁䅁䅁䅍䅄䅁䅁䅕䅁䅁偧㥺ご䭅䡁䅉䅁䉁䅁䅁允䅁䅁䅯杇䅁䅁杷允䅁䅁䅍䅁䑁䅁䅷䅁䙁䅁䅁䵁䉂䙭䉂权㙂䅁䅁允䅁䅁䅅䅁䭁䉁䅯䅁䵁䅉䅅䅁䑁䅁䅁睁䵁䅁䅁兂䅁䅁䅂䍗兰兑䅯杣䅁䅁䅅䅁䉁䅁䅁权慁䅁䅁䍄䉁䅁䅁睁䅁䅁䅍䅄䅁䅁䅕䅁䅁䭁楊ご䭅䡁䅑䅁䉁䅁䅁允䅁䅁䅯八䅁䅁杷允䅁䅁䅍䅁䑁䅁䅷䅁䙁䅁䅁䕁奂汋䉂权あ䅁䅁允䅁䅁䅅䅁䭁䥁䅯䅁䵁䅉䅅䅁䑁䅁䅁睁䵁䅁䅁兂䅁䅁䅁䩏公兑䅯杣䅁䅁䅅䅁䉁䅁䅁权佃䅁䅁䍄䉁䅁䅁睁䅁䅁䅍䅄䅁䅁䅕䅁䅁䡷婋䕕䭅䡁䅑䅁䉁䅁䅁允䅁䅁䅯睥䅁䅁杷允䅁䅁䅍䅁䑁䅁䅷䅁䙁䅁䅁䕁䙄䙡䈵权㕂䅁䅁允䅁䅁䅅䅁䭁䉁䅯䅁䵁䅉䅅䅁䑁䅁䅁睁䵁䅁䅁兂䅁䅁䅁浯偊兑䅯入䅁䅁䅅䅁䉁䅁䅁权慁䅁䅁䍄䉁䅁䅁睁䅁䅁䅍䅄䅁䅁䅕䅁䅁䑷橭䕕䭅䡁䅯䅁䉁䅁䅁允䅁䅁䅯睥䅁䅁杷允䅁䅁䅍䅁䑁䅁䅷䅁䙁䅁䅁䅁坁啔䈹权あ䅁䅁允䅁䅁䅅䅁䭁䩁䅉䅁䵁䅉䅅䅁䑁䅁䅁睁䵁䅁䅁兂䅁䅁䅁灦剸兑䅯来䅁䅁䅅䅁䉁䅁䅁权慁䅁䅁䍄䉁䅁䅁睁䅁䅁䅍䅄䅁䅁䅕䅁䅁䡁挶啕䭅䡁䅉䅁䉁䅁䅁允䅁䅁䅯杇䅁䅁杷允䅁䅁䅍䅁䑁䅁䅷䅁䙁䅁䅁䅁⭂䙮䉆权㕂䅁䅁允䅁䅁䅅䅁䭁䉁䅯䅁䵁䅉䅅䅁䑁䅁䅁睁䵁䅁䅁兂䅁䅁䅁灦剸兑䅯䅤䅁䅁䅅䅁䉁䅁䅁权䥃䅁䅁䍄䉁䅁䅁睁䅁䅁䅍䅄䅁䅁䅕䅁䅁䡁挶啕䭅䡁䅍䅁䉁䅁䅁允䅁䅁䅯杇䅁䅁杷允䅁䅁䅍䅁䑁䅁䅷䅁䙁䅁䅁䵁汁汬䉂权㙂䅁䅁允䅁䅁䅅䅁䭁䉁䅯䅁䵁䅉䅅䅁䑁䅁䅁睁䵁䅁䅁兂䅁䅁䅁歆倱兑䅯督䅁䅁䅅䅁䉁䅁䅁权慁䅁䅁䍄䉁䅁䅁睁䅁䅁䅍䅄䅁䅁䅕䅁䅁䭑圲䕕䭅䡁䅫䅁䉁䅁䅁允䅁䅁䅯兤䅁䅁杷允䅁䅁䅍䅁䑁䅁䅷䅁䙁䅁䅁䥁婂ㅭ䉂权あ䅁䅁允䅁䅁䅅䅁䭁䥁䅷䅁䵁䅉䅅䅁䑁䅁䅁睁䵁䅁䅁兂䅁䅁䅃汆㜵兑䅯杣䅁䅁䅅䅁䉁䅁䅁权慁䅁䅁䍄䉁䅁䅁睁䅁䅁䅍䅄䅁䅁䅕䅁䅁䭑捡䕕䭅䡁䅫䅁䉁䅁䅁允䅁䅁䅯杇䅁䅁杷允䅁䅁䅍䅁䑁䅁䅷䅁䙁䅁䅁䅁㑁噭䉂权㕂䅁䅁允䅁䅁䅅䅁䭁䡁䅕䅁䵁䅉䅅䅁䑁䅁䅁睁䵁䅁䅁兂䅁䅁䅂䩦兴兑䅯入䅁䅁䅅䅁䉁䅁䅁权慁䅁䅁䍄䉁䅁䅁睁䅁䅁䅍䅄䅁䅁䅕䅁䅁䭑捡䕕䭅䡁䅯䅁䉁䅁䅁允䅁䅁䅯杇䅁䅁杷允䅁䅁䅍䅁䑁䅁䅷䅁䙁䅁䅁䕁浃䙮䉂权祂䅁䅁允䅁䅁䅅䅁䭁䉁䅯䅁䵁䅉䅅䅁䑁䅁䅁睁䵁䅁䅁兂䅁䅁䅁佈但兑䅯来䅁䅁䅅䅁䉁䅁䅁权慁䅁䅁䍄䉁䅁䅁睁䅁䅁䅍䅄䅁䅁䅕䅁䅁䕷奇䕕䭅䡁䅑䅁䉁䅁䅁允䅁䅁䅯杫䅁䅁杷允䅁䅁䅍䅁䑁䅁䅷䅁䙁䅁䅁䥁㡄唯䈹权㕂䅁䅁允䅁䅁䅅䅁䭁䉁䅯䅁䵁䅉䅅䅁䑁䅁䅁睁䵁䅁䅁兂䅁䅁䅁㕒公兑䅯督䅁䅁䅅䅁䉁䅁䅁权慁䅁䅁䍄䉁䅁䅁睁䅁䅁䅍䅄䅁䅁䅕䅁䅁䑌ㅤ䕯䭅䡁䅑䅁䉁䅁䅁允䅁䅁䅯䅬䅁䅁杷允䅁䅁䅍䅁䑁䅁䅷䅁䙁䅁䅁䵁牄䙈䉂权穂䅁䅁允䅁䅁䅅䅁䭁䉁䅯䅁䵁䅉䅅䅁䑁䅁䅁睁䵁䅁䅁兂䅁䅁杁汘浒兑䅯杣䅁䅁䅅䅁䉁䅁䅁权慁䅁䅁䍄䉁䅁䅁睁䅁䅁䅍䅄䅁䅁䅕䅁䅁䵑潖歘䭅䡁䅍䅁䉁䅁䅁允䅁䅁䅯杇䅁䅁杷允䅁䅁䅍䅁䑁䅁䅷䅁䙁䅁䅁䕁䙄䙡䈵权あ䅁䅁允䅁䅁䅅䅁䭁䥁䅧䅁䵁䅉䅅䅁䑁䅁䅁睁䵁䅁䅁兂䅁䅁䅂祙典兑䅯来䅁䅁䅅䅁䉁䅁䅁权慁䅁䅁䍄䉁䅁䅁睁䅁䅁䅍䅄䅁䅁䅕䅁䅁䡑批䕕䭅䡁䅍䅁䉁䅁䅁允䅁䅁䅯杇䅁䅁杷允䅁䅁䅍䅁䑁䅁䅷䅁䙁䅁䅁䅁楂噭䉂权あ䅁䅁允䅁䅁䅅䅁䭁䩁䅉䅁䵁䅉䅅䅁䑁䅁䅁睁䵁䅁䅁兂䅁䅁䅁灙公兑䅯入䅁䅁䅅䅁䉁䅁䅁权慁䅁䅁䍄䉁䅁䅁睁䅁䅁䅍䅄䅁䅁䅕䅁䅁䑑慭䕕䭅䡁䅫䅁䉁䅁䅁允䅁䅁䅯睥䅁䅁杷允䅁䅁䅍䅁䑁䅁䅷䅁䙁䅁䅁䕁㕁汭䉂权祂䅁䅁允䅁䅁䅅䅁䭁䩁䅙䅁䵁䅉䅅䅁䑁䅁䅁睁䵁䅁䅁兂䅁䅁䅄灣公兑䅯督䅁䅁䅅䅁䉁䅁䅁权慁䅁䅁䍄䉁䅁䅁睁䅁䅁䅍䅄䅁䅁䅕䅁䅁䡷婋䕕䭅䡁䅯䅁䉁䅁䅁允䅁䅁䅯杇䅁䅁杷允䅁䅁䅍䅁䑁䅁䅷䅁䙁䅁䅁䕁㕁汭䉂权穂䅁䅁允䅁䅁䅅䅁䭁䩁䅣䅁䵁䅉䅅䅁䑁䅁䅁睁䵁䅁䅁兂䅁䅁䅁婹兰兑䅯督䅁䅁䅅䅁䉁䅁䅁权慁䅁䅁䍄䉁䅁䅁睁䅁䅁䅍䅄䅁䅁䅕䅁䅁䝑獍䕕䭅䡁䅫䅁䉁䅁䅁允䅁䅁䅯杇䅁䅁杷允䅁䅁䅍䅁䑁䅁䅷䅁䙁䅁䅁䵁敃汙䉆权祂䅁䅁允䅁䅁䅅䅁䭁䉁䅯䅁䵁䅉䅅䅁䑁䅁䅁睁䵁䅁䅁兂䅁䅁䅃噁剨兑䅯督䅁䅁䅅䅁䉁䅁䅁权慁䅁䅁䍄䉁䅁䅁睁䅁䅁䅍䅄䅁䅁䅕䅁䅁䅑䍭歕䭅䡁䅑䅁䉁䅁䅁允䅁䅁䅯睪䅁䅁杷允䅁䅁䅍䅁䑁䅁䅷䅁䙁䅁䅁䅁畄㍒䉨权㕂䅁䅁允䅁䅁䅅䅁䭁䉁䅯䅁䵁䅉䅅䅁䑁䅁䅁睁䵁䅁䅁兂䅁䅁䅁欷㑤兑䅯杣䅁䅁䅅䅁䉁䅁䅁权慁䅁䅁䍄䉁䅁䅁睁䅁䅁䅍䅄䅁䅁䅕䅁䅁乁㜶啕䭅䡁䅉䅁䉁䅁䅁允䅁䅁䅯兮䅁䅁杷允䅁䅁䅍䅁䑁䅁䅷䅁䙁䅁䅁䅁畄㍒䉨权穂䅁䅁允䅁䅁䅅䅁䭁䉁䅯䅁䵁䅉䅅䅁䑁䅁䅁睁䵁䅁䅁兂䅁䅁䅁欷㑤兑䅯䅤䅁䅁䅅䅁䉁䅁䅁权婃䅁䅁䍄䉁䅁䅁睁䅁䅁䅍䅄䅁䅁䅕䅁䅁䩷椵啕䭅䡁䅯䅁䉁䅁䅁允䅁䅁䅯杇䅁䅁杷允䅁䅁䅍䅁䑁䅁䅷䅁䙁䅁䅁䑁塁灇䉰权あ䅁䅁允䅁䅁䅅䅁䭁䥁䅕䅁䵁䅉䅅䅁䑁䅁䅁睁䵁䅁䅁兂䅁䅁䅄灦党兑䅯入䅁䅁䅅䅁䉁䅁䅁权慁䅁䅁䍄䉁䅁䅁睁䅁䅁䅍䅄䅁䅁䅕䅁䅁䍑ㅓ䕕䭅䡁䅉䅁䉁䅁䅁允䅁䅁䅯杇䅁䅁杷允䅁䅁䅍䅁䑁䅁䅷䅁䙁䅁䅁䕁歁噴䉂权あ䅁䅁允䅁䅁䅅䅁䭁䡁䅕䅁䵁䅉䅅䅁䑁䅁䅁睁䵁䅁䅁兂䅁䅁䅄婑全兑䅯督䅁䅁䅅䅁䉁䅁䅁权慁䅁䅁䍄䉁䅁䅁睁䅁䅁䅍䅄䅁䅁䅕䅁䅁乁㜶啕䭅䡁䅫䅁䉁䅁䅁允䅁䅁䅯䅮䅁䅁杷允䅁䅁䅍䅁䑁䅁䅷䅁䙁䅁䅁䑁塁灇䉰权㙂䅁䅁允䅁䅁䅅䅁䭁䡁䅳䅁䵁䅉䅅䅁䑁䅁䅁睁䵁䅁䅁兂䅁䅁䅁爳剴兑䅯督䅁䅁䅅䅁䉁䅁䅁权摃䅁䅁䍄䉁䅁䅁睁䅁䅁䅍䅄䅁䅁䅕䅁䅁乁㜶啕䭅䡁䅑䅁䉁䅁䅁允䅁䅁䅯䅮䅁䅁杷允䅁䅁䅍䅁䑁䅁䅷䅁䙁䅁䅁䑁塁灇䉰权㕂䅁䅁允䅁䅁䅅䅁䭁䡁䅳䅁䵁䅉䅅䅁䑁䅁䅁睁䵁䅁䅁兂䅁䅁䅂祙典兑䅯䅤䅁䅁䅅䅁䉁䅁䅁权ㅂ䅁䅁䍄䉁䅁䅁睁䅁䅁䅍䅄䅁䅁䅕䅁䅁䵑潖歘䭅䡁䅉䅁䉁䅁䅁允䅁䅁䅯杇䅁䅁杷允䅁䅁䅍䅁䑁䅁䅷䅁䙁䅁䅁䕁䙄䙡䈵权㙂䅁䅁允䅁䅁䅅䅁䭁䉁䅯䅁䵁䅉䅅䅁䑁䅁䅁睁䵁䅁䅁兂䅁䅁䅄㕉党兑䅯杣䅁䅁䅅䅁䉁䅁䅁权敃䅁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</si>
</sst>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
  </numFmts>
  <fonts count="3" x14ac:knownFonts="1">
    <font>
      <sz val="11"/>
      <color theme="1"/>
      <name val="Calibri"/>
      <family val="2"/>
      <scheme val="minor"/>
    </font>
    <font>
      <b/>
      <sz val="14"/>
      <name val="Calibri"/>
      <family val="2"/>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2" fillId="0" borderId="0" xfId="0" applyFont="1" applyAlignment="1">
      <alignment horizontal="right" vertical="top" wrapText="1"/>
    </xf>
    <xf numFmtId="0" fontId="2" fillId="0" borderId="0" xfId="0" applyFont="1" applyAlignment="1">
      <alignment horizontal="left" vertical="top" wrapText="1"/>
    </xf>
    <xf numFmtId="0" fontId="0" fillId="0" borderId="0" xfId="0" applyAlignment="1">
      <alignment horizontal="center"/>
    </xf>
    <xf numFmtId="0" fontId="1" fillId="0" borderId="0" xfId="0" applyFont="1" applyAlignment="1">
      <alignment horizontal="left"/>
    </xf>
    <xf numFmtId="0" fontId="1" fillId="0" borderId="0" xfId="0" applyFont="1"/>
    <xf numFmtId="0" fontId="2" fillId="0" borderId="0" xfId="0" applyFont="1" applyAlignment="1">
      <alignment horizontal="left" vertical="top"/>
    </xf>
    <xf numFmtId="0" fontId="0" fillId="0" borderId="0" xfId="0" applyAlignment="1">
      <alignment horizontal="left" vertical="top"/>
    </xf>
    <xf numFmtId="14" fontId="0" fillId="0" borderId="0" xfId="0" applyNumberFormat="1" applyAlignment="1">
      <alignment horizontal="left" vertical="top"/>
    </xf>
    <xf numFmtId="164" fontId="0" fillId="0" borderId="0" xfId="0" applyNumberFormat="1" applyAlignment="1">
      <alignment horizontal="right" vertical="top"/>
    </xf>
    <xf numFmtId="165" fontId="0" fillId="0" borderId="0" xfId="0" applyNumberFormat="1" applyAlignment="1">
      <alignment horizontal="right" vertical="top"/>
    </xf>
    <xf numFmtId="0" fontId="0" fillId="0" borderId="0" xfId="0" applyAlignment="1">
      <alignment horizontal="right" vertical="top"/>
    </xf>
    <xf numFmtId="0" fontId="0" fillId="0" borderId="0" xfId="0" applyAlignment="1">
      <alignment horizontal="left" vertical="top" wrapText="1"/>
    </xf>
    <xf numFmtId="0" fontId="0" fillId="0" borderId="0" xfId="0" applyAlignment="1">
      <alignment horizontal="left" wrapText="1"/>
    </xf>
    <xf numFmtId="0" fontId="0" fillId="0" borderId="0" xfId="0" applyAlignment="1">
      <alignment horizontal="left"/>
    </xf>
    <xf numFmtId="0" fontId="0" fillId="0" borderId="0" xfId="0" applyAlignment="1">
      <alignment wrapText="1"/>
    </xf>
    <xf numFmtId="0" fontId="1" fillId="0" borderId="0" xfId="0" applyFont="1" applyAlignment="1">
      <alignment wrapText="1"/>
    </xf>
    <xf numFmtId="1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28575</xdr:colOff>
      <xdr:row>0</xdr:row>
      <xdr:rowOff>28575</xdr:rowOff>
    </xdr:from>
    <xdr:ext cx="1524000" cy="419100"/>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28575" y="28575"/>
          <a:ext cx="1524000" cy="41910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Program%20Files/SNL%20Financial/SNLxl/SNLXLAddin.xla" TargetMode="External"/><Relationship Id="rId2" Type="http://schemas.openxmlformats.org/officeDocument/2006/relationships/externalLinkPath" Target="file:///C:\Program%20Files\SNL%20Financial\SNLxl\SNLXLAddin.xla" TargetMode="External"/><Relationship Id="rId1" Type="http://schemas.openxmlformats.org/officeDocument/2006/relationships/externalLinkPath" Target="/Program%20Files/SNL%20Financial/SNLxl/SNLXLAddin.xl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 val="Sheet2"/>
      <sheetName val="Sheet3"/>
    </sheetNames>
    <definedNames>
      <definedName name="SNLData"/>
    </definedNames>
    <sheetDataSet>
      <sheetData sheetId="0"/>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F61A4-0D1D-4C6B-8B54-65323B2F850F}">
  <dimension ref="A1"/>
  <sheetViews>
    <sheetView workbookViewId="0"/>
  </sheetViews>
  <sheetFormatPr defaultRowHeight="15" x14ac:dyDescent="0.25"/>
  <sheetData>
    <row r="1" spans="1:1" x14ac:dyDescent="0.25">
      <c r="A1" t="s">
        <v>401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71"/>
  <sheetViews>
    <sheetView workbookViewId="0">
      <selection sqref="A1:D1"/>
    </sheetView>
  </sheetViews>
  <sheetFormatPr defaultRowHeight="15" x14ac:dyDescent="0.25"/>
  <cols>
    <col min="1" max="1" width="48.5703125" customWidth="1"/>
    <col min="2" max="2" width="23.7109375" customWidth="1"/>
    <col min="3" max="3" width="16.140625" customWidth="1"/>
    <col min="4" max="4" width="20.85546875" customWidth="1"/>
    <col min="5" max="5" width="23.5703125" customWidth="1"/>
    <col min="6" max="6" width="16.140625" customWidth="1"/>
    <col min="7" max="7" width="23.5703125" customWidth="1"/>
    <col min="8" max="8" width="17.5703125" customWidth="1"/>
    <col min="9" max="9" width="23.5703125" customWidth="1"/>
    <col min="10" max="10" width="21.5703125" customWidth="1"/>
    <col min="11" max="12" width="23.5703125" customWidth="1"/>
    <col min="13" max="13" width="23.85546875" customWidth="1"/>
    <col min="14" max="14" width="17.5703125" customWidth="1"/>
    <col min="15" max="15" width="25.140625" customWidth="1"/>
    <col min="16" max="17" width="21.140625" customWidth="1"/>
    <col min="18" max="19" width="22.42578125" customWidth="1"/>
    <col min="20" max="20" width="21.140625" customWidth="1"/>
    <col min="21" max="21" width="22.42578125" customWidth="1"/>
    <col min="22" max="23" width="21.140625" customWidth="1"/>
    <col min="24" max="24" width="25.140625" customWidth="1"/>
    <col min="25" max="25" width="22.42578125" customWidth="1"/>
    <col min="26" max="26" width="21.140625" customWidth="1"/>
    <col min="27" max="27" width="22.42578125" customWidth="1"/>
    <col min="28" max="28" width="21.140625" customWidth="1"/>
    <col min="29" max="29" width="23.85546875" customWidth="1"/>
    <col min="30" max="30" width="21.140625" customWidth="1"/>
    <col min="31" max="32" width="16.140625" customWidth="1"/>
    <col min="33" max="33" width="21.140625" customWidth="1"/>
    <col min="34" max="36" width="22.42578125" customWidth="1"/>
    <col min="37" max="37" width="21.140625" customWidth="1"/>
    <col min="38" max="38" width="19.5703125" customWidth="1"/>
    <col min="39" max="39" width="21.140625" customWidth="1"/>
    <col min="40" max="41" width="16.140625" customWidth="1"/>
    <col min="42" max="42" width="20.5703125" customWidth="1"/>
    <col min="43" max="44" width="21.140625" customWidth="1"/>
    <col min="45" max="45" width="22.42578125" customWidth="1"/>
    <col min="46" max="46" width="23.28515625" customWidth="1"/>
  </cols>
  <sheetData>
    <row r="1" spans="1:46" ht="39.950000000000003" customHeight="1" x14ac:dyDescent="0.25">
      <c r="A1" s="3"/>
      <c r="B1" s="3"/>
      <c r="C1" s="3"/>
      <c r="D1" s="3"/>
    </row>
    <row r="2" spans="1:46" ht="30" customHeight="1" x14ac:dyDescent="0.3">
      <c r="A2" s="4" t="s">
        <v>192</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row>
    <row r="3" spans="1:46" x14ac:dyDescent="0.25">
      <c r="A3" s="6" t="s">
        <v>0</v>
      </c>
    </row>
    <row r="4" spans="1:46" x14ac:dyDescent="0.25">
      <c r="A4" s="6" t="s">
        <v>1</v>
      </c>
    </row>
    <row r="5" spans="1:46" x14ac:dyDescent="0.25">
      <c r="A5" s="7"/>
    </row>
    <row r="6" spans="1:46" x14ac:dyDescent="0.25">
      <c r="A6" s="2" t="s">
        <v>3</v>
      </c>
      <c r="B6" s="2" t="s">
        <v>4</v>
      </c>
      <c r="C6" s="2" t="s">
        <v>5</v>
      </c>
      <c r="D6" s="2" t="s">
        <v>6</v>
      </c>
      <c r="E6" s="1" t="s">
        <v>7</v>
      </c>
      <c r="F6" s="1" t="s">
        <v>8</v>
      </c>
      <c r="G6" s="1" t="s">
        <v>9</v>
      </c>
      <c r="H6" s="1" t="s">
        <v>10</v>
      </c>
      <c r="I6" s="1" t="s">
        <v>11</v>
      </c>
      <c r="J6" s="1" t="s">
        <v>12</v>
      </c>
      <c r="K6" s="1" t="s">
        <v>13</v>
      </c>
      <c r="L6" s="1" t="s">
        <v>14</v>
      </c>
      <c r="M6" s="1" t="s">
        <v>15</v>
      </c>
      <c r="N6" s="1" t="s">
        <v>16</v>
      </c>
      <c r="O6" s="1" t="s">
        <v>17</v>
      </c>
      <c r="P6" s="1" t="s">
        <v>18</v>
      </c>
      <c r="Q6" s="1" t="s">
        <v>19</v>
      </c>
      <c r="R6" s="1" t="s">
        <v>20</v>
      </c>
      <c r="S6" s="1" t="s">
        <v>21</v>
      </c>
      <c r="T6" s="1" t="s">
        <v>22</v>
      </c>
      <c r="U6" s="1" t="s">
        <v>23</v>
      </c>
      <c r="V6" s="1" t="s">
        <v>24</v>
      </c>
      <c r="W6" s="1" t="s">
        <v>25</v>
      </c>
      <c r="X6" s="1" t="s">
        <v>26</v>
      </c>
      <c r="Y6" s="1" t="s">
        <v>27</v>
      </c>
      <c r="Z6" s="1" t="s">
        <v>28</v>
      </c>
      <c r="AA6" s="1" t="s">
        <v>29</v>
      </c>
      <c r="AB6" s="1" t="s">
        <v>30</v>
      </c>
      <c r="AC6" s="1" t="s">
        <v>31</v>
      </c>
      <c r="AD6" s="1" t="s">
        <v>32</v>
      </c>
      <c r="AE6" s="1" t="s">
        <v>33</v>
      </c>
      <c r="AF6" s="1" t="s">
        <v>34</v>
      </c>
      <c r="AG6" s="1" t="s">
        <v>35</v>
      </c>
      <c r="AH6" s="1" t="s">
        <v>36</v>
      </c>
      <c r="AI6" s="1" t="s">
        <v>37</v>
      </c>
      <c r="AJ6" s="1" t="s">
        <v>38</v>
      </c>
      <c r="AK6" s="1" t="s">
        <v>39</v>
      </c>
      <c r="AL6" s="1" t="s">
        <v>40</v>
      </c>
      <c r="AM6" s="1" t="s">
        <v>41</v>
      </c>
      <c r="AN6" s="1" t="s">
        <v>42</v>
      </c>
      <c r="AO6" s="1" t="s">
        <v>43</v>
      </c>
      <c r="AP6" s="1" t="s">
        <v>44</v>
      </c>
      <c r="AQ6" s="1" t="s">
        <v>45</v>
      </c>
      <c r="AR6" s="1" t="s">
        <v>46</v>
      </c>
      <c r="AS6" s="1" t="s">
        <v>47</v>
      </c>
      <c r="AT6" s="1" t="s">
        <v>48</v>
      </c>
    </row>
    <row r="7" spans="1:46" x14ac:dyDescent="0.25">
      <c r="A7" s="2"/>
      <c r="B7" s="2"/>
      <c r="C7" s="2"/>
      <c r="D7" s="2"/>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row>
    <row r="8" spans="1:46" x14ac:dyDescent="0.25">
      <c r="A8" s="2"/>
      <c r="B8" s="2"/>
      <c r="C8" s="2"/>
      <c r="D8" s="2"/>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row>
    <row r="9" spans="1:46" x14ac:dyDescent="0.25">
      <c r="A9" s="2"/>
      <c r="B9" s="2"/>
      <c r="C9" s="2"/>
      <c r="D9" s="2"/>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row>
    <row r="10" spans="1:46" x14ac:dyDescent="0.25">
      <c r="A10" s="8">
        <v>46022</v>
      </c>
      <c r="B10" s="7" t="s">
        <v>49</v>
      </c>
      <c r="C10" s="7" t="s">
        <v>50</v>
      </c>
      <c r="D10" s="7" t="s">
        <v>51</v>
      </c>
      <c r="E10" s="9">
        <v>0</v>
      </c>
      <c r="F10" s="9">
        <v>0</v>
      </c>
      <c r="G10" s="9">
        <v>0</v>
      </c>
      <c r="H10" s="9">
        <v>0</v>
      </c>
      <c r="I10" s="9">
        <v>0</v>
      </c>
      <c r="J10" s="9">
        <v>165</v>
      </c>
      <c r="K10" s="9">
        <v>165</v>
      </c>
      <c r="L10" s="9">
        <v>165</v>
      </c>
      <c r="M10" s="10">
        <v>3.209079</v>
      </c>
      <c r="N10" s="10">
        <v>0</v>
      </c>
      <c r="O10" s="10">
        <v>0.84201700000000002</v>
      </c>
      <c r="P10" s="10">
        <v>5.391343</v>
      </c>
      <c r="Q10" s="10">
        <v>9.4424390000000002</v>
      </c>
      <c r="R10" s="10">
        <v>3.4739140000000002</v>
      </c>
      <c r="S10" s="10">
        <v>1.7833669999999999</v>
      </c>
      <c r="T10" s="10">
        <v>2.8105519999999999</v>
      </c>
      <c r="U10" s="10">
        <v>2.4982540000000002</v>
      </c>
      <c r="V10" s="10">
        <v>10.566087</v>
      </c>
      <c r="W10" s="10">
        <v>20.008526</v>
      </c>
      <c r="X10" s="10">
        <v>5.9160325099830304</v>
      </c>
      <c r="Y10" s="10">
        <v>12.75393673590915</v>
      </c>
      <c r="Z10" s="10">
        <v>38.678495245892179</v>
      </c>
      <c r="AA10" s="10">
        <v>7.4754258571483829</v>
      </c>
      <c r="AB10" s="10">
        <v>46.15392110304056</v>
      </c>
      <c r="AC10" s="10">
        <v>0</v>
      </c>
      <c r="AD10" s="10">
        <v>3.919365</v>
      </c>
      <c r="AE10" s="10">
        <v>0</v>
      </c>
      <c r="AF10" s="10">
        <v>0</v>
      </c>
      <c r="AG10" s="10">
        <v>50.073286103040559</v>
      </c>
      <c r="AH10" s="10">
        <v>2.247665</v>
      </c>
      <c r="AI10" s="10">
        <v>0</v>
      </c>
      <c r="AJ10" s="10">
        <v>1.0816889999999999</v>
      </c>
      <c r="AK10" s="10">
        <v>49.483275103040562</v>
      </c>
      <c r="AL10" s="10">
        <v>0</v>
      </c>
      <c r="AM10" s="10">
        <v>0</v>
      </c>
      <c r="AN10" s="10">
        <v>0</v>
      </c>
      <c r="AO10" s="10">
        <v>0</v>
      </c>
      <c r="AP10" s="10">
        <v>0</v>
      </c>
      <c r="AQ10" s="10">
        <v>49.483275103040562</v>
      </c>
      <c r="AR10" s="10">
        <v>49.386031568977522</v>
      </c>
      <c r="AS10" s="10">
        <v>10.707536323085341</v>
      </c>
      <c r="AT10" s="10">
        <v>3.2321104659369562</v>
      </c>
    </row>
    <row r="11" spans="1:46" x14ac:dyDescent="0.25">
      <c r="A11" s="8">
        <v>46022</v>
      </c>
      <c r="B11" s="7" t="s">
        <v>52</v>
      </c>
      <c r="C11" s="7" t="s">
        <v>53</v>
      </c>
      <c r="D11" s="7" t="s">
        <v>54</v>
      </c>
      <c r="E11" s="9">
        <v>2.8</v>
      </c>
      <c r="F11" s="9">
        <v>0</v>
      </c>
      <c r="G11" s="9">
        <v>2.8</v>
      </c>
      <c r="H11" s="9">
        <v>1</v>
      </c>
      <c r="I11" s="9">
        <v>2.8</v>
      </c>
      <c r="J11" s="9">
        <v>0</v>
      </c>
      <c r="K11" s="9">
        <v>2.8</v>
      </c>
      <c r="L11" s="9">
        <v>535.79999999999995</v>
      </c>
      <c r="M11" s="10">
        <v>0.216389</v>
      </c>
      <c r="N11" s="10">
        <v>5.9539000000000002E-2</v>
      </c>
      <c r="O11" s="10">
        <v>6.9930000000000001E-3</v>
      </c>
      <c r="P11" s="10">
        <v>1.4963000000000001E-2</v>
      </c>
      <c r="Q11" s="10">
        <v>0.29788399999999998</v>
      </c>
      <c r="R11" s="10">
        <v>15.953837999999999</v>
      </c>
      <c r="S11" s="10">
        <v>13.720582</v>
      </c>
      <c r="T11" s="10">
        <v>4.5155409999999998</v>
      </c>
      <c r="U11" s="10">
        <v>14.461102</v>
      </c>
      <c r="V11" s="10">
        <v>48.651063000000001</v>
      </c>
      <c r="W11" s="10">
        <v>48.948946999999997</v>
      </c>
      <c r="X11" s="10">
        <v>2.731860522092199</v>
      </c>
      <c r="Y11" s="10">
        <v>0</v>
      </c>
      <c r="Z11" s="10">
        <v>51.680807522092202</v>
      </c>
      <c r="AA11" s="10">
        <v>4.2266412218560552</v>
      </c>
      <c r="AB11" s="10">
        <v>55.907448743948251</v>
      </c>
      <c r="AC11" s="10">
        <v>0</v>
      </c>
      <c r="AD11" s="10">
        <v>16.176839999999999</v>
      </c>
      <c r="AE11" s="10">
        <v>0</v>
      </c>
      <c r="AF11" s="10">
        <v>0</v>
      </c>
      <c r="AG11" s="10">
        <v>72.08428874394825</v>
      </c>
      <c r="AH11" s="10">
        <v>6.5384089999999988</v>
      </c>
      <c r="AI11" s="10">
        <v>0</v>
      </c>
      <c r="AJ11" s="10">
        <v>10.553665000000001</v>
      </c>
      <c r="AK11" s="10">
        <v>72.999522743948248</v>
      </c>
      <c r="AL11" s="10">
        <v>0</v>
      </c>
      <c r="AM11" s="10">
        <v>0</v>
      </c>
      <c r="AN11" s="10">
        <v>0</v>
      </c>
      <c r="AO11" s="10">
        <v>0</v>
      </c>
      <c r="AP11" s="10">
        <v>0</v>
      </c>
      <c r="AQ11" s="10">
        <v>72.999522743948248</v>
      </c>
      <c r="AR11" s="10">
        <v>211.3322612294215</v>
      </c>
      <c r="AS11" s="10">
        <v>159.6514537073293</v>
      </c>
      <c r="AT11" s="10">
        <v>155.4248124854733</v>
      </c>
    </row>
    <row r="12" spans="1:46" x14ac:dyDescent="0.25">
      <c r="A12" s="8">
        <v>46022</v>
      </c>
      <c r="B12" s="7" t="s">
        <v>55</v>
      </c>
      <c r="C12" s="7" t="s">
        <v>56</v>
      </c>
      <c r="D12" s="7" t="s">
        <v>57</v>
      </c>
      <c r="E12" s="9">
        <v>0</v>
      </c>
      <c r="F12" s="9">
        <v>0</v>
      </c>
      <c r="G12" s="9">
        <v>0</v>
      </c>
      <c r="H12" s="9">
        <v>0</v>
      </c>
      <c r="I12" s="9">
        <v>0</v>
      </c>
      <c r="J12" s="9">
        <v>684</v>
      </c>
      <c r="K12" s="9">
        <v>684</v>
      </c>
      <c r="L12" s="9">
        <v>684</v>
      </c>
      <c r="M12" s="10">
        <v>28.923463999999999</v>
      </c>
      <c r="N12" s="10">
        <v>28.070563</v>
      </c>
      <c r="O12" s="10">
        <v>7.9793979999999998</v>
      </c>
      <c r="P12" s="10">
        <v>25.373466000000001</v>
      </c>
      <c r="Q12" s="10">
        <v>90.346890999999999</v>
      </c>
      <c r="R12" s="10">
        <v>13.207618</v>
      </c>
      <c r="S12" s="10">
        <v>6.7431419999999997</v>
      </c>
      <c r="T12" s="10">
        <v>11.63256</v>
      </c>
      <c r="U12" s="10">
        <v>18.534276999999999</v>
      </c>
      <c r="V12" s="10">
        <v>50.117597000000004</v>
      </c>
      <c r="W12" s="10">
        <v>140.46448799999999</v>
      </c>
      <c r="X12" s="10">
        <v>6.0276686289122807</v>
      </c>
      <c r="Y12" s="10">
        <v>60.021592101226467</v>
      </c>
      <c r="Z12" s="10">
        <v>206.5137487301387</v>
      </c>
      <c r="AA12" s="10">
        <v>14.41890192297058</v>
      </c>
      <c r="AB12" s="10">
        <v>220.93265065310931</v>
      </c>
      <c r="AC12" s="10">
        <v>0</v>
      </c>
      <c r="AD12" s="10">
        <v>88.792868999999996</v>
      </c>
      <c r="AE12" s="10">
        <v>0</v>
      </c>
      <c r="AF12" s="10">
        <v>0</v>
      </c>
      <c r="AG12" s="10">
        <v>309.7255196531093</v>
      </c>
      <c r="AH12" s="10">
        <v>13.630139</v>
      </c>
      <c r="AI12" s="10">
        <v>0</v>
      </c>
      <c r="AJ12" s="10">
        <v>36.549708000000003</v>
      </c>
      <c r="AK12" s="10">
        <v>271.1124976531093</v>
      </c>
      <c r="AL12" s="10">
        <v>0</v>
      </c>
      <c r="AM12" s="10">
        <v>0</v>
      </c>
      <c r="AN12" s="10">
        <v>0</v>
      </c>
      <c r="AO12" s="10">
        <v>0</v>
      </c>
      <c r="AP12" s="10">
        <v>0</v>
      </c>
      <c r="AQ12" s="10">
        <v>271.1124976531093</v>
      </c>
      <c r="AR12" s="10">
        <v>364.20827662377968</v>
      </c>
      <c r="AS12" s="10">
        <v>157.6945278936409</v>
      </c>
      <c r="AT12" s="10">
        <v>143.27562597067029</v>
      </c>
    </row>
    <row r="13" spans="1:46" x14ac:dyDescent="0.25">
      <c r="A13" s="8">
        <v>46022</v>
      </c>
      <c r="B13" s="7" t="s">
        <v>58</v>
      </c>
      <c r="C13" s="7" t="s">
        <v>59</v>
      </c>
      <c r="D13" s="7" t="s">
        <v>60</v>
      </c>
      <c r="E13" s="9">
        <v>1</v>
      </c>
      <c r="F13" s="9">
        <v>0</v>
      </c>
      <c r="G13" s="9">
        <v>1</v>
      </c>
      <c r="H13" s="9">
        <v>2.4589999999999998E-3</v>
      </c>
      <c r="I13" s="9">
        <v>406.67764699999998</v>
      </c>
      <c r="J13" s="9">
        <v>0</v>
      </c>
      <c r="K13" s="9">
        <v>406.67764699999998</v>
      </c>
      <c r="L13" s="9">
        <v>264.34047099999998</v>
      </c>
      <c r="M13" s="10">
        <v>21.444790000000001</v>
      </c>
      <c r="N13" s="10">
        <v>71.535448000000002</v>
      </c>
      <c r="O13" s="10">
        <v>0.22691500000000001</v>
      </c>
      <c r="P13" s="10">
        <v>13.103747</v>
      </c>
      <c r="Q13" s="10">
        <v>106.3109</v>
      </c>
      <c r="R13" s="10">
        <v>44.003652000000002</v>
      </c>
      <c r="S13" s="10">
        <v>74.427929000000006</v>
      </c>
      <c r="T13" s="10">
        <v>33.183683000000002</v>
      </c>
      <c r="U13" s="10">
        <v>78.585967999999994</v>
      </c>
      <c r="V13" s="10">
        <v>230.201232</v>
      </c>
      <c r="W13" s="10">
        <v>336.51213200000001</v>
      </c>
      <c r="X13" s="10">
        <v>0</v>
      </c>
      <c r="Y13" s="10">
        <v>16.12696630707012</v>
      </c>
      <c r="Z13" s="10">
        <v>352.63909830707013</v>
      </c>
      <c r="AA13" s="10">
        <v>0</v>
      </c>
      <c r="AB13" s="10">
        <v>352.63909830707013</v>
      </c>
      <c r="AC13" s="10">
        <v>0</v>
      </c>
      <c r="AD13" s="10">
        <v>37.329701999999997</v>
      </c>
      <c r="AE13" s="10">
        <v>0</v>
      </c>
      <c r="AF13" s="10">
        <v>0</v>
      </c>
      <c r="AG13" s="10">
        <v>389.96880030707013</v>
      </c>
      <c r="AH13" s="10">
        <v>50.971912000000003</v>
      </c>
      <c r="AI13" s="10">
        <v>0</v>
      </c>
      <c r="AJ13" s="10">
        <v>36.005814999999998</v>
      </c>
      <c r="AK13" s="10">
        <v>439.61682530707009</v>
      </c>
      <c r="AL13" s="10">
        <v>0</v>
      </c>
      <c r="AM13" s="10">
        <v>0</v>
      </c>
      <c r="AN13" s="10">
        <v>0</v>
      </c>
      <c r="AO13" s="10">
        <v>0</v>
      </c>
      <c r="AP13" s="10">
        <v>0</v>
      </c>
      <c r="AQ13" s="10">
        <v>439.61682530707009</v>
      </c>
      <c r="AR13" s="10">
        <v>322.76138184924469</v>
      </c>
      <c r="AS13" s="10">
        <v>-29.87771645782539</v>
      </c>
      <c r="AT13" s="10">
        <v>-29.87771645782539</v>
      </c>
    </row>
    <row r="14" spans="1:46" x14ac:dyDescent="0.25">
      <c r="A14" s="8">
        <v>46022</v>
      </c>
      <c r="B14" s="7" t="s">
        <v>61</v>
      </c>
      <c r="C14" s="7" t="s">
        <v>62</v>
      </c>
      <c r="D14" s="7" t="s">
        <v>51</v>
      </c>
      <c r="E14" s="9">
        <v>0</v>
      </c>
      <c r="F14" s="9">
        <v>0</v>
      </c>
      <c r="G14" s="9">
        <v>0</v>
      </c>
      <c r="H14" s="9">
        <v>0</v>
      </c>
      <c r="I14" s="9">
        <v>0</v>
      </c>
      <c r="J14" s="9">
        <v>12000</v>
      </c>
      <c r="K14" s="9">
        <v>12000</v>
      </c>
      <c r="L14" s="9">
        <v>13500</v>
      </c>
      <c r="M14" s="10">
        <v>33.463132000000002</v>
      </c>
      <c r="N14" s="10">
        <v>0.86302199999999996</v>
      </c>
      <c r="O14" s="10">
        <v>1.7986759999999999</v>
      </c>
      <c r="P14" s="10">
        <v>6.9927359999999998</v>
      </c>
      <c r="Q14" s="10">
        <v>43.117565999999997</v>
      </c>
      <c r="R14" s="10">
        <v>1.1343399999999999</v>
      </c>
      <c r="S14" s="10">
        <v>0.70357899999999995</v>
      </c>
      <c r="T14" s="10">
        <v>2.373335</v>
      </c>
      <c r="U14" s="10">
        <v>1.8374889999999999</v>
      </c>
      <c r="V14" s="10">
        <v>6.048743</v>
      </c>
      <c r="W14" s="10">
        <v>49.166308999999998</v>
      </c>
      <c r="X14" s="10">
        <v>1.2008003088000001</v>
      </c>
      <c r="Y14" s="10">
        <v>19.037828709271931</v>
      </c>
      <c r="Z14" s="10">
        <v>69.404938018071931</v>
      </c>
      <c r="AA14" s="10">
        <v>3.6086366000158381</v>
      </c>
      <c r="AB14" s="10">
        <v>73.013574618087773</v>
      </c>
      <c r="AC14" s="10">
        <v>0</v>
      </c>
      <c r="AD14" s="10">
        <v>17.847380000000001</v>
      </c>
      <c r="AE14" s="10">
        <v>0</v>
      </c>
      <c r="AF14" s="10">
        <v>0</v>
      </c>
      <c r="AG14" s="10">
        <v>90.860954618087774</v>
      </c>
      <c r="AH14" s="10">
        <v>2.5925929999999999</v>
      </c>
      <c r="AI14" s="10">
        <v>0</v>
      </c>
      <c r="AJ14" s="10">
        <v>13.333333</v>
      </c>
      <c r="AK14" s="10">
        <v>88.939500618087763</v>
      </c>
      <c r="AL14" s="10">
        <v>0</v>
      </c>
      <c r="AM14" s="10">
        <v>0</v>
      </c>
      <c r="AN14" s="10">
        <v>0</v>
      </c>
      <c r="AO14" s="10">
        <v>0</v>
      </c>
      <c r="AP14" s="10">
        <v>0</v>
      </c>
      <c r="AQ14" s="10">
        <v>88.939500618087763</v>
      </c>
      <c r="AR14" s="10">
        <v>235.89031317092429</v>
      </c>
      <c r="AS14" s="10">
        <v>166.48537515285241</v>
      </c>
      <c r="AT14" s="10">
        <v>162.87673855283651</v>
      </c>
    </row>
    <row r="15" spans="1:46" x14ac:dyDescent="0.25">
      <c r="A15" s="8">
        <v>46022</v>
      </c>
      <c r="B15" s="7" t="s">
        <v>63</v>
      </c>
      <c r="C15" s="7" t="s">
        <v>64</v>
      </c>
      <c r="D15" s="7" t="s">
        <v>65</v>
      </c>
      <c r="E15" s="9">
        <v>0</v>
      </c>
      <c r="F15" s="9">
        <v>0</v>
      </c>
      <c r="G15" s="9">
        <v>0</v>
      </c>
      <c r="H15" s="9">
        <v>0</v>
      </c>
      <c r="I15" s="9">
        <v>0</v>
      </c>
      <c r="J15" s="9">
        <v>5000</v>
      </c>
      <c r="K15" s="9">
        <v>5000</v>
      </c>
      <c r="L15" s="9">
        <v>5400</v>
      </c>
      <c r="M15" s="10">
        <v>15.684112000000001</v>
      </c>
      <c r="N15" s="10">
        <v>1.687109</v>
      </c>
      <c r="O15" s="10">
        <v>5.9760419999999987</v>
      </c>
      <c r="P15" s="10">
        <v>27.034842999999999</v>
      </c>
      <c r="Q15" s="10">
        <v>50.382105999999993</v>
      </c>
      <c r="R15" s="10">
        <v>6.2456659999999991</v>
      </c>
      <c r="S15" s="10">
        <v>12.322779000000001</v>
      </c>
      <c r="T15" s="10">
        <v>15.240017</v>
      </c>
      <c r="U15" s="10">
        <v>20.12079</v>
      </c>
      <c r="V15" s="10">
        <v>53.929251999999998</v>
      </c>
      <c r="W15" s="10">
        <v>104.311358</v>
      </c>
      <c r="X15" s="10">
        <v>1.5551272814259261E-3</v>
      </c>
      <c r="Y15" s="10">
        <v>2.788791063603699</v>
      </c>
      <c r="Z15" s="10">
        <v>107.1017041908851</v>
      </c>
      <c r="AA15" s="10">
        <v>5.1103263738294737</v>
      </c>
      <c r="AB15" s="10">
        <v>112.2120305647146</v>
      </c>
      <c r="AC15" s="10">
        <v>0</v>
      </c>
      <c r="AD15" s="10">
        <v>16.252472000000001</v>
      </c>
      <c r="AE15" s="10">
        <v>0</v>
      </c>
      <c r="AF15" s="10">
        <v>0</v>
      </c>
      <c r="AG15" s="10">
        <v>128.46450256471459</v>
      </c>
      <c r="AH15" s="10">
        <v>4.0005030000000001</v>
      </c>
      <c r="AI15" s="10">
        <v>0</v>
      </c>
      <c r="AJ15" s="10">
        <v>1.111046</v>
      </c>
      <c r="AK15" s="10">
        <v>117.32357956471461</v>
      </c>
      <c r="AL15" s="10">
        <v>0</v>
      </c>
      <c r="AM15" s="10">
        <v>0</v>
      </c>
      <c r="AN15" s="10">
        <v>0</v>
      </c>
      <c r="AO15" s="10">
        <v>0</v>
      </c>
      <c r="AP15" s="10">
        <v>0</v>
      </c>
      <c r="AQ15" s="10">
        <v>117.32357956471461</v>
      </c>
      <c r="AR15" s="10">
        <v>102.2067302258167</v>
      </c>
      <c r="AS15" s="10">
        <v>-4.894973965068421</v>
      </c>
      <c r="AT15" s="10">
        <v>-10.0053003388979</v>
      </c>
    </row>
    <row r="16" spans="1:46" x14ac:dyDescent="0.25">
      <c r="A16" s="8">
        <v>46022</v>
      </c>
      <c r="B16" s="7" t="s">
        <v>66</v>
      </c>
      <c r="C16" s="7" t="s">
        <v>67</v>
      </c>
      <c r="D16" s="7" t="s">
        <v>68</v>
      </c>
      <c r="E16" s="9">
        <v>0</v>
      </c>
      <c r="F16" s="9">
        <v>0</v>
      </c>
      <c r="G16" s="9">
        <v>0</v>
      </c>
      <c r="H16" s="9">
        <v>0</v>
      </c>
      <c r="I16" s="9">
        <v>0</v>
      </c>
      <c r="J16" s="9">
        <v>880</v>
      </c>
      <c r="K16" s="9">
        <v>880</v>
      </c>
      <c r="L16" s="9">
        <v>880</v>
      </c>
      <c r="M16" s="10">
        <v>37.408580802919708</v>
      </c>
      <c r="N16" s="10">
        <v>2.8194710000000001</v>
      </c>
      <c r="O16" s="10">
        <v>7.8738428467153287</v>
      </c>
      <c r="P16" s="10">
        <v>95.184980875912416</v>
      </c>
      <c r="Q16" s="10">
        <v>143.28687552554749</v>
      </c>
      <c r="R16" s="10">
        <v>16.14708839416058</v>
      </c>
      <c r="S16" s="10">
        <v>11.03860649635037</v>
      </c>
      <c r="T16" s="10">
        <v>11.33048306569343</v>
      </c>
      <c r="U16" s="10">
        <v>20.58796810218978</v>
      </c>
      <c r="V16" s="10">
        <v>59.104146058394157</v>
      </c>
      <c r="W16" s="10">
        <v>202.39102158394161</v>
      </c>
      <c r="X16" s="10">
        <v>53.314783629137949</v>
      </c>
      <c r="Y16" s="10">
        <v>55.60179271362513</v>
      </c>
      <c r="Z16" s="10">
        <v>311.30759792670472</v>
      </c>
      <c r="AA16" s="10">
        <v>0</v>
      </c>
      <c r="AB16" s="10">
        <v>311.30759792670472</v>
      </c>
      <c r="AC16" s="10">
        <v>0</v>
      </c>
      <c r="AD16" s="10">
        <v>38.960198175182491</v>
      </c>
      <c r="AE16" s="10">
        <v>0</v>
      </c>
      <c r="AF16" s="10">
        <v>0</v>
      </c>
      <c r="AG16" s="10">
        <v>350.2677961018872</v>
      </c>
      <c r="AH16" s="10">
        <v>1.725282189781022</v>
      </c>
      <c r="AI16" s="10">
        <v>0</v>
      </c>
      <c r="AJ16" s="10">
        <v>22.0932504379562</v>
      </c>
      <c r="AK16" s="10">
        <v>335.12613055444189</v>
      </c>
      <c r="AL16" s="10">
        <v>0</v>
      </c>
      <c r="AM16" s="10">
        <v>0</v>
      </c>
      <c r="AN16" s="10">
        <v>0</v>
      </c>
      <c r="AO16" s="10">
        <v>0</v>
      </c>
      <c r="AP16" s="10">
        <v>0</v>
      </c>
      <c r="AQ16" s="10">
        <v>335.12613055444189</v>
      </c>
      <c r="AR16" s="10">
        <v>315.16019842095682</v>
      </c>
      <c r="AS16" s="10">
        <v>3.852600494252064</v>
      </c>
      <c r="AT16" s="10">
        <v>3.852600494252064</v>
      </c>
    </row>
    <row r="17" spans="1:46" x14ac:dyDescent="0.25">
      <c r="A17" s="8">
        <v>46022</v>
      </c>
      <c r="B17" s="7" t="s">
        <v>69</v>
      </c>
      <c r="C17" s="7" t="s">
        <v>70</v>
      </c>
      <c r="D17" s="7" t="s">
        <v>71</v>
      </c>
      <c r="E17" s="9">
        <v>1555.4820669999999</v>
      </c>
      <c r="F17" s="9">
        <v>0</v>
      </c>
      <c r="G17" s="9">
        <v>1555.4820669999999</v>
      </c>
      <c r="H17" s="9">
        <v>5</v>
      </c>
      <c r="I17" s="9">
        <v>311.09641299999998</v>
      </c>
      <c r="J17" s="9">
        <v>16.941362000000002</v>
      </c>
      <c r="K17" s="9">
        <v>328.03777600000001</v>
      </c>
      <c r="L17" s="9">
        <v>390.44117599999998</v>
      </c>
      <c r="M17" s="10">
        <v>21.414670000000001</v>
      </c>
      <c r="N17" s="10">
        <v>6.6410999999999998</v>
      </c>
      <c r="O17" s="10">
        <v>4.2452969999999999</v>
      </c>
      <c r="P17" s="10">
        <v>14.428205</v>
      </c>
      <c r="Q17" s="10">
        <v>46.729272000000002</v>
      </c>
      <c r="R17" s="10">
        <v>11.304309999999999</v>
      </c>
      <c r="S17" s="10">
        <v>1.8023940000000001</v>
      </c>
      <c r="T17" s="10">
        <v>1.9109039999999999</v>
      </c>
      <c r="U17" s="10">
        <v>12.180577</v>
      </c>
      <c r="V17" s="10">
        <v>27.198184999999999</v>
      </c>
      <c r="W17" s="10">
        <v>73.927457000000004</v>
      </c>
      <c r="X17" s="10">
        <v>7.1605882779637984</v>
      </c>
      <c r="Y17" s="10">
        <v>34.786160726243452</v>
      </c>
      <c r="Z17" s="10">
        <v>115.8742060042072</v>
      </c>
      <c r="AA17" s="10">
        <v>5.4935762719113033</v>
      </c>
      <c r="AB17" s="10">
        <v>121.3677822761186</v>
      </c>
      <c r="AC17" s="10">
        <v>0</v>
      </c>
      <c r="AD17" s="10">
        <v>27.825226000000001</v>
      </c>
      <c r="AE17" s="10">
        <v>0</v>
      </c>
      <c r="AF17" s="10">
        <v>0</v>
      </c>
      <c r="AG17" s="10">
        <v>149.1930082761186</v>
      </c>
      <c r="AH17" s="10">
        <v>3.8418079999999999</v>
      </c>
      <c r="AI17" s="10">
        <v>0</v>
      </c>
      <c r="AJ17" s="10">
        <v>5.1224109999999996</v>
      </c>
      <c r="AK17" s="10">
        <v>130.3320012761186</v>
      </c>
      <c r="AL17" s="10">
        <v>38.418078999999999</v>
      </c>
      <c r="AM17" s="10">
        <v>0</v>
      </c>
      <c r="AN17" s="10">
        <v>0</v>
      </c>
      <c r="AO17" s="10">
        <v>0</v>
      </c>
      <c r="AP17" s="10">
        <v>0</v>
      </c>
      <c r="AQ17" s="10">
        <v>168.75008027611861</v>
      </c>
      <c r="AR17" s="10">
        <v>116.03369793655681</v>
      </c>
      <c r="AS17" s="10">
        <v>0.15949193234953099</v>
      </c>
      <c r="AT17" s="10">
        <v>-5.3340843395617723</v>
      </c>
    </row>
    <row r="18" spans="1:46" x14ac:dyDescent="0.25">
      <c r="A18" s="8">
        <v>46022</v>
      </c>
      <c r="B18" s="7" t="s">
        <v>72</v>
      </c>
      <c r="C18" s="7" t="s">
        <v>73</v>
      </c>
      <c r="D18" s="7" t="s">
        <v>65</v>
      </c>
      <c r="E18" s="9">
        <v>0</v>
      </c>
      <c r="F18" s="9">
        <v>0</v>
      </c>
      <c r="G18" s="9">
        <v>0</v>
      </c>
      <c r="H18" s="9">
        <v>0</v>
      </c>
      <c r="I18" s="9">
        <v>0</v>
      </c>
      <c r="J18" s="9">
        <v>4540</v>
      </c>
      <c r="K18" s="9">
        <v>4540</v>
      </c>
      <c r="L18" s="9">
        <v>4540</v>
      </c>
      <c r="M18" s="10">
        <v>62.126660999999991</v>
      </c>
      <c r="N18" s="10">
        <v>0.70789599999999997</v>
      </c>
      <c r="O18" s="10">
        <v>17.476870999999999</v>
      </c>
      <c r="P18" s="10">
        <v>25.787011</v>
      </c>
      <c r="Q18" s="10">
        <v>106.098439</v>
      </c>
      <c r="R18" s="10">
        <v>3.5362450000000001</v>
      </c>
      <c r="S18" s="10">
        <v>1.8480799999999999</v>
      </c>
      <c r="T18" s="10">
        <v>6.6289399999999992</v>
      </c>
      <c r="U18" s="10">
        <v>8.0463459999999998</v>
      </c>
      <c r="V18" s="10">
        <v>20.059611</v>
      </c>
      <c r="W18" s="10">
        <v>126.15805</v>
      </c>
      <c r="X18" s="10">
        <v>0.106300272</v>
      </c>
      <c r="Y18" s="10">
        <v>5.7621602927086357</v>
      </c>
      <c r="Z18" s="10">
        <v>132.02651056470859</v>
      </c>
      <c r="AA18" s="10">
        <v>1.9717262937683679</v>
      </c>
      <c r="AB18" s="10">
        <v>133.99823685847699</v>
      </c>
      <c r="AC18" s="10">
        <v>0</v>
      </c>
      <c r="AD18" s="10">
        <v>30.956178999999999</v>
      </c>
      <c r="AE18" s="10">
        <v>0</v>
      </c>
      <c r="AF18" s="10">
        <v>0</v>
      </c>
      <c r="AG18" s="10">
        <v>164.95441585847701</v>
      </c>
      <c r="AH18" s="10">
        <v>0.72082299999999988</v>
      </c>
      <c r="AI18" s="10">
        <v>0</v>
      </c>
      <c r="AJ18" s="10">
        <v>18.923708000000001</v>
      </c>
      <c r="AK18" s="10">
        <v>153.64276785847699</v>
      </c>
      <c r="AL18" s="10">
        <v>0</v>
      </c>
      <c r="AM18" s="10">
        <v>0</v>
      </c>
      <c r="AN18" s="10">
        <v>0</v>
      </c>
      <c r="AO18" s="10">
        <v>0</v>
      </c>
      <c r="AP18" s="10">
        <v>0</v>
      </c>
      <c r="AQ18" s="10">
        <v>153.64276785847699</v>
      </c>
      <c r="AR18" s="10">
        <v>143.8399565600144</v>
      </c>
      <c r="AS18" s="10">
        <v>11.81344599530575</v>
      </c>
      <c r="AT18" s="10">
        <v>9.8417197015373841</v>
      </c>
    </row>
    <row r="19" spans="1:46" x14ac:dyDescent="0.25">
      <c r="A19" s="8">
        <v>46022</v>
      </c>
      <c r="B19" s="7" t="s">
        <v>74</v>
      </c>
      <c r="C19" s="7" t="s">
        <v>75</v>
      </c>
      <c r="D19" s="7" t="s">
        <v>51</v>
      </c>
      <c r="E19" s="9">
        <v>0</v>
      </c>
      <c r="F19" s="9">
        <v>0</v>
      </c>
      <c r="G19" s="9">
        <v>0</v>
      </c>
      <c r="H19" s="9">
        <v>0</v>
      </c>
      <c r="I19" s="9">
        <v>0</v>
      </c>
      <c r="J19" s="9">
        <v>1000</v>
      </c>
      <c r="K19" s="9">
        <v>1000</v>
      </c>
      <c r="L19" s="9">
        <v>1000</v>
      </c>
      <c r="M19" s="10">
        <v>10.206897</v>
      </c>
      <c r="N19" s="10">
        <v>0.58650800000000003</v>
      </c>
      <c r="O19" s="10">
        <v>1.3786369999999999</v>
      </c>
      <c r="P19" s="10">
        <v>5.1442119999999996</v>
      </c>
      <c r="Q19" s="10">
        <v>17.316254000000001</v>
      </c>
      <c r="R19" s="10">
        <v>3.291039</v>
      </c>
      <c r="S19" s="10">
        <v>1.480966</v>
      </c>
      <c r="T19" s="10">
        <v>3.6191979999999999</v>
      </c>
      <c r="U19" s="10">
        <v>8.4341790000000003</v>
      </c>
      <c r="V19" s="10">
        <v>16.825382000000001</v>
      </c>
      <c r="W19" s="10">
        <v>34.141635999999998</v>
      </c>
      <c r="X19" s="10">
        <v>0.32970631190439997</v>
      </c>
      <c r="Y19" s="10">
        <v>18.49761667546348</v>
      </c>
      <c r="Z19" s="10">
        <v>52.968958987367877</v>
      </c>
      <c r="AA19" s="10">
        <v>3.0961640090817322</v>
      </c>
      <c r="AB19" s="10">
        <v>56.06512299644961</v>
      </c>
      <c r="AC19" s="10">
        <v>0</v>
      </c>
      <c r="AD19" s="10">
        <v>4.2143709999999999</v>
      </c>
      <c r="AE19" s="10">
        <v>0</v>
      </c>
      <c r="AF19" s="10">
        <v>0</v>
      </c>
      <c r="AG19" s="10">
        <v>60.279493996449609</v>
      </c>
      <c r="AH19" s="10">
        <v>2.8484050000000001</v>
      </c>
      <c r="AI19" s="10">
        <v>1.5264409999999999</v>
      </c>
      <c r="AJ19" s="10">
        <v>1.7174199999999999</v>
      </c>
      <c r="AK19" s="10">
        <v>62.157388996449612</v>
      </c>
      <c r="AL19" s="10">
        <v>0</v>
      </c>
      <c r="AM19" s="10">
        <v>0</v>
      </c>
      <c r="AN19" s="10">
        <v>0</v>
      </c>
      <c r="AO19" s="10">
        <v>0</v>
      </c>
      <c r="AP19" s="10">
        <v>0</v>
      </c>
      <c r="AQ19" s="10">
        <v>62.157388996449612</v>
      </c>
      <c r="AR19" s="10">
        <v>126.2168529963658</v>
      </c>
      <c r="AS19" s="10">
        <v>73.247894008997903</v>
      </c>
      <c r="AT19" s="10">
        <v>70.151729999916185</v>
      </c>
    </row>
    <row r="20" spans="1:46" x14ac:dyDescent="0.25">
      <c r="A20" s="8">
        <v>46022</v>
      </c>
      <c r="B20" s="7" t="s">
        <v>76</v>
      </c>
      <c r="C20" s="7" t="s">
        <v>77</v>
      </c>
      <c r="D20" s="7" t="s">
        <v>71</v>
      </c>
      <c r="E20" s="9">
        <v>9152.9833020000005</v>
      </c>
      <c r="F20" s="9">
        <v>0</v>
      </c>
      <c r="G20" s="9">
        <v>9152.9833020000005</v>
      </c>
      <c r="H20" s="9">
        <v>2</v>
      </c>
      <c r="I20" s="9">
        <v>4576.4916510000003</v>
      </c>
      <c r="J20" s="9">
        <v>0</v>
      </c>
      <c r="K20" s="9">
        <v>4576.4916510000003</v>
      </c>
      <c r="L20" s="9">
        <v>3850.0167390000001</v>
      </c>
      <c r="M20" s="10">
        <v>43.522627677631583</v>
      </c>
      <c r="N20" s="10">
        <v>11.71421</v>
      </c>
      <c r="O20" s="10">
        <v>1.504931565789474</v>
      </c>
      <c r="P20" s="10">
        <v>21.207650980263161</v>
      </c>
      <c r="Q20" s="10">
        <v>77.949420223684214</v>
      </c>
      <c r="R20" s="10">
        <v>20.216435322368419</v>
      </c>
      <c r="S20" s="10">
        <v>22.760304506578951</v>
      </c>
      <c r="T20" s="10">
        <v>13.93170107894737</v>
      </c>
      <c r="U20" s="10">
        <v>16.444956006578948</v>
      </c>
      <c r="V20" s="10">
        <v>73.353396914473677</v>
      </c>
      <c r="W20" s="10">
        <v>151.30281713815791</v>
      </c>
      <c r="X20" s="10">
        <v>2.147169263044781</v>
      </c>
      <c r="Y20" s="10">
        <v>6.4832365829014886</v>
      </c>
      <c r="Z20" s="10">
        <v>159.93322298410419</v>
      </c>
      <c r="AA20" s="10">
        <v>4.2978976291641011</v>
      </c>
      <c r="AB20" s="10">
        <v>164.2311206132683</v>
      </c>
      <c r="AC20" s="10">
        <v>0</v>
      </c>
      <c r="AD20" s="10">
        <v>11.717311907894739</v>
      </c>
      <c r="AE20" s="10">
        <v>0</v>
      </c>
      <c r="AF20" s="10">
        <v>0</v>
      </c>
      <c r="AG20" s="10">
        <v>175.948432521163</v>
      </c>
      <c r="AH20" s="10">
        <v>0.94129326973684213</v>
      </c>
      <c r="AI20" s="10">
        <v>0</v>
      </c>
      <c r="AJ20" s="10">
        <v>6.9574432171052631</v>
      </c>
      <c r="AK20" s="10">
        <v>172.1298571001104</v>
      </c>
      <c r="AL20" s="10">
        <v>0</v>
      </c>
      <c r="AM20" s="10">
        <v>0</v>
      </c>
      <c r="AN20" s="10">
        <v>0</v>
      </c>
      <c r="AO20" s="10">
        <v>0</v>
      </c>
      <c r="AP20" s="10">
        <v>0</v>
      </c>
      <c r="AQ20" s="10">
        <v>172.1298571001104</v>
      </c>
      <c r="AR20" s="10">
        <v>165.3226877829496</v>
      </c>
      <c r="AS20" s="10">
        <v>5.389464798845446</v>
      </c>
      <c r="AT20" s="10">
        <v>1.0915671696813449</v>
      </c>
    </row>
    <row r="21" spans="1:46" x14ac:dyDescent="0.25">
      <c r="A21" s="8">
        <v>46022</v>
      </c>
      <c r="B21" s="7" t="s">
        <v>78</v>
      </c>
      <c r="C21" s="7" t="s">
        <v>79</v>
      </c>
      <c r="D21" s="7" t="s">
        <v>80</v>
      </c>
      <c r="E21" s="9">
        <v>18000</v>
      </c>
      <c r="F21" s="9">
        <v>0</v>
      </c>
      <c r="G21" s="9">
        <v>18000</v>
      </c>
      <c r="H21" s="9">
        <v>3</v>
      </c>
      <c r="I21" s="9">
        <v>6000</v>
      </c>
      <c r="J21" s="9">
        <v>27740</v>
      </c>
      <c r="K21" s="9">
        <v>33740</v>
      </c>
      <c r="L21" s="9">
        <v>33740</v>
      </c>
      <c r="M21" s="10">
        <v>31.17626383622353</v>
      </c>
      <c r="N21" s="10">
        <v>2.860535</v>
      </c>
      <c r="O21" s="10">
        <v>1.798213454208456</v>
      </c>
      <c r="P21" s="10">
        <v>28.69123264730705</v>
      </c>
      <c r="Q21" s="10">
        <v>64.526244937739037</v>
      </c>
      <c r="R21" s="10">
        <v>1.962037422346276</v>
      </c>
      <c r="S21" s="10">
        <v>1.835029795462771</v>
      </c>
      <c r="T21" s="10">
        <v>2.0133684472504649</v>
      </c>
      <c r="U21" s="10">
        <v>2.8935857293140912</v>
      </c>
      <c r="V21" s="10">
        <v>8.7040213943736031</v>
      </c>
      <c r="W21" s="10">
        <v>73.230266332112635</v>
      </c>
      <c r="X21" s="10">
        <v>4.655598037192326</v>
      </c>
      <c r="Y21" s="10">
        <v>33.674814461964218</v>
      </c>
      <c r="Z21" s="10">
        <v>111.5606788312692</v>
      </c>
      <c r="AA21" s="10">
        <v>25.776469696234511</v>
      </c>
      <c r="AB21" s="10">
        <v>137.3371485275037</v>
      </c>
      <c r="AC21" s="10">
        <v>0</v>
      </c>
      <c r="AD21" s="10">
        <v>26.94366399898265</v>
      </c>
      <c r="AE21" s="10">
        <v>0</v>
      </c>
      <c r="AF21" s="10">
        <v>0</v>
      </c>
      <c r="AG21" s="10">
        <v>164.2808125264863</v>
      </c>
      <c r="AH21" s="10">
        <v>20.376122428467671</v>
      </c>
      <c r="AI21" s="10">
        <v>0</v>
      </c>
      <c r="AJ21" s="10">
        <v>27.299921281251759</v>
      </c>
      <c r="AK21" s="10">
        <v>185.01319223722311</v>
      </c>
      <c r="AL21" s="10">
        <v>0</v>
      </c>
      <c r="AM21" s="10">
        <v>4.5858405191194933</v>
      </c>
      <c r="AN21" s="10">
        <v>0</v>
      </c>
      <c r="AO21" s="10">
        <v>0</v>
      </c>
      <c r="AP21" s="10">
        <v>1.481921</v>
      </c>
      <c r="AQ21" s="10">
        <v>191.08095375634261</v>
      </c>
      <c r="AR21" s="10">
        <v>384.51395079116497</v>
      </c>
      <c r="AS21" s="10">
        <v>272.9532719598958</v>
      </c>
      <c r="AT21" s="10">
        <v>247.1768022636613</v>
      </c>
    </row>
    <row r="22" spans="1:46" x14ac:dyDescent="0.25">
      <c r="A22" s="8">
        <v>46022</v>
      </c>
      <c r="B22" s="7" t="s">
        <v>81</v>
      </c>
      <c r="C22" s="7" t="s">
        <v>82</v>
      </c>
      <c r="D22" s="7" t="s">
        <v>71</v>
      </c>
      <c r="E22" s="9">
        <v>0</v>
      </c>
      <c r="F22" s="9">
        <v>0</v>
      </c>
      <c r="G22" s="9">
        <v>0</v>
      </c>
      <c r="H22" s="9">
        <v>0</v>
      </c>
      <c r="I22" s="9">
        <v>0</v>
      </c>
      <c r="J22" s="9">
        <v>778.19799999999998</v>
      </c>
      <c r="K22" s="9">
        <v>778.19799999999998</v>
      </c>
      <c r="L22" s="9">
        <v>763.72900000000004</v>
      </c>
      <c r="M22" s="10">
        <v>44.706189999999999</v>
      </c>
      <c r="N22" s="10">
        <v>4.0511080000000002</v>
      </c>
      <c r="O22" s="10">
        <v>6.9624499999999996</v>
      </c>
      <c r="P22" s="10">
        <v>29.573253000000001</v>
      </c>
      <c r="Q22" s="10">
        <v>85.293001000000004</v>
      </c>
      <c r="R22" s="10">
        <v>19.756851999999999</v>
      </c>
      <c r="S22" s="10">
        <v>4.1053620000000004</v>
      </c>
      <c r="T22" s="10">
        <v>15.358155</v>
      </c>
      <c r="U22" s="10">
        <v>6.1534639999999996</v>
      </c>
      <c r="V22" s="10">
        <v>45.373832999999998</v>
      </c>
      <c r="W22" s="10">
        <v>130.66683399999999</v>
      </c>
      <c r="X22" s="10">
        <v>5.7314184765842331</v>
      </c>
      <c r="Y22" s="10">
        <v>1.240173684730095</v>
      </c>
      <c r="Z22" s="10">
        <v>137.6384261613143</v>
      </c>
      <c r="AA22" s="10">
        <v>10.778288624740821</v>
      </c>
      <c r="AB22" s="10">
        <v>148.41671478605511</v>
      </c>
      <c r="AC22" s="10">
        <v>2.5205280000000001</v>
      </c>
      <c r="AD22" s="10">
        <v>92.157456999999994</v>
      </c>
      <c r="AE22" s="10">
        <v>0</v>
      </c>
      <c r="AF22" s="10">
        <v>0</v>
      </c>
      <c r="AG22" s="10">
        <v>243.09469978605509</v>
      </c>
      <c r="AH22" s="10">
        <v>5.2374599999999996</v>
      </c>
      <c r="AI22" s="10">
        <v>0</v>
      </c>
      <c r="AJ22" s="10">
        <v>7.0707060000000004</v>
      </c>
      <c r="AK22" s="10">
        <v>163.24540878605509</v>
      </c>
      <c r="AL22" s="10">
        <v>0</v>
      </c>
      <c r="AM22" s="10">
        <v>0</v>
      </c>
      <c r="AN22" s="10">
        <v>0</v>
      </c>
      <c r="AO22" s="10">
        <v>0</v>
      </c>
      <c r="AP22" s="10">
        <v>0</v>
      </c>
      <c r="AQ22" s="10">
        <v>163.24540878605509</v>
      </c>
      <c r="AR22" s="10">
        <v>218.2910924325642</v>
      </c>
      <c r="AS22" s="10">
        <v>80.652666271249856</v>
      </c>
      <c r="AT22" s="10">
        <v>69.874377646509032</v>
      </c>
    </row>
    <row r="23" spans="1:46" x14ac:dyDescent="0.25">
      <c r="A23" s="8">
        <v>46022</v>
      </c>
      <c r="B23" s="7" t="s">
        <v>83</v>
      </c>
      <c r="C23" s="7" t="s">
        <v>84</v>
      </c>
      <c r="D23" s="7" t="s">
        <v>85</v>
      </c>
      <c r="E23" s="9">
        <v>2991.15</v>
      </c>
      <c r="F23" s="9">
        <v>0</v>
      </c>
      <c r="G23" s="9">
        <v>2991.15</v>
      </c>
      <c r="H23" s="9">
        <v>0.51</v>
      </c>
      <c r="I23" s="9">
        <v>5865</v>
      </c>
      <c r="J23" s="9">
        <v>0</v>
      </c>
      <c r="K23" s="9">
        <v>5865</v>
      </c>
      <c r="L23" s="9">
        <v>3450</v>
      </c>
      <c r="M23" s="10">
        <v>6.4676590000000003</v>
      </c>
      <c r="N23" s="10">
        <v>4.6543830000000002</v>
      </c>
      <c r="O23" s="10">
        <v>0.26098199999999999</v>
      </c>
      <c r="P23" s="10">
        <v>9.1878810000000009</v>
      </c>
      <c r="Q23" s="10">
        <v>20.570905</v>
      </c>
      <c r="R23" s="10">
        <v>5.6604359999999998</v>
      </c>
      <c r="S23" s="10">
        <v>7.1833710000000002</v>
      </c>
      <c r="T23" s="10">
        <v>29.642658999999998</v>
      </c>
      <c r="U23" s="10">
        <v>12.475237</v>
      </c>
      <c r="V23" s="10">
        <v>54.961703</v>
      </c>
      <c r="W23" s="10">
        <v>75.532607999999996</v>
      </c>
      <c r="X23" s="10">
        <v>0.78974405797101455</v>
      </c>
      <c r="Y23" s="10">
        <v>47.401138217585483</v>
      </c>
      <c r="Z23" s="10">
        <v>123.7234902755565</v>
      </c>
      <c r="AA23" s="10">
        <v>3.0126933302988879</v>
      </c>
      <c r="AB23" s="10">
        <v>126.7361836058554</v>
      </c>
      <c r="AC23" s="10">
        <v>0.10397000000000001</v>
      </c>
      <c r="AD23" s="10">
        <v>24.933166</v>
      </c>
      <c r="AE23" s="10">
        <v>0</v>
      </c>
      <c r="AF23" s="10">
        <v>0</v>
      </c>
      <c r="AG23" s="10">
        <v>151.77331960585539</v>
      </c>
      <c r="AH23" s="10">
        <v>5.3043480000000001</v>
      </c>
      <c r="AI23" s="10">
        <v>0</v>
      </c>
      <c r="AJ23" s="10">
        <v>2.2608700000000002</v>
      </c>
      <c r="AK23" s="10">
        <v>134.40537160585541</v>
      </c>
      <c r="AL23" s="10">
        <v>0</v>
      </c>
      <c r="AM23" s="10">
        <v>0</v>
      </c>
      <c r="AN23" s="10">
        <v>0</v>
      </c>
      <c r="AO23" s="10">
        <v>0</v>
      </c>
      <c r="AP23" s="10">
        <v>0</v>
      </c>
      <c r="AQ23" s="10">
        <v>134.40537160585541</v>
      </c>
      <c r="AR23" s="10">
        <v>172.15433347217649</v>
      </c>
      <c r="AS23" s="10">
        <v>48.430843196619989</v>
      </c>
      <c r="AT23" s="10">
        <v>45.418149866321102</v>
      </c>
    </row>
    <row r="24" spans="1:46" x14ac:dyDescent="0.25">
      <c r="A24" s="8">
        <v>46022</v>
      </c>
      <c r="B24" s="7" t="s">
        <v>86</v>
      </c>
      <c r="C24" s="7" t="s">
        <v>87</v>
      </c>
      <c r="D24" s="7" t="s">
        <v>65</v>
      </c>
      <c r="E24" s="9">
        <v>0</v>
      </c>
      <c r="F24" s="9">
        <v>0</v>
      </c>
      <c r="G24" s="9">
        <v>0</v>
      </c>
      <c r="H24" s="9">
        <v>0</v>
      </c>
      <c r="I24" s="9">
        <v>99.514775</v>
      </c>
      <c r="J24" s="9">
        <v>2793.5219040000002</v>
      </c>
      <c r="K24" s="9">
        <v>2893.0366789999998</v>
      </c>
      <c r="L24" s="9">
        <v>2893.0366789999998</v>
      </c>
      <c r="M24" s="10">
        <v>92.025113999999988</v>
      </c>
      <c r="N24" s="10">
        <v>7.4197629999999997</v>
      </c>
      <c r="O24" s="10">
        <v>10.695238</v>
      </c>
      <c r="P24" s="10">
        <v>10.257930999999999</v>
      </c>
      <c r="Q24" s="10">
        <v>120.39804599999999</v>
      </c>
      <c r="R24" s="10">
        <v>24.843456</v>
      </c>
      <c r="S24" s="10">
        <v>4.9165530000000004</v>
      </c>
      <c r="T24" s="10">
        <v>21.538996999999998</v>
      </c>
      <c r="U24" s="10">
        <v>2.4695369999999999</v>
      </c>
      <c r="V24" s="10">
        <v>53.768542999999987</v>
      </c>
      <c r="W24" s="10">
        <v>174.16658899999999</v>
      </c>
      <c r="X24" s="10">
        <v>0.21794630686657809</v>
      </c>
      <c r="Y24" s="10">
        <v>11.66059514957877</v>
      </c>
      <c r="Z24" s="10">
        <v>186.04513045644529</v>
      </c>
      <c r="AA24" s="10">
        <v>2.2283560245808438</v>
      </c>
      <c r="AB24" s="10">
        <v>188.2734864810262</v>
      </c>
      <c r="AC24" s="10">
        <v>0</v>
      </c>
      <c r="AD24" s="10">
        <v>30.350774000000001</v>
      </c>
      <c r="AE24" s="10">
        <v>0</v>
      </c>
      <c r="AF24" s="10">
        <v>0</v>
      </c>
      <c r="AG24" s="10">
        <v>218.6242604810262</v>
      </c>
      <c r="AH24" s="10">
        <v>4.4323199999999989</v>
      </c>
      <c r="AI24" s="10">
        <v>0.7314949999999999</v>
      </c>
      <c r="AJ24" s="10">
        <v>24.866914000000001</v>
      </c>
      <c r="AK24" s="10">
        <v>218.3042154810262</v>
      </c>
      <c r="AL24" s="10">
        <v>0</v>
      </c>
      <c r="AM24" s="10">
        <v>0</v>
      </c>
      <c r="AN24" s="10">
        <v>0</v>
      </c>
      <c r="AO24" s="10">
        <v>0</v>
      </c>
      <c r="AP24" s="10">
        <v>0</v>
      </c>
      <c r="AQ24" s="10">
        <v>218.3042154810262</v>
      </c>
      <c r="AR24" s="10">
        <v>231.98964692529401</v>
      </c>
      <c r="AS24" s="10">
        <v>45.944516468848661</v>
      </c>
      <c r="AT24" s="10">
        <v>43.716160444267821</v>
      </c>
    </row>
    <row r="25" spans="1:46" x14ac:dyDescent="0.25">
      <c r="A25" s="8">
        <v>46022</v>
      </c>
      <c r="B25" s="7" t="s">
        <v>88</v>
      </c>
      <c r="C25" s="7" t="s">
        <v>89</v>
      </c>
      <c r="D25" s="7" t="s">
        <v>90</v>
      </c>
      <c r="E25" s="9">
        <v>1450.0546810000001</v>
      </c>
      <c r="F25" s="9">
        <v>0</v>
      </c>
      <c r="G25" s="9">
        <v>1450.0546810000001</v>
      </c>
      <c r="H25" s="9">
        <v>0.269787</v>
      </c>
      <c r="I25" s="9">
        <v>5374.8216130000001</v>
      </c>
      <c r="J25" s="9">
        <v>0</v>
      </c>
      <c r="K25" s="9">
        <v>5374.8216130000001</v>
      </c>
      <c r="L25" s="9">
        <v>3045.8785459999999</v>
      </c>
      <c r="M25" s="10">
        <v>8.6891359999999995</v>
      </c>
      <c r="N25" s="10">
        <v>0.86759699999999995</v>
      </c>
      <c r="O25" s="10">
        <v>9.2355389999999993</v>
      </c>
      <c r="P25" s="10">
        <v>69.208303999999998</v>
      </c>
      <c r="Q25" s="10">
        <v>88.000575999999995</v>
      </c>
      <c r="R25" s="10">
        <v>9.1557019999999998</v>
      </c>
      <c r="S25" s="10">
        <v>15.744299</v>
      </c>
      <c r="T25" s="10">
        <v>8.6165850000000006</v>
      </c>
      <c r="U25" s="10">
        <v>26.234753999999999</v>
      </c>
      <c r="V25" s="10">
        <v>59.751339999999999</v>
      </c>
      <c r="W25" s="10">
        <v>147.75191599999999</v>
      </c>
      <c r="X25" s="10">
        <v>8.1876885231807925</v>
      </c>
      <c r="Y25" s="10">
        <v>19.424472538376349</v>
      </c>
      <c r="Z25" s="10">
        <v>175.36407706155711</v>
      </c>
      <c r="AA25" s="10">
        <v>2.6507828254636778</v>
      </c>
      <c r="AB25" s="10">
        <v>178.0148598870208</v>
      </c>
      <c r="AC25" s="10">
        <v>0</v>
      </c>
      <c r="AD25" s="10">
        <v>84.048000000000016</v>
      </c>
      <c r="AE25" s="10">
        <v>0</v>
      </c>
      <c r="AF25" s="10">
        <v>0</v>
      </c>
      <c r="AG25" s="10">
        <v>262.06285988702081</v>
      </c>
      <c r="AH25" s="10">
        <v>14.574709</v>
      </c>
      <c r="AI25" s="10">
        <v>2.954812</v>
      </c>
      <c r="AJ25" s="10">
        <v>26.265000000000001</v>
      </c>
      <c r="AK25" s="10">
        <v>221.80938088702081</v>
      </c>
      <c r="AL25" s="10">
        <v>0</v>
      </c>
      <c r="AM25" s="10">
        <v>2.5974119999999998</v>
      </c>
      <c r="AN25" s="10">
        <v>0</v>
      </c>
      <c r="AO25" s="10">
        <v>0</v>
      </c>
      <c r="AP25" s="10">
        <v>0</v>
      </c>
      <c r="AQ25" s="10">
        <v>224.4067928870208</v>
      </c>
      <c r="AR25" s="10">
        <v>172.64721582741441</v>
      </c>
      <c r="AS25" s="10">
        <v>-2.7168612341427099</v>
      </c>
      <c r="AT25" s="10">
        <v>-5.3676440596063877</v>
      </c>
    </row>
    <row r="26" spans="1:46" x14ac:dyDescent="0.25">
      <c r="A26" s="8">
        <v>46022</v>
      </c>
      <c r="B26" s="7" t="s">
        <v>91</v>
      </c>
      <c r="C26" s="7" t="s">
        <v>92</v>
      </c>
      <c r="D26" s="7" t="s">
        <v>65</v>
      </c>
      <c r="E26" s="9">
        <v>0</v>
      </c>
      <c r="F26" s="9">
        <v>0</v>
      </c>
      <c r="G26" s="9">
        <v>0</v>
      </c>
      <c r="H26" s="9">
        <v>0</v>
      </c>
      <c r="I26" s="9">
        <v>0</v>
      </c>
      <c r="J26" s="9">
        <v>3441.32</v>
      </c>
      <c r="K26" s="9">
        <v>3441.32</v>
      </c>
      <c r="L26" s="9">
        <v>3321.8980000000001</v>
      </c>
      <c r="M26" s="10">
        <v>18.654522</v>
      </c>
      <c r="N26" s="10">
        <v>1.321998</v>
      </c>
      <c r="O26" s="10">
        <v>0.90907800000000005</v>
      </c>
      <c r="P26" s="10">
        <v>26.159958</v>
      </c>
      <c r="Q26" s="10">
        <v>47.045555999999998</v>
      </c>
      <c r="R26" s="10">
        <v>6.6506309999999988</v>
      </c>
      <c r="S26" s="10">
        <v>0.8461249999999999</v>
      </c>
      <c r="T26" s="10">
        <v>3.0935410000000001</v>
      </c>
      <c r="U26" s="10">
        <v>1.3267139999999999</v>
      </c>
      <c r="V26" s="10">
        <v>11.917011</v>
      </c>
      <c r="W26" s="10">
        <v>58.962566999999993</v>
      </c>
      <c r="X26" s="10">
        <v>1.0625473847226801</v>
      </c>
      <c r="Y26" s="10">
        <v>22.095423283897901</v>
      </c>
      <c r="Z26" s="10">
        <v>82.120537668620585</v>
      </c>
      <c r="AA26" s="10">
        <v>3.0091184862817979</v>
      </c>
      <c r="AB26" s="10">
        <v>85.129656154902378</v>
      </c>
      <c r="AC26" s="10">
        <v>0</v>
      </c>
      <c r="AD26" s="10">
        <v>10.487415</v>
      </c>
      <c r="AE26" s="10">
        <v>0</v>
      </c>
      <c r="AF26" s="10">
        <v>0</v>
      </c>
      <c r="AG26" s="10">
        <v>95.617071154902376</v>
      </c>
      <c r="AH26" s="10">
        <v>5.9700000000000003E-2</v>
      </c>
      <c r="AI26" s="10">
        <v>0</v>
      </c>
      <c r="AJ26" s="10">
        <v>5.8820769999999989</v>
      </c>
      <c r="AK26" s="10">
        <v>91.07143315490238</v>
      </c>
      <c r="AL26" s="10">
        <v>0.117272</v>
      </c>
      <c r="AM26" s="10">
        <v>0</v>
      </c>
      <c r="AN26" s="10">
        <v>0</v>
      </c>
      <c r="AO26" s="10">
        <v>0</v>
      </c>
      <c r="AP26" s="10">
        <v>0</v>
      </c>
      <c r="AQ26" s="10">
        <v>91.188705154902379</v>
      </c>
      <c r="AR26" s="10">
        <v>151.70821487494041</v>
      </c>
      <c r="AS26" s="10">
        <v>69.587677206319796</v>
      </c>
      <c r="AT26" s="10">
        <v>66.578558720038004</v>
      </c>
    </row>
    <row r="27" spans="1:46" x14ac:dyDescent="0.25">
      <c r="A27" s="8">
        <v>46022</v>
      </c>
      <c r="B27" s="7" t="s">
        <v>93</v>
      </c>
      <c r="C27" s="7" t="s">
        <v>94</v>
      </c>
      <c r="D27" s="7" t="s">
        <v>65</v>
      </c>
      <c r="E27" s="9">
        <v>0</v>
      </c>
      <c r="F27" s="9">
        <v>0</v>
      </c>
      <c r="G27" s="9">
        <v>0</v>
      </c>
      <c r="H27" s="9">
        <v>0</v>
      </c>
      <c r="I27" s="9">
        <v>0</v>
      </c>
      <c r="J27" s="9">
        <v>1900</v>
      </c>
      <c r="K27" s="9">
        <v>1900</v>
      </c>
      <c r="L27" s="9">
        <v>1900</v>
      </c>
      <c r="M27" s="10">
        <v>78.055195999999995</v>
      </c>
      <c r="N27" s="10">
        <v>0.23366000000000001</v>
      </c>
      <c r="O27" s="10">
        <v>15.747736</v>
      </c>
      <c r="P27" s="10">
        <v>27.222836999999998</v>
      </c>
      <c r="Q27" s="10">
        <v>121.259429</v>
      </c>
      <c r="R27" s="10">
        <v>2.8024499999999999</v>
      </c>
      <c r="S27" s="10">
        <v>2.4261750000000002</v>
      </c>
      <c r="T27" s="10">
        <v>8.0057120000000008</v>
      </c>
      <c r="U27" s="10">
        <v>0.95380600000000004</v>
      </c>
      <c r="V27" s="10">
        <v>14.188143</v>
      </c>
      <c r="W27" s="10">
        <v>135.44757200000001</v>
      </c>
      <c r="X27" s="10">
        <v>1.8898841E-2</v>
      </c>
      <c r="Y27" s="10">
        <v>6.5656066142600071</v>
      </c>
      <c r="Z27" s="10">
        <v>142.03207745526001</v>
      </c>
      <c r="AA27" s="10">
        <v>3.0443132932974688</v>
      </c>
      <c r="AB27" s="10">
        <v>145.07639074855749</v>
      </c>
      <c r="AC27" s="10">
        <v>0</v>
      </c>
      <c r="AD27" s="10">
        <v>11.520745</v>
      </c>
      <c r="AE27" s="10">
        <v>0</v>
      </c>
      <c r="AF27" s="10">
        <v>0</v>
      </c>
      <c r="AG27" s="10">
        <v>156.59713574855749</v>
      </c>
      <c r="AH27" s="10">
        <v>0.96201599999999987</v>
      </c>
      <c r="AI27" s="10">
        <v>0</v>
      </c>
      <c r="AJ27" s="10">
        <v>2.8443990000000001</v>
      </c>
      <c r="AK27" s="10">
        <v>148.8828057485575</v>
      </c>
      <c r="AL27" s="10">
        <v>0</v>
      </c>
      <c r="AM27" s="10">
        <v>0</v>
      </c>
      <c r="AN27" s="10">
        <v>0</v>
      </c>
      <c r="AO27" s="10">
        <v>0</v>
      </c>
      <c r="AP27" s="10">
        <v>0</v>
      </c>
      <c r="AQ27" s="10">
        <v>148.8828057485575</v>
      </c>
      <c r="AR27" s="10">
        <v>134.53588588367799</v>
      </c>
      <c r="AS27" s="10">
        <v>-7.4961915715819751</v>
      </c>
      <c r="AT27" s="10">
        <v>-10.540504864879439</v>
      </c>
    </row>
    <row r="28" spans="1:46" x14ac:dyDescent="0.25">
      <c r="A28" s="8">
        <v>46022</v>
      </c>
      <c r="B28" s="7" t="s">
        <v>95</v>
      </c>
      <c r="C28" s="7" t="s">
        <v>96</v>
      </c>
      <c r="D28" s="7" t="s">
        <v>65</v>
      </c>
      <c r="E28" s="9">
        <v>0</v>
      </c>
      <c r="F28" s="9">
        <v>0</v>
      </c>
      <c r="G28" s="9">
        <v>0</v>
      </c>
      <c r="H28" s="9">
        <v>0</v>
      </c>
      <c r="I28" s="9">
        <v>0</v>
      </c>
      <c r="J28" s="9">
        <v>2803.9772950000001</v>
      </c>
      <c r="K28" s="9">
        <v>2803.9772950000001</v>
      </c>
      <c r="L28" s="9">
        <v>2803.9772950000001</v>
      </c>
      <c r="M28" s="10">
        <v>51.667036767594098</v>
      </c>
      <c r="N28" s="10">
        <v>1.2879320000000001</v>
      </c>
      <c r="O28" s="10">
        <v>12.338407806873979</v>
      </c>
      <c r="P28" s="10">
        <v>44.52447105564648</v>
      </c>
      <c r="Q28" s="10">
        <v>109.8178476301146</v>
      </c>
      <c r="R28" s="10">
        <v>3.3895005319148939</v>
      </c>
      <c r="S28" s="10">
        <v>4.5233411047463177</v>
      </c>
      <c r="T28" s="10">
        <v>21.407800728314239</v>
      </c>
      <c r="U28" s="10">
        <v>6.56302031096563</v>
      </c>
      <c r="V28" s="10">
        <v>35.883662675941082</v>
      </c>
      <c r="W28" s="10">
        <v>145.70151030605561</v>
      </c>
      <c r="X28" s="10">
        <v>6.6214711217196208E-3</v>
      </c>
      <c r="Y28" s="10">
        <v>6.5489667830079972</v>
      </c>
      <c r="Z28" s="10">
        <v>152.2570985601854</v>
      </c>
      <c r="AA28" s="10">
        <v>0.37398804545055359</v>
      </c>
      <c r="AB28" s="10">
        <v>152.63108660563589</v>
      </c>
      <c r="AC28" s="10">
        <v>0</v>
      </c>
      <c r="AD28" s="10">
        <v>19.266149288052372</v>
      </c>
      <c r="AE28" s="10">
        <v>0</v>
      </c>
      <c r="AF28" s="10">
        <v>0</v>
      </c>
      <c r="AG28" s="10">
        <v>171.8972358936883</v>
      </c>
      <c r="AH28" s="10">
        <v>4.2944191816693937</v>
      </c>
      <c r="AI28" s="10">
        <v>0</v>
      </c>
      <c r="AJ28" s="10">
        <v>13.050655310965629</v>
      </c>
      <c r="AK28" s="10">
        <v>169.97616109827089</v>
      </c>
      <c r="AL28" s="10">
        <v>0</v>
      </c>
      <c r="AM28" s="10">
        <v>0</v>
      </c>
      <c r="AN28" s="10">
        <v>0</v>
      </c>
      <c r="AO28" s="10">
        <v>0</v>
      </c>
      <c r="AP28" s="10">
        <v>0</v>
      </c>
      <c r="AQ28" s="10">
        <v>169.97616109827089</v>
      </c>
      <c r="AR28" s="10">
        <v>165.94130569001621</v>
      </c>
      <c r="AS28" s="10">
        <v>13.68420712983084</v>
      </c>
      <c r="AT28" s="10">
        <v>13.310219084380281</v>
      </c>
    </row>
    <row r="29" spans="1:46" x14ac:dyDescent="0.25">
      <c r="A29" s="8">
        <v>46022</v>
      </c>
      <c r="B29" s="7" t="s">
        <v>97</v>
      </c>
      <c r="C29" s="7" t="s">
        <v>98</v>
      </c>
      <c r="D29" s="7" t="s">
        <v>65</v>
      </c>
      <c r="E29" s="9">
        <v>64666.666666999998</v>
      </c>
      <c r="F29" s="9">
        <v>0</v>
      </c>
      <c r="G29" s="9">
        <v>64666.666666999998</v>
      </c>
      <c r="H29" s="9">
        <v>3.88</v>
      </c>
      <c r="I29" s="9">
        <v>16666.666667000001</v>
      </c>
      <c r="J29" s="9">
        <v>0</v>
      </c>
      <c r="K29" s="9">
        <v>16666.666667000001</v>
      </c>
      <c r="L29" s="9">
        <v>15835.12</v>
      </c>
      <c r="M29" s="10">
        <v>6.9075350000000002</v>
      </c>
      <c r="N29" s="10">
        <v>3.6266090000000002</v>
      </c>
      <c r="O29" s="10">
        <v>2.7938000000000001E-2</v>
      </c>
      <c r="P29" s="10">
        <v>3.7392949999999989</v>
      </c>
      <c r="Q29" s="10">
        <v>14.301377</v>
      </c>
      <c r="R29" s="10">
        <v>2.5799020000000001</v>
      </c>
      <c r="S29" s="10">
        <v>2.0658409999999998</v>
      </c>
      <c r="T29" s="10">
        <v>3.2460810000000002</v>
      </c>
      <c r="U29" s="10">
        <v>3.0266320000000002</v>
      </c>
      <c r="V29" s="10">
        <v>10.918456000000001</v>
      </c>
      <c r="W29" s="10">
        <v>25.219833000000001</v>
      </c>
      <c r="X29" s="10">
        <v>0.47418297500000001</v>
      </c>
      <c r="Y29" s="10">
        <v>30.392108368724099</v>
      </c>
      <c r="Z29" s="10">
        <v>56.086124343724101</v>
      </c>
      <c r="AA29" s="10">
        <v>0.44392874682331401</v>
      </c>
      <c r="AB29" s="10">
        <v>56.530053090547412</v>
      </c>
      <c r="AC29" s="10">
        <v>0</v>
      </c>
      <c r="AD29" s="10">
        <v>31.573944000000001</v>
      </c>
      <c r="AE29" s="10">
        <v>0</v>
      </c>
      <c r="AF29" s="10">
        <v>0</v>
      </c>
      <c r="AG29" s="10">
        <v>88.103997090547409</v>
      </c>
      <c r="AH29" s="10">
        <v>2.3283209999999999</v>
      </c>
      <c r="AI29" s="10">
        <v>0</v>
      </c>
      <c r="AJ29" s="10">
        <v>28.557411999999999</v>
      </c>
      <c r="AK29" s="10">
        <v>87.415786090547414</v>
      </c>
      <c r="AL29" s="10">
        <v>0</v>
      </c>
      <c r="AM29" s="10">
        <v>0</v>
      </c>
      <c r="AN29" s="10">
        <v>0</v>
      </c>
      <c r="AO29" s="10">
        <v>0</v>
      </c>
      <c r="AP29" s="10">
        <v>0</v>
      </c>
      <c r="AQ29" s="10">
        <v>87.415786090547414</v>
      </c>
      <c r="AR29" s="10">
        <v>107.2235559883961</v>
      </c>
      <c r="AS29" s="10">
        <v>51.13743164467202</v>
      </c>
      <c r="AT29" s="10">
        <v>50.693502897848703</v>
      </c>
    </row>
    <row r="30" spans="1:46" x14ac:dyDescent="0.25">
      <c r="A30" s="8">
        <v>46022</v>
      </c>
      <c r="B30" s="7" t="s">
        <v>99</v>
      </c>
      <c r="C30" s="7" t="s">
        <v>100</v>
      </c>
      <c r="D30" s="7" t="s">
        <v>54</v>
      </c>
      <c r="E30" s="9">
        <v>5450</v>
      </c>
      <c r="F30" s="9">
        <v>0</v>
      </c>
      <c r="G30" s="9">
        <v>5450</v>
      </c>
      <c r="H30" s="9">
        <v>1.816667</v>
      </c>
      <c r="I30" s="9">
        <v>3000</v>
      </c>
      <c r="J30" s="9">
        <v>0</v>
      </c>
      <c r="K30" s="9">
        <v>3000</v>
      </c>
      <c r="L30" s="9">
        <v>2500</v>
      </c>
      <c r="M30" s="10">
        <v>0.63358599999999987</v>
      </c>
      <c r="N30" s="10">
        <v>0.15995799999999999</v>
      </c>
      <c r="O30" s="10">
        <v>4.4399000000000001E-2</v>
      </c>
      <c r="P30" s="10">
        <v>0.734545</v>
      </c>
      <c r="Q30" s="10">
        <v>1.5724880000000001</v>
      </c>
      <c r="R30" s="10">
        <v>1.043928</v>
      </c>
      <c r="S30" s="10">
        <v>28.567529</v>
      </c>
      <c r="T30" s="10">
        <v>3.4298099999999998</v>
      </c>
      <c r="U30" s="10">
        <v>15.766895</v>
      </c>
      <c r="V30" s="10">
        <v>48.808162000000003</v>
      </c>
      <c r="W30" s="10">
        <v>50.380650000000003</v>
      </c>
      <c r="X30" s="10">
        <v>0.85131507285887997</v>
      </c>
      <c r="Y30" s="10">
        <v>29.86607334483125</v>
      </c>
      <c r="Z30" s="10">
        <v>81.098038417690134</v>
      </c>
      <c r="AA30" s="10">
        <v>9.2436605526549283</v>
      </c>
      <c r="AB30" s="10">
        <v>90.341698970345064</v>
      </c>
      <c r="AC30" s="10">
        <v>0</v>
      </c>
      <c r="AD30" s="10">
        <v>17.742628</v>
      </c>
      <c r="AE30" s="10">
        <v>0</v>
      </c>
      <c r="AF30" s="10">
        <v>0</v>
      </c>
      <c r="AG30" s="10">
        <v>108.0843269703451</v>
      </c>
      <c r="AH30" s="10">
        <v>0.59999999999999987</v>
      </c>
      <c r="AI30" s="10">
        <v>0</v>
      </c>
      <c r="AJ30" s="10">
        <v>7.557097999999999</v>
      </c>
      <c r="AK30" s="10">
        <v>98.498796970345055</v>
      </c>
      <c r="AL30" s="10">
        <v>0</v>
      </c>
      <c r="AM30" s="10">
        <v>0</v>
      </c>
      <c r="AN30" s="10">
        <v>0</v>
      </c>
      <c r="AO30" s="10">
        <v>0</v>
      </c>
      <c r="AP30" s="10">
        <v>0</v>
      </c>
      <c r="AQ30" s="10">
        <v>98.498796970345055</v>
      </c>
      <c r="AR30" s="10">
        <v>168.0663189712545</v>
      </c>
      <c r="AS30" s="10">
        <v>86.968280553564398</v>
      </c>
      <c r="AT30" s="10">
        <v>77.724620000909468</v>
      </c>
    </row>
    <row r="31" spans="1:46" x14ac:dyDescent="0.25">
      <c r="A31" s="8">
        <v>46022</v>
      </c>
      <c r="B31" s="7" t="s">
        <v>101</v>
      </c>
      <c r="C31" s="7" t="s">
        <v>102</v>
      </c>
      <c r="D31" s="7" t="s">
        <v>65</v>
      </c>
      <c r="E31" s="9">
        <v>0</v>
      </c>
      <c r="F31" s="9">
        <v>0</v>
      </c>
      <c r="G31" s="9">
        <v>0</v>
      </c>
      <c r="H31" s="9">
        <v>0</v>
      </c>
      <c r="I31" s="9">
        <v>0</v>
      </c>
      <c r="J31" s="9">
        <v>9959.2000000000007</v>
      </c>
      <c r="K31" s="9">
        <v>9959.2000000000007</v>
      </c>
      <c r="L31" s="9">
        <v>9959</v>
      </c>
      <c r="M31" s="10">
        <v>52.93841299999999</v>
      </c>
      <c r="N31" s="10">
        <v>2.421754</v>
      </c>
      <c r="O31" s="10">
        <v>1.910566</v>
      </c>
      <c r="P31" s="10">
        <v>7.2502440000000004</v>
      </c>
      <c r="Q31" s="10">
        <v>64.520976999999988</v>
      </c>
      <c r="R31" s="10">
        <v>8.4615389999999984</v>
      </c>
      <c r="S31" s="10">
        <v>1.857658</v>
      </c>
      <c r="T31" s="10">
        <v>13.266638</v>
      </c>
      <c r="U31" s="10">
        <v>1.048125</v>
      </c>
      <c r="V31" s="10">
        <v>24.633959999999998</v>
      </c>
      <c r="W31" s="10">
        <v>89.15493699999999</v>
      </c>
      <c r="X31" s="10">
        <v>0</v>
      </c>
      <c r="Y31" s="10">
        <v>10.902754605175581</v>
      </c>
      <c r="Z31" s="10">
        <v>100.05769160517561</v>
      </c>
      <c r="AA31" s="10">
        <v>0.626018584795483</v>
      </c>
      <c r="AB31" s="10">
        <v>100.68371018997109</v>
      </c>
      <c r="AC31" s="10">
        <v>0</v>
      </c>
      <c r="AD31" s="10">
        <v>14.065863999999999</v>
      </c>
      <c r="AE31" s="10">
        <v>0</v>
      </c>
      <c r="AF31" s="10">
        <v>0</v>
      </c>
      <c r="AG31" s="10">
        <v>114.7495741899711</v>
      </c>
      <c r="AH31" s="10">
        <v>2.7475459999999998</v>
      </c>
      <c r="AI31" s="10">
        <v>0.205485</v>
      </c>
      <c r="AJ31" s="10">
        <v>12.829824</v>
      </c>
      <c r="AK31" s="10">
        <v>116.46656518997111</v>
      </c>
      <c r="AL31" s="10">
        <v>2.026373</v>
      </c>
      <c r="AM31" s="10">
        <v>0</v>
      </c>
      <c r="AN31" s="10">
        <v>0</v>
      </c>
      <c r="AO31" s="10">
        <v>0</v>
      </c>
      <c r="AP31" s="10">
        <v>0</v>
      </c>
      <c r="AQ31" s="10">
        <v>118.4929381899711</v>
      </c>
      <c r="AR31" s="10">
        <v>123.3308888711269</v>
      </c>
      <c r="AS31" s="10">
        <v>23.273197265951339</v>
      </c>
      <c r="AT31" s="10">
        <v>22.64717868115585</v>
      </c>
    </row>
    <row r="32" spans="1:46" x14ac:dyDescent="0.25">
      <c r="A32" s="8">
        <v>46022</v>
      </c>
      <c r="B32" s="7" t="s">
        <v>103</v>
      </c>
      <c r="C32" s="7" t="s">
        <v>104</v>
      </c>
      <c r="D32" s="7" t="s">
        <v>105</v>
      </c>
      <c r="E32" s="9">
        <v>0</v>
      </c>
      <c r="F32" s="9">
        <v>0</v>
      </c>
      <c r="G32" s="9">
        <v>0</v>
      </c>
      <c r="H32" s="9">
        <v>0</v>
      </c>
      <c r="I32" s="9">
        <v>0</v>
      </c>
      <c r="J32" s="9">
        <v>2770</v>
      </c>
      <c r="K32" s="9">
        <v>2770</v>
      </c>
      <c r="L32" s="9">
        <v>2780</v>
      </c>
      <c r="M32" s="10">
        <v>23.911916999999999</v>
      </c>
      <c r="N32" s="10">
        <v>4.504874</v>
      </c>
      <c r="O32" s="10">
        <v>12.308109</v>
      </c>
      <c r="P32" s="10">
        <v>27.052257999999998</v>
      </c>
      <c r="Q32" s="10">
        <v>67.777158</v>
      </c>
      <c r="R32" s="10">
        <v>0.87679200000000002</v>
      </c>
      <c r="S32" s="10">
        <v>2.4020549999999998</v>
      </c>
      <c r="T32" s="10">
        <v>22.311806000000001</v>
      </c>
      <c r="U32" s="10">
        <v>0.902563</v>
      </c>
      <c r="V32" s="10">
        <v>26.493216</v>
      </c>
      <c r="W32" s="10">
        <v>94.270374000000004</v>
      </c>
      <c r="X32" s="10">
        <v>1.274936676</v>
      </c>
      <c r="Y32" s="10">
        <v>11.641278576928149</v>
      </c>
      <c r="Z32" s="10">
        <v>107.1865892529282</v>
      </c>
      <c r="AA32" s="10">
        <v>4.8945439051000621</v>
      </c>
      <c r="AB32" s="10">
        <v>112.08113315802819</v>
      </c>
      <c r="AC32" s="10">
        <v>0</v>
      </c>
      <c r="AD32" s="10">
        <v>20.367115999999999</v>
      </c>
      <c r="AE32" s="10">
        <v>0</v>
      </c>
      <c r="AF32" s="10">
        <v>0</v>
      </c>
      <c r="AG32" s="10">
        <v>132.4482491580282</v>
      </c>
      <c r="AH32" s="10">
        <v>2.3896009999999999</v>
      </c>
      <c r="AI32" s="10">
        <v>0</v>
      </c>
      <c r="AJ32" s="10">
        <v>19.475429999999999</v>
      </c>
      <c r="AK32" s="10">
        <v>133.94616415802821</v>
      </c>
      <c r="AL32" s="10">
        <v>0</v>
      </c>
      <c r="AM32" s="10">
        <v>0</v>
      </c>
      <c r="AN32" s="10">
        <v>0</v>
      </c>
      <c r="AO32" s="10">
        <v>0</v>
      </c>
      <c r="AP32" s="10">
        <v>0</v>
      </c>
      <c r="AQ32" s="10">
        <v>133.94616415802821</v>
      </c>
      <c r="AR32" s="10">
        <v>129.32729930714879</v>
      </c>
      <c r="AS32" s="10">
        <v>22.14071005422069</v>
      </c>
      <c r="AT32" s="10">
        <v>17.246166149120629</v>
      </c>
    </row>
    <row r="33" spans="1:46" x14ac:dyDescent="0.25">
      <c r="A33" s="8">
        <v>46022</v>
      </c>
      <c r="B33" s="7" t="s">
        <v>106</v>
      </c>
      <c r="C33" s="7" t="s">
        <v>107</v>
      </c>
      <c r="D33" s="7" t="s">
        <v>65</v>
      </c>
      <c r="E33" s="9">
        <v>0</v>
      </c>
      <c r="F33" s="9">
        <v>0</v>
      </c>
      <c r="G33" s="9">
        <v>0</v>
      </c>
      <c r="H33" s="9">
        <v>0</v>
      </c>
      <c r="I33" s="9">
        <v>0</v>
      </c>
      <c r="J33" s="9">
        <v>2430</v>
      </c>
      <c r="K33" s="9">
        <v>2430</v>
      </c>
      <c r="L33" s="9">
        <v>2430</v>
      </c>
      <c r="M33" s="10">
        <v>25.820226999999999</v>
      </c>
      <c r="N33" s="10">
        <v>0.79213500000000003</v>
      </c>
      <c r="O33" s="10">
        <v>20.181920000000002</v>
      </c>
      <c r="P33" s="10">
        <v>17.229990000000001</v>
      </c>
      <c r="Q33" s="10">
        <v>64.024271999999996</v>
      </c>
      <c r="R33" s="10">
        <v>1.6955720000000001</v>
      </c>
      <c r="S33" s="10">
        <v>2.700577</v>
      </c>
      <c r="T33" s="10">
        <v>19.153974000000002</v>
      </c>
      <c r="U33" s="10">
        <v>-0.17838399999999999</v>
      </c>
      <c r="V33" s="10">
        <v>23.371739000000002</v>
      </c>
      <c r="W33" s="10">
        <v>87.396011000000001</v>
      </c>
      <c r="X33" s="10">
        <v>9.3727529999999993E-3</v>
      </c>
      <c r="Y33" s="10">
        <v>7.0678835879068256</v>
      </c>
      <c r="Z33" s="10">
        <v>94.473267340906816</v>
      </c>
      <c r="AA33" s="10">
        <v>4.9252803337765254</v>
      </c>
      <c r="AB33" s="10">
        <v>99.398547674683357</v>
      </c>
      <c r="AC33" s="10">
        <v>0</v>
      </c>
      <c r="AD33" s="10">
        <v>58.699564000000002</v>
      </c>
      <c r="AE33" s="10">
        <v>0</v>
      </c>
      <c r="AF33" s="10">
        <v>0</v>
      </c>
      <c r="AG33" s="10">
        <v>158.09811167468331</v>
      </c>
      <c r="AH33" s="10">
        <v>4.3013469999999989</v>
      </c>
      <c r="AI33" s="10">
        <v>0</v>
      </c>
      <c r="AJ33" s="10">
        <v>57.47231699999999</v>
      </c>
      <c r="AK33" s="10">
        <v>161.1722116746833</v>
      </c>
      <c r="AL33" s="10">
        <v>9.7637420000000006</v>
      </c>
      <c r="AM33" s="10">
        <v>0</v>
      </c>
      <c r="AN33" s="10">
        <v>0</v>
      </c>
      <c r="AO33" s="10">
        <v>0</v>
      </c>
      <c r="AP33" s="10">
        <v>0</v>
      </c>
      <c r="AQ33" s="10">
        <v>170.9359536746833</v>
      </c>
      <c r="AR33" s="10">
        <v>170.85182324953709</v>
      </c>
      <c r="AS33" s="10">
        <v>76.378555908630304</v>
      </c>
      <c r="AT33" s="10">
        <v>71.453275574853791</v>
      </c>
    </row>
    <row r="34" spans="1:46" x14ac:dyDescent="0.25">
      <c r="A34" s="8">
        <v>46022</v>
      </c>
      <c r="B34" s="7" t="s">
        <v>108</v>
      </c>
      <c r="C34" s="7" t="s">
        <v>109</v>
      </c>
      <c r="D34" s="7" t="s">
        <v>60</v>
      </c>
      <c r="E34" s="9">
        <v>1649.2320560000001</v>
      </c>
      <c r="F34" s="9">
        <v>0</v>
      </c>
      <c r="G34" s="9">
        <v>1649.2320560000001</v>
      </c>
      <c r="H34" s="9">
        <v>2</v>
      </c>
      <c r="I34" s="9">
        <v>824.61602800000003</v>
      </c>
      <c r="J34" s="9">
        <v>0</v>
      </c>
      <c r="K34" s="9">
        <v>824.61602800000003</v>
      </c>
      <c r="L34" s="9">
        <v>634.32000700000003</v>
      </c>
      <c r="M34" s="10">
        <v>0</v>
      </c>
      <c r="N34" s="10">
        <v>0</v>
      </c>
      <c r="O34" s="10">
        <v>0</v>
      </c>
      <c r="P34" s="10">
        <v>59.428316755625978</v>
      </c>
      <c r="Q34" s="10">
        <v>59.428316755625978</v>
      </c>
      <c r="R34" s="10">
        <v>0</v>
      </c>
      <c r="S34" s="10">
        <v>0</v>
      </c>
      <c r="T34" s="10">
        <v>0</v>
      </c>
      <c r="U34" s="10">
        <v>0</v>
      </c>
      <c r="V34" s="10">
        <v>0</v>
      </c>
      <c r="W34" s="10">
        <v>59.428316755625978</v>
      </c>
      <c r="X34" s="10">
        <v>11.98941610473989</v>
      </c>
      <c r="Y34" s="10">
        <v>104.5326191306245</v>
      </c>
      <c r="Z34" s="10">
        <v>175.95035199099041</v>
      </c>
      <c r="AA34" s="10">
        <v>0</v>
      </c>
      <c r="AB34" s="10">
        <v>175.95035199099041</v>
      </c>
      <c r="AC34" s="10">
        <v>0</v>
      </c>
      <c r="AD34" s="10">
        <v>7.3098223773798612</v>
      </c>
      <c r="AE34" s="10">
        <v>0</v>
      </c>
      <c r="AF34" s="10">
        <v>0</v>
      </c>
      <c r="AG34" s="10">
        <v>183.26017436837029</v>
      </c>
      <c r="AH34" s="10">
        <v>3.8011070427314269</v>
      </c>
      <c r="AI34" s="10">
        <v>0</v>
      </c>
      <c r="AJ34" s="10">
        <v>7.0174297419435856</v>
      </c>
      <c r="AK34" s="10">
        <v>186.7688887756654</v>
      </c>
      <c r="AL34" s="10">
        <v>0</v>
      </c>
      <c r="AM34" s="10">
        <v>0</v>
      </c>
      <c r="AN34" s="10">
        <v>0</v>
      </c>
      <c r="AO34" s="10">
        <v>0</v>
      </c>
      <c r="AP34" s="10">
        <v>0</v>
      </c>
      <c r="AQ34" s="10">
        <v>186.7688887756654</v>
      </c>
      <c r="AR34" s="10">
        <v>322.81079240723682</v>
      </c>
      <c r="AS34" s="10">
        <v>146.8604404162464</v>
      </c>
      <c r="AT34" s="10">
        <v>146.8604404162464</v>
      </c>
    </row>
    <row r="35" spans="1:46" x14ac:dyDescent="0.25">
      <c r="A35" s="8">
        <v>46022</v>
      </c>
      <c r="B35" s="7" t="s">
        <v>110</v>
      </c>
      <c r="C35" s="7" t="s">
        <v>111</v>
      </c>
      <c r="D35" s="7" t="s">
        <v>54</v>
      </c>
      <c r="E35" s="9">
        <v>1988</v>
      </c>
      <c r="F35" s="9">
        <v>0</v>
      </c>
      <c r="G35" s="9">
        <v>1988</v>
      </c>
      <c r="H35" s="9">
        <v>1</v>
      </c>
      <c r="I35" s="9">
        <v>1988</v>
      </c>
      <c r="J35" s="9">
        <v>0</v>
      </c>
      <c r="K35" s="9">
        <v>1988</v>
      </c>
      <c r="L35" s="9">
        <v>1988</v>
      </c>
      <c r="M35" s="10">
        <v>9.4466849623154534</v>
      </c>
      <c r="N35" s="10">
        <v>6.1768960000000002</v>
      </c>
      <c r="O35" s="10">
        <v>0.4881327087423572</v>
      </c>
      <c r="P35" s="10">
        <v>9.9581871658328645</v>
      </c>
      <c r="Q35" s="10">
        <v>26.069900836890682</v>
      </c>
      <c r="R35" s="10">
        <v>11.25337936140123</v>
      </c>
      <c r="S35" s="10">
        <v>51.190856060451431</v>
      </c>
      <c r="T35" s="10">
        <v>55.377538030557282</v>
      </c>
      <c r="U35" s="10">
        <v>14.97514240741357</v>
      </c>
      <c r="V35" s="10">
        <v>132.79691585982351</v>
      </c>
      <c r="W35" s="10">
        <v>158.86681669671421</v>
      </c>
      <c r="X35" s="10">
        <v>2.3176898287195802</v>
      </c>
      <c r="Y35" s="10">
        <v>0</v>
      </c>
      <c r="Z35" s="10">
        <v>161.18450652543379</v>
      </c>
      <c r="AA35" s="10">
        <v>4.628549810569571</v>
      </c>
      <c r="AB35" s="10">
        <v>165.81305633600331</v>
      </c>
      <c r="AC35" s="10">
        <v>0</v>
      </c>
      <c r="AD35" s="10">
        <v>62.00729890502312</v>
      </c>
      <c r="AE35" s="10">
        <v>0</v>
      </c>
      <c r="AF35" s="10">
        <v>0</v>
      </c>
      <c r="AG35" s="10">
        <v>227.8203552410265</v>
      </c>
      <c r="AH35" s="10">
        <v>6.6723605698275819</v>
      </c>
      <c r="AI35" s="10">
        <v>0</v>
      </c>
      <c r="AJ35" s="10">
        <v>38.319313896346721</v>
      </c>
      <c r="AK35" s="10">
        <v>210.8047308021776</v>
      </c>
      <c r="AL35" s="10">
        <v>130.78471400000001</v>
      </c>
      <c r="AM35" s="10">
        <v>0</v>
      </c>
      <c r="AN35" s="10">
        <v>0</v>
      </c>
      <c r="AO35" s="10">
        <v>0</v>
      </c>
      <c r="AP35" s="10">
        <v>0</v>
      </c>
      <c r="AQ35" s="10">
        <v>341.5894448021777</v>
      </c>
      <c r="AR35" s="10">
        <v>231.42748974168879</v>
      </c>
      <c r="AS35" s="10">
        <v>70.242983216255027</v>
      </c>
      <c r="AT35" s="10">
        <v>65.614433405685446</v>
      </c>
    </row>
    <row r="36" spans="1:46" x14ac:dyDescent="0.25">
      <c r="A36" s="8">
        <v>46022</v>
      </c>
      <c r="B36" s="7" t="s">
        <v>112</v>
      </c>
      <c r="C36" s="7" t="s">
        <v>113</v>
      </c>
      <c r="D36" s="7" t="s">
        <v>68</v>
      </c>
      <c r="E36" s="9">
        <v>0</v>
      </c>
      <c r="F36" s="9">
        <v>0</v>
      </c>
      <c r="G36" s="9">
        <v>0</v>
      </c>
      <c r="H36" s="9">
        <v>0</v>
      </c>
      <c r="I36" s="9">
        <v>0</v>
      </c>
      <c r="J36" s="9">
        <v>1350</v>
      </c>
      <c r="K36" s="9">
        <v>1350</v>
      </c>
      <c r="L36" s="9">
        <v>1350</v>
      </c>
      <c r="M36" s="10">
        <v>86.881849000000017</v>
      </c>
      <c r="N36" s="10">
        <v>6.9469159999999999</v>
      </c>
      <c r="O36" s="10">
        <v>11.850735</v>
      </c>
      <c r="P36" s="10">
        <v>166.048169</v>
      </c>
      <c r="Q36" s="10">
        <v>271.72766899999999</v>
      </c>
      <c r="R36" s="10">
        <v>10.242015</v>
      </c>
      <c r="S36" s="10">
        <v>9.4480459999999997</v>
      </c>
      <c r="T36" s="10">
        <v>6.485671</v>
      </c>
      <c r="U36" s="10">
        <v>27.329287000000001</v>
      </c>
      <c r="V36" s="10">
        <v>53.505019000000011</v>
      </c>
      <c r="W36" s="10">
        <v>325.232688</v>
      </c>
      <c r="X36" s="10">
        <v>30.0768551428297</v>
      </c>
      <c r="Y36" s="10">
        <v>72.864782839862755</v>
      </c>
      <c r="Z36" s="10">
        <v>428.17432598269249</v>
      </c>
      <c r="AA36" s="10">
        <v>23.587163531603782</v>
      </c>
      <c r="AB36" s="10">
        <v>451.76148951429627</v>
      </c>
      <c r="AC36" s="10">
        <v>0</v>
      </c>
      <c r="AD36" s="10">
        <v>127.77133499999999</v>
      </c>
      <c r="AE36" s="10">
        <v>0</v>
      </c>
      <c r="AF36" s="10">
        <v>0</v>
      </c>
      <c r="AG36" s="10">
        <v>579.53282451429629</v>
      </c>
      <c r="AH36" s="10">
        <v>1.601561</v>
      </c>
      <c r="AI36" s="10">
        <v>0</v>
      </c>
      <c r="AJ36" s="10">
        <v>33.659337999999998</v>
      </c>
      <c r="AK36" s="10">
        <v>487.02238851429632</v>
      </c>
      <c r="AL36" s="10">
        <v>0</v>
      </c>
      <c r="AM36" s="10">
        <v>0</v>
      </c>
      <c r="AN36" s="10">
        <v>0</v>
      </c>
      <c r="AO36" s="10">
        <v>0</v>
      </c>
      <c r="AP36" s="10">
        <v>0</v>
      </c>
      <c r="AQ36" s="10">
        <v>487.02238851429632</v>
      </c>
      <c r="AR36" s="10">
        <v>593.16027555786366</v>
      </c>
      <c r="AS36" s="10">
        <v>164.98594957517111</v>
      </c>
      <c r="AT36" s="10">
        <v>141.3987860435673</v>
      </c>
    </row>
    <row r="37" spans="1:46" x14ac:dyDescent="0.25">
      <c r="A37" s="8">
        <v>46022</v>
      </c>
      <c r="B37" s="7" t="s">
        <v>114</v>
      </c>
      <c r="C37" s="7" t="s">
        <v>115</v>
      </c>
      <c r="D37" s="7" t="s">
        <v>116</v>
      </c>
      <c r="E37" s="9">
        <v>330</v>
      </c>
      <c r="F37" s="9">
        <v>0</v>
      </c>
      <c r="G37" s="9">
        <v>330</v>
      </c>
      <c r="H37" s="9">
        <v>0.1</v>
      </c>
      <c r="I37" s="9">
        <v>3300</v>
      </c>
      <c r="J37" s="9">
        <v>0</v>
      </c>
      <c r="K37" s="9">
        <v>3300</v>
      </c>
      <c r="L37" s="9">
        <v>2211</v>
      </c>
      <c r="M37" s="10">
        <v>4.2643820124019829</v>
      </c>
      <c r="N37" s="10">
        <v>2.089537</v>
      </c>
      <c r="O37" s="10">
        <v>0.31055195732116703</v>
      </c>
      <c r="P37" s="10">
        <v>9.5883234703459195</v>
      </c>
      <c r="Q37" s="10">
        <v>16.252794440069071</v>
      </c>
      <c r="R37" s="10">
        <v>5.1895030308999299</v>
      </c>
      <c r="S37" s="10">
        <v>30.781888779106509</v>
      </c>
      <c r="T37" s="10">
        <v>4.9969435169527516</v>
      </c>
      <c r="U37" s="10">
        <v>13.48056176089438</v>
      </c>
      <c r="V37" s="10">
        <v>54.448897087853567</v>
      </c>
      <c r="W37" s="10">
        <v>70.701691527922634</v>
      </c>
      <c r="X37" s="10">
        <v>0.6982631026684758</v>
      </c>
      <c r="Y37" s="10">
        <v>59.835444694879307</v>
      </c>
      <c r="Z37" s="10">
        <v>131.23539932547041</v>
      </c>
      <c r="AA37" s="10">
        <v>0</v>
      </c>
      <c r="AB37" s="10">
        <v>131.23539932547041</v>
      </c>
      <c r="AC37" s="10">
        <v>0</v>
      </c>
      <c r="AD37" s="10">
        <v>16.817002287382859</v>
      </c>
      <c r="AE37" s="10">
        <v>0</v>
      </c>
      <c r="AF37" s="10">
        <v>0</v>
      </c>
      <c r="AG37" s="10">
        <v>148.05240161285329</v>
      </c>
      <c r="AH37" s="10">
        <v>2.6140415667581092</v>
      </c>
      <c r="AI37" s="10">
        <v>0</v>
      </c>
      <c r="AJ37" s="10">
        <v>8.7134728524680867</v>
      </c>
      <c r="AK37" s="10">
        <v>142.5629137446966</v>
      </c>
      <c r="AL37" s="10">
        <v>0</v>
      </c>
      <c r="AM37" s="10">
        <v>0</v>
      </c>
      <c r="AN37" s="10">
        <v>0</v>
      </c>
      <c r="AO37" s="10">
        <v>0</v>
      </c>
      <c r="AP37" s="10">
        <v>0</v>
      </c>
      <c r="AQ37" s="10">
        <v>142.5629137446966</v>
      </c>
      <c r="AR37" s="10">
        <v>187.82667497521749</v>
      </c>
      <c r="AS37" s="10">
        <v>56.591275649747097</v>
      </c>
      <c r="AT37" s="10">
        <v>56.591275649747097</v>
      </c>
    </row>
    <row r="38" spans="1:46" x14ac:dyDescent="0.25">
      <c r="A38" s="8">
        <v>46022</v>
      </c>
      <c r="B38" s="7" t="s">
        <v>117</v>
      </c>
      <c r="C38" s="7" t="s">
        <v>118</v>
      </c>
      <c r="D38" s="7" t="s">
        <v>65</v>
      </c>
      <c r="E38" s="9">
        <v>0</v>
      </c>
      <c r="F38" s="9">
        <v>0</v>
      </c>
      <c r="G38" s="9">
        <v>0</v>
      </c>
      <c r="H38" s="9">
        <v>0</v>
      </c>
      <c r="I38" s="9">
        <v>0</v>
      </c>
      <c r="J38" s="9">
        <v>445</v>
      </c>
      <c r="K38" s="9">
        <v>445</v>
      </c>
      <c r="L38" s="9">
        <v>445</v>
      </c>
      <c r="M38" s="10">
        <v>25.395057000000001</v>
      </c>
      <c r="N38" s="10">
        <v>0.81381599999999998</v>
      </c>
      <c r="O38" s="10">
        <v>7.1109379999999991</v>
      </c>
      <c r="P38" s="10">
        <v>89.760906999999989</v>
      </c>
      <c r="Q38" s="10">
        <v>123.080718</v>
      </c>
      <c r="R38" s="10">
        <v>8.0760939999999994</v>
      </c>
      <c r="S38" s="10">
        <v>1.7243470000000001</v>
      </c>
      <c r="T38" s="10">
        <v>5.9562509999999991</v>
      </c>
      <c r="U38" s="10">
        <v>10.027018999999999</v>
      </c>
      <c r="V38" s="10">
        <v>25.783711</v>
      </c>
      <c r="W38" s="10">
        <v>148.864429</v>
      </c>
      <c r="X38" s="10">
        <v>1.5622216505820219</v>
      </c>
      <c r="Y38" s="10">
        <v>27.445104326157381</v>
      </c>
      <c r="Z38" s="10">
        <v>177.8717549767394</v>
      </c>
      <c r="AA38" s="10">
        <v>9.1567061514820445</v>
      </c>
      <c r="AB38" s="10">
        <v>187.02846112822141</v>
      </c>
      <c r="AC38" s="10">
        <v>0.246807</v>
      </c>
      <c r="AD38" s="10">
        <v>59.178749000000003</v>
      </c>
      <c r="AE38" s="10">
        <v>0</v>
      </c>
      <c r="AF38" s="10">
        <v>0</v>
      </c>
      <c r="AG38" s="10">
        <v>246.45401712822141</v>
      </c>
      <c r="AH38" s="10">
        <v>7.4432210000000003</v>
      </c>
      <c r="AI38" s="10">
        <v>0</v>
      </c>
      <c r="AJ38" s="10">
        <v>49.43820199999999</v>
      </c>
      <c r="AK38" s="10">
        <v>244.15669112822141</v>
      </c>
      <c r="AL38" s="10">
        <v>719.10112400000003</v>
      </c>
      <c r="AM38" s="10">
        <v>0</v>
      </c>
      <c r="AN38" s="10">
        <v>0</v>
      </c>
      <c r="AO38" s="10">
        <v>0</v>
      </c>
      <c r="AP38" s="10">
        <v>0</v>
      </c>
      <c r="AQ38" s="10">
        <v>963.25781512822152</v>
      </c>
      <c r="AR38" s="10">
        <v>183.13453948112351</v>
      </c>
      <c r="AS38" s="10">
        <v>5.2627845043841139</v>
      </c>
      <c r="AT38" s="10">
        <v>-3.893921647097931</v>
      </c>
    </row>
    <row r="39" spans="1:46" x14ac:dyDescent="0.25">
      <c r="A39" s="8">
        <v>46022</v>
      </c>
      <c r="B39" s="7" t="s">
        <v>119</v>
      </c>
      <c r="C39" s="7" t="s">
        <v>120</v>
      </c>
      <c r="D39" s="7" t="s">
        <v>121</v>
      </c>
      <c r="E39" s="9">
        <v>5400</v>
      </c>
      <c r="F39" s="9">
        <v>0</v>
      </c>
      <c r="G39" s="9">
        <v>5400</v>
      </c>
      <c r="H39" s="9">
        <v>4</v>
      </c>
      <c r="I39" s="9">
        <v>1350</v>
      </c>
      <c r="J39" s="9">
        <v>0</v>
      </c>
      <c r="K39" s="9">
        <v>1350</v>
      </c>
      <c r="L39" s="9">
        <v>1350</v>
      </c>
      <c r="M39" s="10">
        <v>23.670076000000002</v>
      </c>
      <c r="N39" s="10">
        <v>71.022493999999995</v>
      </c>
      <c r="O39" s="10">
        <v>2.9687000000000002E-2</v>
      </c>
      <c r="P39" s="10">
        <v>3.8727279999999999</v>
      </c>
      <c r="Q39" s="10">
        <v>98.594984999999994</v>
      </c>
      <c r="R39" s="10">
        <v>10.158735999999999</v>
      </c>
      <c r="S39" s="10">
        <v>15.086304999999999</v>
      </c>
      <c r="T39" s="10">
        <v>11.782984000000001</v>
      </c>
      <c r="U39" s="10">
        <v>11.467433</v>
      </c>
      <c r="V39" s="10">
        <v>48.495457999999999</v>
      </c>
      <c r="W39" s="10">
        <v>147.09044299999999</v>
      </c>
      <c r="X39" s="10">
        <v>0</v>
      </c>
      <c r="Y39" s="10">
        <v>55.937048436242442</v>
      </c>
      <c r="Z39" s="10">
        <v>203.0274914362424</v>
      </c>
      <c r="AA39" s="10">
        <v>5.0798228091335949</v>
      </c>
      <c r="AB39" s="10">
        <v>208.10731424537599</v>
      </c>
      <c r="AC39" s="10">
        <v>0</v>
      </c>
      <c r="AD39" s="10">
        <v>38.799438000000002</v>
      </c>
      <c r="AE39" s="10">
        <v>0</v>
      </c>
      <c r="AF39" s="10">
        <v>0</v>
      </c>
      <c r="AG39" s="10">
        <v>246.906752245376</v>
      </c>
      <c r="AH39" s="10">
        <v>8.3418240000000008</v>
      </c>
      <c r="AI39" s="10">
        <v>0</v>
      </c>
      <c r="AJ39" s="10">
        <v>18.39235</v>
      </c>
      <c r="AK39" s="10">
        <v>234.84148824537601</v>
      </c>
      <c r="AL39" s="10">
        <v>0</v>
      </c>
      <c r="AM39" s="10">
        <v>0</v>
      </c>
      <c r="AN39" s="10">
        <v>0</v>
      </c>
      <c r="AO39" s="10">
        <v>0</v>
      </c>
      <c r="AP39" s="10">
        <v>0</v>
      </c>
      <c r="AQ39" s="10">
        <v>234.84148824537601</v>
      </c>
      <c r="AR39" s="10">
        <v>261.07582014302449</v>
      </c>
      <c r="AS39" s="10">
        <v>58.048328706782023</v>
      </c>
      <c r="AT39" s="10">
        <v>52.968505897648427</v>
      </c>
    </row>
    <row r="40" spans="1:46" x14ac:dyDescent="0.25">
      <c r="A40" s="8">
        <v>46022</v>
      </c>
      <c r="B40" s="7" t="s">
        <v>122</v>
      </c>
      <c r="C40" s="7" t="s">
        <v>123</v>
      </c>
      <c r="D40" s="7" t="s">
        <v>65</v>
      </c>
      <c r="E40" s="9">
        <v>0</v>
      </c>
      <c r="F40" s="9">
        <v>0</v>
      </c>
      <c r="G40" s="9">
        <v>0</v>
      </c>
      <c r="H40" s="9">
        <v>0</v>
      </c>
      <c r="I40" s="9">
        <v>0</v>
      </c>
      <c r="J40" s="9">
        <v>7200</v>
      </c>
      <c r="K40" s="9">
        <v>7200</v>
      </c>
      <c r="L40" s="9">
        <v>7200</v>
      </c>
      <c r="M40" s="10">
        <v>27.669705</v>
      </c>
      <c r="N40" s="10">
        <v>0.182666</v>
      </c>
      <c r="O40" s="10">
        <v>7.3021549999999991</v>
      </c>
      <c r="P40" s="10">
        <v>44.290429000000003</v>
      </c>
      <c r="Q40" s="10">
        <v>79.444954999999993</v>
      </c>
      <c r="R40" s="10">
        <v>11.102781999999999</v>
      </c>
      <c r="S40" s="10">
        <v>1.733889</v>
      </c>
      <c r="T40" s="10">
        <v>13.926551</v>
      </c>
      <c r="U40" s="10">
        <v>4.3861369999999988</v>
      </c>
      <c r="V40" s="10">
        <v>31.149359</v>
      </c>
      <c r="W40" s="10">
        <v>110.594314</v>
      </c>
      <c r="X40" s="10">
        <v>0.1173</v>
      </c>
      <c r="Y40" s="10">
        <v>10.19560079529176</v>
      </c>
      <c r="Z40" s="10">
        <v>120.90721479529179</v>
      </c>
      <c r="AA40" s="10">
        <v>0.61136465610485247</v>
      </c>
      <c r="AB40" s="10">
        <v>121.5185794513966</v>
      </c>
      <c r="AC40" s="10">
        <v>0</v>
      </c>
      <c r="AD40" s="10">
        <v>15.652734000000001</v>
      </c>
      <c r="AE40" s="10">
        <v>0</v>
      </c>
      <c r="AF40" s="10">
        <v>0</v>
      </c>
      <c r="AG40" s="10">
        <v>137.1713134513966</v>
      </c>
      <c r="AH40" s="10">
        <v>6.3148920000000004</v>
      </c>
      <c r="AI40" s="10">
        <v>0.117872</v>
      </c>
      <c r="AJ40" s="10">
        <v>14.629503</v>
      </c>
      <c r="AK40" s="10">
        <v>142.58084645139661</v>
      </c>
      <c r="AL40" s="10">
        <v>0</v>
      </c>
      <c r="AM40" s="10">
        <v>0</v>
      </c>
      <c r="AN40" s="10">
        <v>0</v>
      </c>
      <c r="AO40" s="10">
        <v>0</v>
      </c>
      <c r="AP40" s="10">
        <v>0</v>
      </c>
      <c r="AQ40" s="10">
        <v>142.58084645139661</v>
      </c>
      <c r="AR40" s="10">
        <v>121.7101295290405</v>
      </c>
      <c r="AS40" s="10">
        <v>0.80291473374876499</v>
      </c>
      <c r="AT40" s="10">
        <v>0.19155007764391199</v>
      </c>
    </row>
    <row r="41" spans="1:46" x14ac:dyDescent="0.25">
      <c r="A41" s="8">
        <v>46022</v>
      </c>
      <c r="B41" s="7" t="s">
        <v>124</v>
      </c>
      <c r="C41" s="7" t="s">
        <v>125</v>
      </c>
      <c r="D41" s="7" t="s">
        <v>126</v>
      </c>
      <c r="E41" s="9">
        <v>14211.061202000001</v>
      </c>
      <c r="F41" s="9">
        <v>0</v>
      </c>
      <c r="G41" s="9">
        <v>14211.061202000001</v>
      </c>
      <c r="H41" s="9">
        <v>2.969919</v>
      </c>
      <c r="I41" s="9">
        <v>4785</v>
      </c>
      <c r="J41" s="9">
        <v>0</v>
      </c>
      <c r="K41" s="9">
        <v>4785</v>
      </c>
      <c r="L41" s="9">
        <v>2400</v>
      </c>
      <c r="M41" s="10">
        <v>14.37640963035795</v>
      </c>
      <c r="N41" s="10">
        <v>15.253322000000001</v>
      </c>
      <c r="O41" s="10">
        <v>9.6440830565473483</v>
      </c>
      <c r="P41" s="10">
        <v>13.24590259700952</v>
      </c>
      <c r="Q41" s="10">
        <v>52.519717283914822</v>
      </c>
      <c r="R41" s="10">
        <v>5.9449798399637519</v>
      </c>
      <c r="S41" s="10">
        <v>30.426108901313999</v>
      </c>
      <c r="T41" s="10">
        <v>46.735745533846853</v>
      </c>
      <c r="U41" s="10">
        <v>12.412443236973269</v>
      </c>
      <c r="V41" s="10">
        <v>95.519277512097872</v>
      </c>
      <c r="W41" s="10">
        <v>148.0389947960127</v>
      </c>
      <c r="X41" s="10">
        <v>8.0765451612662087</v>
      </c>
      <c r="Y41" s="10">
        <v>144.4485118117544</v>
      </c>
      <c r="Z41" s="10">
        <v>300.56405176903331</v>
      </c>
      <c r="AA41" s="10">
        <v>1.3076710875266719</v>
      </c>
      <c r="AB41" s="10">
        <v>301.87172285655998</v>
      </c>
      <c r="AC41" s="10">
        <v>0</v>
      </c>
      <c r="AD41" s="10">
        <v>13.01682776039873</v>
      </c>
      <c r="AE41" s="10">
        <v>0</v>
      </c>
      <c r="AF41" s="10">
        <v>0</v>
      </c>
      <c r="AG41" s="10">
        <v>314.8885506169587</v>
      </c>
      <c r="AH41" s="10">
        <v>9.593754386135025</v>
      </c>
      <c r="AI41" s="10">
        <v>0</v>
      </c>
      <c r="AJ41" s="10">
        <v>7.4729115829632988</v>
      </c>
      <c r="AK41" s="10">
        <v>318.93838882565831</v>
      </c>
      <c r="AL41" s="10">
        <v>0</v>
      </c>
      <c r="AM41" s="10">
        <v>0</v>
      </c>
      <c r="AN41" s="10">
        <v>0</v>
      </c>
      <c r="AO41" s="10">
        <v>0</v>
      </c>
      <c r="AP41" s="10">
        <v>0</v>
      </c>
      <c r="AQ41" s="10">
        <v>318.93838882565831</v>
      </c>
      <c r="AR41" s="10">
        <v>333.3181724686263</v>
      </c>
      <c r="AS41" s="10">
        <v>32.754120699592988</v>
      </c>
      <c r="AT41" s="10">
        <v>31.446449612066321</v>
      </c>
    </row>
    <row r="42" spans="1:46" x14ac:dyDescent="0.25">
      <c r="A42" s="8">
        <v>46022</v>
      </c>
      <c r="B42" s="7" t="s">
        <v>127</v>
      </c>
      <c r="C42" s="7" t="s">
        <v>128</v>
      </c>
      <c r="D42" s="7" t="s">
        <v>121</v>
      </c>
      <c r="E42" s="9">
        <v>9642.8574219999991</v>
      </c>
      <c r="F42" s="9">
        <v>0</v>
      </c>
      <c r="G42" s="9">
        <v>9642.8574219999991</v>
      </c>
      <c r="H42" s="9">
        <v>1.25</v>
      </c>
      <c r="I42" s="9">
        <v>7714.2856449999999</v>
      </c>
      <c r="J42" s="9">
        <v>0</v>
      </c>
      <c r="K42" s="9">
        <v>7714.2856449999999</v>
      </c>
      <c r="L42" s="9">
        <v>5400</v>
      </c>
      <c r="M42" s="10">
        <v>7.6788788035217577</v>
      </c>
      <c r="N42" s="10">
        <v>6.7102690000000003</v>
      </c>
      <c r="O42" s="10">
        <v>9.699105458283748E-2</v>
      </c>
      <c r="P42" s="10">
        <v>7.6303015837707218</v>
      </c>
      <c r="Q42" s="10">
        <v>22.116440441875319</v>
      </c>
      <c r="R42" s="10">
        <v>8.5585220647375824</v>
      </c>
      <c r="S42" s="10">
        <v>20.67825679390705</v>
      </c>
      <c r="T42" s="10">
        <v>7.6088645212796884</v>
      </c>
      <c r="U42" s="10">
        <v>56.722890229890993</v>
      </c>
      <c r="V42" s="10">
        <v>93.568533609815304</v>
      </c>
      <c r="W42" s="10">
        <v>115.6849740516906</v>
      </c>
      <c r="X42" s="10">
        <v>0.19179486851851851</v>
      </c>
      <c r="Y42" s="10">
        <v>49.670121027067992</v>
      </c>
      <c r="Z42" s="10">
        <v>165.54688994727709</v>
      </c>
      <c r="AA42" s="10">
        <v>12.01534326265898</v>
      </c>
      <c r="AB42" s="10">
        <v>177.5622332099361</v>
      </c>
      <c r="AC42" s="10">
        <v>0.41611543991507027</v>
      </c>
      <c r="AD42" s="10">
        <v>26.196371001669782</v>
      </c>
      <c r="AE42" s="10">
        <v>0</v>
      </c>
      <c r="AF42" s="10">
        <v>0</v>
      </c>
      <c r="AG42" s="10">
        <v>204.174719651521</v>
      </c>
      <c r="AH42" s="10">
        <v>0.95081277094564265</v>
      </c>
      <c r="AI42" s="10">
        <v>0</v>
      </c>
      <c r="AJ42" s="10">
        <v>16.018128695772031</v>
      </c>
      <c r="AK42" s="10">
        <v>194.94729011656889</v>
      </c>
      <c r="AL42" s="10">
        <v>0</v>
      </c>
      <c r="AM42" s="10">
        <v>0</v>
      </c>
      <c r="AN42" s="10">
        <v>0</v>
      </c>
      <c r="AO42" s="10">
        <v>0</v>
      </c>
      <c r="AP42" s="10">
        <v>0</v>
      </c>
      <c r="AQ42" s="10">
        <v>194.94729011656889</v>
      </c>
      <c r="AR42" s="10">
        <v>234.21403895679791</v>
      </c>
      <c r="AS42" s="10">
        <v>68.667149009520784</v>
      </c>
      <c r="AT42" s="10">
        <v>56.651805746861811</v>
      </c>
    </row>
    <row r="43" spans="1:46" x14ac:dyDescent="0.25">
      <c r="A43" s="8">
        <v>46022</v>
      </c>
      <c r="B43" s="7" t="s">
        <v>129</v>
      </c>
      <c r="C43" s="7" t="s">
        <v>130</v>
      </c>
      <c r="D43" s="7" t="s">
        <v>57</v>
      </c>
      <c r="E43" s="9">
        <v>0</v>
      </c>
      <c r="F43" s="9">
        <v>0</v>
      </c>
      <c r="G43" s="9">
        <v>0</v>
      </c>
      <c r="H43" s="9">
        <v>0</v>
      </c>
      <c r="I43" s="9">
        <v>0</v>
      </c>
      <c r="J43" s="9">
        <v>713.73717699999997</v>
      </c>
      <c r="K43" s="9">
        <v>713.73717699999997</v>
      </c>
      <c r="L43" s="9">
        <v>713.73717699999997</v>
      </c>
      <c r="M43" s="10">
        <v>115.76871199999999</v>
      </c>
      <c r="N43" s="10">
        <v>15.020705</v>
      </c>
      <c r="O43" s="10">
        <v>19.189886999999999</v>
      </c>
      <c r="P43" s="10">
        <v>125.140199</v>
      </c>
      <c r="Q43" s="10">
        <v>275.11950300000001</v>
      </c>
      <c r="R43" s="10">
        <v>24.184252999999998</v>
      </c>
      <c r="S43" s="10">
        <v>19.543050999999998</v>
      </c>
      <c r="T43" s="10">
        <v>22.827235999999999</v>
      </c>
      <c r="U43" s="10">
        <v>28.127120000000001</v>
      </c>
      <c r="V43" s="10">
        <v>94.681659999999994</v>
      </c>
      <c r="W43" s="10">
        <v>369.80116299999997</v>
      </c>
      <c r="X43" s="10">
        <v>0</v>
      </c>
      <c r="Y43" s="10">
        <v>22.474674604227069</v>
      </c>
      <c r="Z43" s="10">
        <v>392.27583760422709</v>
      </c>
      <c r="AA43" s="10">
        <v>0</v>
      </c>
      <c r="AB43" s="10">
        <v>392.27583760422709</v>
      </c>
      <c r="AC43" s="10">
        <v>0</v>
      </c>
      <c r="AD43" s="10">
        <v>44.492182999999997</v>
      </c>
      <c r="AE43" s="10">
        <v>0</v>
      </c>
      <c r="AF43" s="10">
        <v>0</v>
      </c>
      <c r="AG43" s="10">
        <v>436.7680206042271</v>
      </c>
      <c r="AH43" s="10">
        <v>27.134108000000001</v>
      </c>
      <c r="AI43" s="10">
        <v>5.3748420000000001</v>
      </c>
      <c r="AJ43" s="10">
        <v>101.11859800000001</v>
      </c>
      <c r="AK43" s="10">
        <v>525.90338560422708</v>
      </c>
      <c r="AL43" s="10">
        <v>19.13475</v>
      </c>
      <c r="AM43" s="10">
        <v>0</v>
      </c>
      <c r="AN43" s="10">
        <v>0</v>
      </c>
      <c r="AO43" s="10">
        <v>0</v>
      </c>
      <c r="AP43" s="10">
        <v>0</v>
      </c>
      <c r="AQ43" s="10">
        <v>545.03813560422714</v>
      </c>
      <c r="AR43" s="10">
        <v>418.9727194002171</v>
      </c>
      <c r="AS43" s="10">
        <v>26.69688179599007</v>
      </c>
      <c r="AT43" s="10">
        <v>26.69688179599007</v>
      </c>
    </row>
    <row r="44" spans="1:46" x14ac:dyDescent="0.25">
      <c r="A44" s="8">
        <v>46022</v>
      </c>
      <c r="B44" s="7" t="s">
        <v>131</v>
      </c>
      <c r="C44" s="7" t="s">
        <v>132</v>
      </c>
      <c r="D44" s="7" t="s">
        <v>51</v>
      </c>
      <c r="E44" s="9">
        <v>0</v>
      </c>
      <c r="F44" s="9">
        <v>0</v>
      </c>
      <c r="G44" s="9">
        <v>0</v>
      </c>
      <c r="H44" s="9">
        <v>0</v>
      </c>
      <c r="I44" s="9">
        <v>0</v>
      </c>
      <c r="J44" s="9">
        <v>705</v>
      </c>
      <c r="K44" s="9">
        <v>705</v>
      </c>
      <c r="L44" s="9">
        <v>705</v>
      </c>
      <c r="M44" s="10">
        <v>5.7118830000000003</v>
      </c>
      <c r="N44" s="10">
        <v>1.158515</v>
      </c>
      <c r="O44" s="10">
        <v>0.68005899999999997</v>
      </c>
      <c r="P44" s="10">
        <v>3.6288689999999999</v>
      </c>
      <c r="Q44" s="10">
        <v>11.179326</v>
      </c>
      <c r="R44" s="10">
        <v>1.515506</v>
      </c>
      <c r="S44" s="10">
        <v>1.6082920000000001</v>
      </c>
      <c r="T44" s="10">
        <v>3.1755849999999999</v>
      </c>
      <c r="U44" s="10">
        <v>2.7208909999999999</v>
      </c>
      <c r="V44" s="10">
        <v>9.0202740000000006</v>
      </c>
      <c r="W44" s="10">
        <v>20.1996</v>
      </c>
      <c r="X44" s="10">
        <v>2.0462986226825528</v>
      </c>
      <c r="Y44" s="10">
        <v>15.431001278306059</v>
      </c>
      <c r="Z44" s="10">
        <v>37.676899900988609</v>
      </c>
      <c r="AA44" s="10">
        <v>1.4475184893998549</v>
      </c>
      <c r="AB44" s="10">
        <v>39.12441839038847</v>
      </c>
      <c r="AC44" s="10">
        <v>0</v>
      </c>
      <c r="AD44" s="10">
        <v>0.31045899999999998</v>
      </c>
      <c r="AE44" s="10">
        <v>0</v>
      </c>
      <c r="AF44" s="10">
        <v>0</v>
      </c>
      <c r="AG44" s="10">
        <v>39.434877390388472</v>
      </c>
      <c r="AH44" s="10">
        <v>3.2071360000000002</v>
      </c>
      <c r="AI44" s="10">
        <v>0</v>
      </c>
      <c r="AJ44" s="10">
        <v>2.4302869999999999</v>
      </c>
      <c r="AK44" s="10">
        <v>44.761841390388469</v>
      </c>
      <c r="AL44" s="10">
        <v>0</v>
      </c>
      <c r="AM44" s="10">
        <v>0</v>
      </c>
      <c r="AN44" s="10">
        <v>0</v>
      </c>
      <c r="AO44" s="10">
        <v>0</v>
      </c>
      <c r="AP44" s="10">
        <v>0</v>
      </c>
      <c r="AQ44" s="10">
        <v>44.761841390388469</v>
      </c>
      <c r="AR44" s="10">
        <v>69.967010102109683</v>
      </c>
      <c r="AS44" s="10">
        <v>32.290110201121067</v>
      </c>
      <c r="AT44" s="10">
        <v>30.842591711721209</v>
      </c>
    </row>
    <row r="45" spans="1:46" x14ac:dyDescent="0.25">
      <c r="A45" s="8">
        <v>46022</v>
      </c>
      <c r="B45" s="7" t="s">
        <v>133</v>
      </c>
      <c r="C45" s="7" t="s">
        <v>134</v>
      </c>
      <c r="D45" s="7" t="s">
        <v>54</v>
      </c>
      <c r="E45" s="9">
        <v>2649</v>
      </c>
      <c r="F45" s="9">
        <v>0</v>
      </c>
      <c r="G45" s="9">
        <v>2649</v>
      </c>
      <c r="H45" s="9">
        <v>1</v>
      </c>
      <c r="I45" s="9">
        <v>2649</v>
      </c>
      <c r="J45" s="9">
        <v>0</v>
      </c>
      <c r="K45" s="9">
        <v>2649</v>
      </c>
      <c r="L45" s="9">
        <v>2480.4</v>
      </c>
      <c r="M45" s="10">
        <v>14.728951</v>
      </c>
      <c r="N45" s="10">
        <v>3.1926350000000001</v>
      </c>
      <c r="O45" s="10">
        <v>0.35783100000000001</v>
      </c>
      <c r="P45" s="10">
        <v>4.2218410000000004</v>
      </c>
      <c r="Q45" s="10">
        <v>22.501258</v>
      </c>
      <c r="R45" s="10">
        <v>28.650511999999999</v>
      </c>
      <c r="S45" s="10">
        <v>49.391047999999991</v>
      </c>
      <c r="T45" s="10">
        <v>12.982086000000001</v>
      </c>
      <c r="U45" s="10">
        <v>35.334488999999998</v>
      </c>
      <c r="V45" s="10">
        <v>126.358135</v>
      </c>
      <c r="W45" s="10">
        <v>148.85939300000001</v>
      </c>
      <c r="X45" s="10">
        <v>2.8968691531526369</v>
      </c>
      <c r="Y45" s="10">
        <v>0</v>
      </c>
      <c r="Z45" s="10">
        <v>151.75626215315259</v>
      </c>
      <c r="AA45" s="10">
        <v>4.2538046764660518</v>
      </c>
      <c r="AB45" s="10">
        <v>156.01006682961869</v>
      </c>
      <c r="AC45" s="10">
        <v>0</v>
      </c>
      <c r="AD45" s="10">
        <v>38.447698000000003</v>
      </c>
      <c r="AE45" s="10">
        <v>0</v>
      </c>
      <c r="AF45" s="10">
        <v>0</v>
      </c>
      <c r="AG45" s="10">
        <v>194.4577648296187</v>
      </c>
      <c r="AH45" s="10">
        <v>8.7314450000000008</v>
      </c>
      <c r="AI45" s="10">
        <v>0</v>
      </c>
      <c r="AJ45" s="10">
        <v>10.621409999999999</v>
      </c>
      <c r="AK45" s="10">
        <v>175.3629218296187</v>
      </c>
      <c r="AL45" s="10">
        <v>0</v>
      </c>
      <c r="AM45" s="10">
        <v>0</v>
      </c>
      <c r="AN45" s="10">
        <v>0</v>
      </c>
      <c r="AO45" s="10">
        <v>0</v>
      </c>
      <c r="AP45" s="10">
        <v>0</v>
      </c>
      <c r="AQ45" s="10">
        <v>175.3629218296187</v>
      </c>
      <c r="AR45" s="10">
        <v>212.6897835125298</v>
      </c>
      <c r="AS45" s="10">
        <v>60.933521359377202</v>
      </c>
      <c r="AT45" s="10">
        <v>56.679716682911149</v>
      </c>
    </row>
    <row r="46" spans="1:46" x14ac:dyDescent="0.25">
      <c r="A46" s="8">
        <v>46022</v>
      </c>
      <c r="B46" s="7" t="s">
        <v>135</v>
      </c>
      <c r="C46" s="7" t="s">
        <v>136</v>
      </c>
      <c r="D46" s="7" t="s">
        <v>65</v>
      </c>
      <c r="E46" s="9">
        <v>0</v>
      </c>
      <c r="F46" s="9">
        <v>0</v>
      </c>
      <c r="G46" s="9">
        <v>0</v>
      </c>
      <c r="H46" s="9">
        <v>0</v>
      </c>
      <c r="I46" s="9">
        <v>0</v>
      </c>
      <c r="J46" s="9">
        <v>2008.8011080000001</v>
      </c>
      <c r="K46" s="9">
        <v>2008.8011080000001</v>
      </c>
      <c r="L46" s="9">
        <v>3539.702448</v>
      </c>
      <c r="M46" s="10">
        <v>14.52432420621931</v>
      </c>
      <c r="N46" s="10">
        <v>0.93886800000000004</v>
      </c>
      <c r="O46" s="10">
        <v>0.39584411456628482</v>
      </c>
      <c r="P46" s="10">
        <v>1.958750549918167</v>
      </c>
      <c r="Q46" s="10">
        <v>17.81778687070376</v>
      </c>
      <c r="R46" s="10">
        <v>5.087641774140752</v>
      </c>
      <c r="S46" s="10">
        <v>0.83646266612111286</v>
      </c>
      <c r="T46" s="10">
        <v>3.1492182635024548</v>
      </c>
      <c r="U46" s="10">
        <v>2.641648793780687</v>
      </c>
      <c r="V46" s="10">
        <v>11.71497149754501</v>
      </c>
      <c r="W46" s="10">
        <v>29.532758368248771</v>
      </c>
      <c r="X46" s="10">
        <v>0.60967567135804068</v>
      </c>
      <c r="Y46" s="10">
        <v>20.8223374059402</v>
      </c>
      <c r="Z46" s="10">
        <v>50.964771445547008</v>
      </c>
      <c r="AA46" s="10">
        <v>2.770932353799838</v>
      </c>
      <c r="AB46" s="10">
        <v>53.735703799346851</v>
      </c>
      <c r="AC46" s="10">
        <v>0</v>
      </c>
      <c r="AD46" s="10">
        <v>20.233690592471358</v>
      </c>
      <c r="AE46" s="10">
        <v>0</v>
      </c>
      <c r="AF46" s="10">
        <v>0</v>
      </c>
      <c r="AG46" s="10">
        <v>73.969394391818213</v>
      </c>
      <c r="AH46" s="10">
        <v>0.25846955155482809</v>
      </c>
      <c r="AI46" s="10">
        <v>0</v>
      </c>
      <c r="AJ46" s="10">
        <v>9.3638131129296234</v>
      </c>
      <c r="AK46" s="10">
        <v>63.357986463831303</v>
      </c>
      <c r="AL46" s="10">
        <v>0</v>
      </c>
      <c r="AM46" s="10">
        <v>0</v>
      </c>
      <c r="AN46" s="10">
        <v>0</v>
      </c>
      <c r="AO46" s="10">
        <v>0</v>
      </c>
      <c r="AP46" s="10">
        <v>0</v>
      </c>
      <c r="AQ46" s="10">
        <v>63.357986463831303</v>
      </c>
      <c r="AR46" s="10">
        <v>135.1294265030516</v>
      </c>
      <c r="AS46" s="10">
        <v>84.164655057504547</v>
      </c>
      <c r="AT46" s="10">
        <v>81.393722703704725</v>
      </c>
    </row>
    <row r="47" spans="1:46" x14ac:dyDescent="0.25">
      <c r="A47" s="8">
        <v>46022</v>
      </c>
      <c r="B47" s="7" t="s">
        <v>137</v>
      </c>
      <c r="C47" s="7" t="s">
        <v>138</v>
      </c>
      <c r="D47" s="7" t="s">
        <v>139</v>
      </c>
      <c r="E47" s="9">
        <v>6438.8633179999997</v>
      </c>
      <c r="F47" s="9">
        <v>0</v>
      </c>
      <c r="G47" s="9">
        <v>6438.8633179999997</v>
      </c>
      <c r="H47" s="9">
        <v>1.5</v>
      </c>
      <c r="I47" s="9">
        <v>4292.5755449999997</v>
      </c>
      <c r="J47" s="9">
        <v>0</v>
      </c>
      <c r="K47" s="9">
        <v>4292.5755449999997</v>
      </c>
      <c r="L47" s="9">
        <v>2740.6443869999998</v>
      </c>
      <c r="M47" s="10">
        <v>19.787248000000002</v>
      </c>
      <c r="N47" s="10">
        <v>2.3343759999999998</v>
      </c>
      <c r="O47" s="10">
        <v>0.13120999999999999</v>
      </c>
      <c r="P47" s="10">
        <v>7.2171820000000002</v>
      </c>
      <c r="Q47" s="10">
        <v>29.470016000000001</v>
      </c>
      <c r="R47" s="10">
        <v>22.509768999999999</v>
      </c>
      <c r="S47" s="10">
        <v>24.842298</v>
      </c>
      <c r="T47" s="10">
        <v>38.681635999999997</v>
      </c>
      <c r="U47" s="10">
        <v>1.7363230000000001</v>
      </c>
      <c r="V47" s="10">
        <v>87.770026000000001</v>
      </c>
      <c r="W47" s="10">
        <v>117.240042</v>
      </c>
      <c r="X47" s="10">
        <v>1.9085612959940359</v>
      </c>
      <c r="Y47" s="10">
        <v>13.92364300457481</v>
      </c>
      <c r="Z47" s="10">
        <v>133.07224630056879</v>
      </c>
      <c r="AA47" s="10">
        <v>17.244439624814699</v>
      </c>
      <c r="AB47" s="10">
        <v>150.3166859253835</v>
      </c>
      <c r="AC47" s="10">
        <v>0</v>
      </c>
      <c r="AD47" s="10">
        <v>0</v>
      </c>
      <c r="AE47" s="10">
        <v>0</v>
      </c>
      <c r="AF47" s="10">
        <v>0</v>
      </c>
      <c r="AG47" s="10">
        <v>150.3166859253835</v>
      </c>
      <c r="AH47" s="10">
        <v>2.919022</v>
      </c>
      <c r="AI47" s="10">
        <v>0</v>
      </c>
      <c r="AJ47" s="10">
        <v>6.9326759999999998</v>
      </c>
      <c r="AK47" s="10">
        <v>160.16838392538349</v>
      </c>
      <c r="AL47" s="10">
        <v>1.094633</v>
      </c>
      <c r="AM47" s="10">
        <v>0</v>
      </c>
      <c r="AN47" s="10">
        <v>0</v>
      </c>
      <c r="AO47" s="10">
        <v>0</v>
      </c>
      <c r="AP47" s="10">
        <v>0</v>
      </c>
      <c r="AQ47" s="10">
        <v>161.26301692538351</v>
      </c>
      <c r="AR47" s="10">
        <v>215.55575967442471</v>
      </c>
      <c r="AS47" s="10">
        <v>82.483513373855885</v>
      </c>
      <c r="AT47" s="10">
        <v>65.239073749041182</v>
      </c>
    </row>
    <row r="48" spans="1:46" x14ac:dyDescent="0.25">
      <c r="A48" s="8">
        <v>46022</v>
      </c>
      <c r="B48" s="7" t="s">
        <v>140</v>
      </c>
      <c r="C48" s="7" t="s">
        <v>141</v>
      </c>
      <c r="D48" s="7" t="s">
        <v>51</v>
      </c>
      <c r="E48" s="9">
        <v>0</v>
      </c>
      <c r="F48" s="9">
        <v>0</v>
      </c>
      <c r="G48" s="9">
        <v>0</v>
      </c>
      <c r="H48" s="9">
        <v>0</v>
      </c>
      <c r="I48" s="9">
        <v>0</v>
      </c>
      <c r="J48" s="9">
        <v>1500</v>
      </c>
      <c r="K48" s="9">
        <v>1500</v>
      </c>
      <c r="L48" s="9">
        <v>1500</v>
      </c>
      <c r="M48" s="10">
        <v>12.863141000000001</v>
      </c>
      <c r="N48" s="10">
        <v>2.3866499999999999</v>
      </c>
      <c r="O48" s="10">
        <v>0.76189200000000001</v>
      </c>
      <c r="P48" s="10">
        <v>4.3155570000000001</v>
      </c>
      <c r="Q48" s="10">
        <v>20.32724</v>
      </c>
      <c r="R48" s="10">
        <v>3.4367380000000001</v>
      </c>
      <c r="S48" s="10">
        <v>1.8297669999999999</v>
      </c>
      <c r="T48" s="10">
        <v>2.4054579999999999</v>
      </c>
      <c r="U48" s="10">
        <v>3.1986669999999999</v>
      </c>
      <c r="V48" s="10">
        <v>10.87063</v>
      </c>
      <c r="W48" s="10">
        <v>31.197870000000002</v>
      </c>
      <c r="X48" s="10">
        <v>7.2390580216610667</v>
      </c>
      <c r="Y48" s="10">
        <v>16.976567266116732</v>
      </c>
      <c r="Z48" s="10">
        <v>55.413495287777799</v>
      </c>
      <c r="AA48" s="10">
        <v>6.0026608446215386</v>
      </c>
      <c r="AB48" s="10">
        <v>61.41615613239933</v>
      </c>
      <c r="AC48" s="10">
        <v>0</v>
      </c>
      <c r="AD48" s="10">
        <v>4.110417</v>
      </c>
      <c r="AE48" s="10">
        <v>0</v>
      </c>
      <c r="AF48" s="10">
        <v>0</v>
      </c>
      <c r="AG48" s="10">
        <v>65.526573132399335</v>
      </c>
      <c r="AH48" s="10">
        <v>2.247665</v>
      </c>
      <c r="AI48" s="10">
        <v>1.407977</v>
      </c>
      <c r="AJ48" s="10">
        <v>1.0816889999999999</v>
      </c>
      <c r="AK48" s="10">
        <v>66.153487132399334</v>
      </c>
      <c r="AL48" s="10">
        <v>0</v>
      </c>
      <c r="AM48" s="10">
        <v>0</v>
      </c>
      <c r="AN48" s="10">
        <v>0</v>
      </c>
      <c r="AO48" s="10">
        <v>0</v>
      </c>
      <c r="AP48" s="10">
        <v>0</v>
      </c>
      <c r="AQ48" s="10">
        <v>66.153487132399334</v>
      </c>
      <c r="AR48" s="10">
        <v>100.04396387397919</v>
      </c>
      <c r="AS48" s="10">
        <v>44.630468586201403</v>
      </c>
      <c r="AT48" s="10">
        <v>38.627807741579858</v>
      </c>
    </row>
    <row r="49" spans="1:46" x14ac:dyDescent="0.25">
      <c r="A49" s="8">
        <v>46022</v>
      </c>
      <c r="B49" s="7" t="s">
        <v>142</v>
      </c>
      <c r="C49" s="7" t="s">
        <v>143</v>
      </c>
      <c r="D49" s="7" t="s">
        <v>65</v>
      </c>
      <c r="E49" s="9">
        <v>7932.3180000000002</v>
      </c>
      <c r="F49" s="9">
        <v>0</v>
      </c>
      <c r="G49" s="9">
        <v>7932.3180000000002</v>
      </c>
      <c r="H49" s="9">
        <v>6</v>
      </c>
      <c r="I49" s="9">
        <v>1322.0530000000001</v>
      </c>
      <c r="J49" s="9">
        <v>1268.195856</v>
      </c>
      <c r="K49" s="9">
        <v>2590.2488560000002</v>
      </c>
      <c r="L49" s="9">
        <v>2590.2488560000002</v>
      </c>
      <c r="M49" s="10">
        <v>16.839934</v>
      </c>
      <c r="N49" s="10">
        <v>16.823191000000001</v>
      </c>
      <c r="O49" s="10">
        <v>7.1191719999999989</v>
      </c>
      <c r="P49" s="10">
        <v>12.336705</v>
      </c>
      <c r="Q49" s="10">
        <v>53.119002000000002</v>
      </c>
      <c r="R49" s="10">
        <v>5.027698</v>
      </c>
      <c r="S49" s="10">
        <v>1.4997849999999999</v>
      </c>
      <c r="T49" s="10">
        <v>7.364736999999999</v>
      </c>
      <c r="U49" s="10">
        <v>1.0318050000000001</v>
      </c>
      <c r="V49" s="10">
        <v>14.924025</v>
      </c>
      <c r="W49" s="10">
        <v>68.043026999999995</v>
      </c>
      <c r="X49" s="10">
        <v>0.14343573558169351</v>
      </c>
      <c r="Y49" s="10">
        <v>12.08474741884171</v>
      </c>
      <c r="Z49" s="10">
        <v>80.2712101544234</v>
      </c>
      <c r="AA49" s="10">
        <v>0.34085976223543119</v>
      </c>
      <c r="AB49" s="10">
        <v>80.612069916658825</v>
      </c>
      <c r="AC49" s="10">
        <v>0</v>
      </c>
      <c r="AD49" s="10">
        <v>11.935214999999999</v>
      </c>
      <c r="AE49" s="10">
        <v>0</v>
      </c>
      <c r="AF49" s="10">
        <v>0</v>
      </c>
      <c r="AG49" s="10">
        <v>92.547284916658825</v>
      </c>
      <c r="AH49" s="10">
        <v>0.73739500000000002</v>
      </c>
      <c r="AI49" s="10">
        <v>0</v>
      </c>
      <c r="AJ49" s="10">
        <v>2.1679140000000001</v>
      </c>
      <c r="AK49" s="10">
        <v>83.517378916658828</v>
      </c>
      <c r="AL49" s="10">
        <v>34.945371999999999</v>
      </c>
      <c r="AM49" s="10">
        <v>0</v>
      </c>
      <c r="AN49" s="10">
        <v>0</v>
      </c>
      <c r="AO49" s="10">
        <v>0</v>
      </c>
      <c r="AP49" s="10">
        <v>0</v>
      </c>
      <c r="AQ49" s="10">
        <v>118.46275091665881</v>
      </c>
      <c r="AR49" s="10">
        <v>62.619058842410759</v>
      </c>
      <c r="AS49" s="10">
        <v>-17.652151312012641</v>
      </c>
      <c r="AT49" s="10">
        <v>-17.99301107424807</v>
      </c>
    </row>
    <row r="50" spans="1:46" x14ac:dyDescent="0.25">
      <c r="A50" s="8">
        <v>46022</v>
      </c>
      <c r="B50" s="7" t="s">
        <v>144</v>
      </c>
      <c r="C50" s="7" t="s">
        <v>145</v>
      </c>
      <c r="D50" s="7" t="s">
        <v>126</v>
      </c>
      <c r="E50" s="9">
        <v>6123.4570309999999</v>
      </c>
      <c r="F50" s="9">
        <v>0</v>
      </c>
      <c r="G50" s="9">
        <v>6123.4570309999999</v>
      </c>
      <c r="H50" s="9">
        <v>2</v>
      </c>
      <c r="I50" s="9">
        <v>3061.7285160000001</v>
      </c>
      <c r="J50" s="9">
        <v>0</v>
      </c>
      <c r="K50" s="9">
        <v>3061.7285160000001</v>
      </c>
      <c r="L50" s="9">
        <v>2296.2963869999999</v>
      </c>
      <c r="M50" s="10">
        <v>13.054637080332411</v>
      </c>
      <c r="N50" s="10">
        <v>10.172679</v>
      </c>
      <c r="O50" s="10">
        <v>3.8392434387100538</v>
      </c>
      <c r="P50" s="10">
        <v>48.419694096510277</v>
      </c>
      <c r="Q50" s="10">
        <v>75.486253615552741</v>
      </c>
      <c r="R50" s="10">
        <v>13.27775569631337</v>
      </c>
      <c r="S50" s="10">
        <v>85.137464141663969</v>
      </c>
      <c r="T50" s="10">
        <v>20.983163220354911</v>
      </c>
      <c r="U50" s="10">
        <v>29.599269509173901</v>
      </c>
      <c r="V50" s="10">
        <v>148.99765256750609</v>
      </c>
      <c r="W50" s="10">
        <v>224.48390618305891</v>
      </c>
      <c r="X50" s="10">
        <v>1.171095897251974</v>
      </c>
      <c r="Y50" s="10">
        <v>65.303129272272486</v>
      </c>
      <c r="Z50" s="10">
        <v>290.95813135258339</v>
      </c>
      <c r="AA50" s="10">
        <v>0</v>
      </c>
      <c r="AB50" s="10">
        <v>290.95813135258339</v>
      </c>
      <c r="AC50" s="10">
        <v>0</v>
      </c>
      <c r="AD50" s="10">
        <v>61.480649140570897</v>
      </c>
      <c r="AE50" s="10">
        <v>0</v>
      </c>
      <c r="AF50" s="10">
        <v>0</v>
      </c>
      <c r="AG50" s="10">
        <v>352.43878049315418</v>
      </c>
      <c r="AH50" s="10">
        <v>6.9464171758527078</v>
      </c>
      <c r="AI50" s="10">
        <v>0</v>
      </c>
      <c r="AJ50" s="10">
        <v>31.413471093415769</v>
      </c>
      <c r="AK50" s="10">
        <v>329.31801962185182</v>
      </c>
      <c r="AL50" s="10">
        <v>0</v>
      </c>
      <c r="AM50" s="10">
        <v>0</v>
      </c>
      <c r="AN50" s="10">
        <v>0</v>
      </c>
      <c r="AO50" s="10">
        <v>0</v>
      </c>
      <c r="AP50" s="10">
        <v>0</v>
      </c>
      <c r="AQ50" s="10">
        <v>329.31801962185182</v>
      </c>
      <c r="AR50" s="10">
        <v>251.03563840331029</v>
      </c>
      <c r="AS50" s="10">
        <v>-39.922492949273021</v>
      </c>
      <c r="AT50" s="10">
        <v>-39.922492949273021</v>
      </c>
    </row>
    <row r="51" spans="1:46" x14ac:dyDescent="0.25">
      <c r="A51" s="8">
        <v>46022</v>
      </c>
      <c r="B51" s="7" t="s">
        <v>146</v>
      </c>
      <c r="C51" s="7" t="s">
        <v>147</v>
      </c>
      <c r="D51" s="7" t="s">
        <v>60</v>
      </c>
      <c r="E51" s="9">
        <v>1833.6240230000001</v>
      </c>
      <c r="F51" s="9">
        <v>0</v>
      </c>
      <c r="G51" s="9">
        <v>1833.6240230000001</v>
      </c>
      <c r="H51" s="9">
        <v>2</v>
      </c>
      <c r="I51" s="9">
        <v>916.81201199999998</v>
      </c>
      <c r="J51" s="9">
        <v>0</v>
      </c>
      <c r="K51" s="9">
        <v>916.81201199999998</v>
      </c>
      <c r="L51" s="9">
        <v>705.23999000000003</v>
      </c>
      <c r="M51" s="10">
        <v>0</v>
      </c>
      <c r="N51" s="10">
        <v>0</v>
      </c>
      <c r="O51" s="10">
        <v>0</v>
      </c>
      <c r="P51" s="10">
        <v>65.702299426148244</v>
      </c>
      <c r="Q51" s="10">
        <v>65.702299426148244</v>
      </c>
      <c r="R51" s="10">
        <v>0</v>
      </c>
      <c r="S51" s="10">
        <v>0</v>
      </c>
      <c r="T51" s="10">
        <v>0</v>
      </c>
      <c r="U51" s="10">
        <v>0</v>
      </c>
      <c r="V51" s="10">
        <v>0</v>
      </c>
      <c r="W51" s="10">
        <v>65.702299426148244</v>
      </c>
      <c r="X51" s="10">
        <v>13.32157222136277</v>
      </c>
      <c r="Y51" s="10">
        <v>114.80452172531059</v>
      </c>
      <c r="Z51" s="10">
        <v>193.82839337282161</v>
      </c>
      <c r="AA51" s="10">
        <v>0</v>
      </c>
      <c r="AB51" s="10">
        <v>193.82839337282161</v>
      </c>
      <c r="AC51" s="10">
        <v>0</v>
      </c>
      <c r="AD51" s="10">
        <v>6.8377244406960438</v>
      </c>
      <c r="AE51" s="10">
        <v>0</v>
      </c>
      <c r="AF51" s="10">
        <v>0</v>
      </c>
      <c r="AG51" s="10">
        <v>200.6661178135177</v>
      </c>
      <c r="AH51" s="10">
        <v>5.0740236890451866</v>
      </c>
      <c r="AI51" s="10">
        <v>0</v>
      </c>
      <c r="AJ51" s="10">
        <v>6.5747353958051509</v>
      </c>
      <c r="AK51" s="10">
        <v>205.47715245767199</v>
      </c>
      <c r="AL51" s="10">
        <v>0</v>
      </c>
      <c r="AM51" s="10">
        <v>0</v>
      </c>
      <c r="AN51" s="10">
        <v>0</v>
      </c>
      <c r="AO51" s="10">
        <v>0</v>
      </c>
      <c r="AP51" s="10">
        <v>0</v>
      </c>
      <c r="AQ51" s="10">
        <v>205.47715245767199</v>
      </c>
      <c r="AR51" s="10">
        <v>314.54418850768798</v>
      </c>
      <c r="AS51" s="10">
        <v>120.7157951348664</v>
      </c>
      <c r="AT51" s="10">
        <v>120.7157951348664</v>
      </c>
    </row>
    <row r="52" spans="1:46" x14ac:dyDescent="0.25">
      <c r="A52" s="8">
        <v>46022</v>
      </c>
      <c r="B52" s="7" t="s">
        <v>148</v>
      </c>
      <c r="C52" s="7" t="s">
        <v>149</v>
      </c>
      <c r="D52" s="7" t="s">
        <v>54</v>
      </c>
      <c r="E52" s="9">
        <v>33000</v>
      </c>
      <c r="F52" s="9">
        <v>0</v>
      </c>
      <c r="G52" s="9">
        <v>33000</v>
      </c>
      <c r="H52" s="9">
        <v>5</v>
      </c>
      <c r="I52" s="9">
        <v>6600</v>
      </c>
      <c r="J52" s="9">
        <v>0</v>
      </c>
      <c r="K52" s="9">
        <v>6600</v>
      </c>
      <c r="L52" s="9">
        <v>6600</v>
      </c>
      <c r="M52" s="10">
        <v>1.386412</v>
      </c>
      <c r="N52" s="10">
        <v>1.9798709999999999</v>
      </c>
      <c r="O52" s="10">
        <v>0.11181199999999999</v>
      </c>
      <c r="P52" s="10">
        <v>3.0547119999999999</v>
      </c>
      <c r="Q52" s="10">
        <v>6.532807</v>
      </c>
      <c r="R52" s="10">
        <v>0.62582099999999985</v>
      </c>
      <c r="S52" s="10">
        <v>1.6257870000000001</v>
      </c>
      <c r="T52" s="10">
        <v>1.7122390000000001</v>
      </c>
      <c r="U52" s="10">
        <v>3.2195589999999998</v>
      </c>
      <c r="V52" s="10">
        <v>7.1834059999999997</v>
      </c>
      <c r="W52" s="10">
        <v>13.716213</v>
      </c>
      <c r="X52" s="10">
        <v>0.4421016516423788</v>
      </c>
      <c r="Y52" s="10">
        <v>6.0064147553832816</v>
      </c>
      <c r="Z52" s="10">
        <v>20.164729407025661</v>
      </c>
      <c r="AA52" s="10">
        <v>2.2946225906798001</v>
      </c>
      <c r="AB52" s="10">
        <v>22.459351997705461</v>
      </c>
      <c r="AC52" s="10">
        <v>0.15151500000000001</v>
      </c>
      <c r="AD52" s="10">
        <v>10.734522999999999</v>
      </c>
      <c r="AE52" s="10">
        <v>0</v>
      </c>
      <c r="AF52" s="10">
        <v>0</v>
      </c>
      <c r="AG52" s="10">
        <v>33.34538999770546</v>
      </c>
      <c r="AH52" s="10">
        <v>1.1363639999999999</v>
      </c>
      <c r="AI52" s="10">
        <v>0</v>
      </c>
      <c r="AJ52" s="10">
        <v>5.4864850000000001</v>
      </c>
      <c r="AK52" s="10">
        <v>29.23371599770546</v>
      </c>
      <c r="AL52" s="10">
        <v>0</v>
      </c>
      <c r="AM52" s="10">
        <v>0</v>
      </c>
      <c r="AN52" s="10">
        <v>0</v>
      </c>
      <c r="AO52" s="10">
        <v>0</v>
      </c>
      <c r="AP52" s="10">
        <v>0</v>
      </c>
      <c r="AQ52" s="10">
        <v>29.23371599770546</v>
      </c>
      <c r="AR52" s="10">
        <v>43.27252914942828</v>
      </c>
      <c r="AS52" s="10">
        <v>23.107799742402619</v>
      </c>
      <c r="AT52" s="10">
        <v>20.813177151722819</v>
      </c>
    </row>
    <row r="53" spans="1:46" x14ac:dyDescent="0.25">
      <c r="A53" s="8">
        <v>46022</v>
      </c>
      <c r="B53" s="7" t="s">
        <v>150</v>
      </c>
      <c r="C53" s="7" t="s">
        <v>151</v>
      </c>
      <c r="D53" s="7" t="s">
        <v>152</v>
      </c>
      <c r="E53" s="9">
        <v>38900</v>
      </c>
      <c r="F53" s="9">
        <v>0</v>
      </c>
      <c r="G53" s="9">
        <v>38900</v>
      </c>
      <c r="H53" s="9">
        <v>12.966666999999999</v>
      </c>
      <c r="I53" s="9">
        <v>3000</v>
      </c>
      <c r="J53" s="9">
        <v>0</v>
      </c>
      <c r="K53" s="9">
        <v>3000</v>
      </c>
      <c r="L53" s="9">
        <v>3000</v>
      </c>
      <c r="M53" s="10">
        <v>14.582483</v>
      </c>
      <c r="N53" s="10">
        <v>10.245115999999999</v>
      </c>
      <c r="O53" s="10">
        <v>0.166827</v>
      </c>
      <c r="P53" s="10">
        <v>3.3444210000000001</v>
      </c>
      <c r="Q53" s="10">
        <v>28.338847000000001</v>
      </c>
      <c r="R53" s="10">
        <v>6.0648030000000004</v>
      </c>
      <c r="S53" s="10">
        <v>0.87782800000000005</v>
      </c>
      <c r="T53" s="10">
        <v>1.4105030000000001</v>
      </c>
      <c r="U53" s="10">
        <v>2.1785899999999998</v>
      </c>
      <c r="V53" s="10">
        <v>10.531724000000001</v>
      </c>
      <c r="W53" s="10">
        <v>38.870570999999998</v>
      </c>
      <c r="X53" s="10">
        <v>27.12145947014</v>
      </c>
      <c r="Y53" s="10">
        <v>29.335712000000001</v>
      </c>
      <c r="Z53" s="10">
        <v>95.327742470139995</v>
      </c>
      <c r="AA53" s="10">
        <v>4.9854275849002647</v>
      </c>
      <c r="AB53" s="10">
        <v>100.3131700550403</v>
      </c>
      <c r="AC53" s="10">
        <v>0.216667</v>
      </c>
      <c r="AD53" s="10">
        <v>17.288730000000001</v>
      </c>
      <c r="AE53" s="10">
        <v>0</v>
      </c>
      <c r="AF53" s="10">
        <v>0</v>
      </c>
      <c r="AG53" s="10">
        <v>117.8185670550403</v>
      </c>
      <c r="AH53" s="10">
        <v>2.3322340000000001</v>
      </c>
      <c r="AI53" s="10">
        <v>0</v>
      </c>
      <c r="AJ53" s="10">
        <v>9.7176419999999997</v>
      </c>
      <c r="AK53" s="10">
        <v>112.5797130550403</v>
      </c>
      <c r="AL53" s="10">
        <v>0</v>
      </c>
      <c r="AM53" s="10">
        <v>0</v>
      </c>
      <c r="AN53" s="10">
        <v>0</v>
      </c>
      <c r="AO53" s="10">
        <v>0</v>
      </c>
      <c r="AP53" s="10">
        <v>0</v>
      </c>
      <c r="AQ53" s="10">
        <v>112.5797130550403</v>
      </c>
      <c r="AR53" s="10">
        <v>99.708211461833756</v>
      </c>
      <c r="AS53" s="10">
        <v>4.3804689916937516</v>
      </c>
      <c r="AT53" s="10">
        <v>-0.60495859320651302</v>
      </c>
    </row>
    <row r="54" spans="1:46" x14ac:dyDescent="0.25">
      <c r="A54" s="8">
        <v>46022</v>
      </c>
      <c r="B54" s="7" t="s">
        <v>153</v>
      </c>
      <c r="C54" s="7" t="s">
        <v>154</v>
      </c>
      <c r="D54" s="7" t="s">
        <v>65</v>
      </c>
      <c r="E54" s="9">
        <v>0</v>
      </c>
      <c r="F54" s="9">
        <v>0</v>
      </c>
      <c r="G54" s="9">
        <v>0</v>
      </c>
      <c r="H54" s="9">
        <v>0</v>
      </c>
      <c r="I54" s="9">
        <v>0</v>
      </c>
      <c r="J54" s="9">
        <v>3238.355</v>
      </c>
      <c r="K54" s="9">
        <v>3238.355</v>
      </c>
      <c r="L54" s="9">
        <v>3238.355</v>
      </c>
      <c r="M54" s="10">
        <v>56.478964860883792</v>
      </c>
      <c r="N54" s="10">
        <v>0.41000900000000001</v>
      </c>
      <c r="O54" s="10">
        <v>5.379186579378068</v>
      </c>
      <c r="P54" s="10">
        <v>8.933706407528641</v>
      </c>
      <c r="Q54" s="10">
        <v>71.201866847790498</v>
      </c>
      <c r="R54" s="10">
        <v>3.2934357201309332</v>
      </c>
      <c r="S54" s="10">
        <v>1.3317779705400981</v>
      </c>
      <c r="T54" s="10">
        <v>4.3946279459901803</v>
      </c>
      <c r="U54" s="10">
        <v>1.080269140752864</v>
      </c>
      <c r="V54" s="10">
        <v>10.10011077741407</v>
      </c>
      <c r="W54" s="10">
        <v>81.301977625204586</v>
      </c>
      <c r="X54" s="10">
        <v>9.7499965260139793E-2</v>
      </c>
      <c r="Y54" s="10">
        <v>12.605350751138261</v>
      </c>
      <c r="Z54" s="10">
        <v>94.004828341602973</v>
      </c>
      <c r="AA54" s="10">
        <v>0.28767055344570042</v>
      </c>
      <c r="AB54" s="10">
        <v>94.292498895048666</v>
      </c>
      <c r="AC54" s="10">
        <v>0</v>
      </c>
      <c r="AD54" s="10">
        <v>4.5509516857610484</v>
      </c>
      <c r="AE54" s="10">
        <v>0</v>
      </c>
      <c r="AF54" s="10">
        <v>0</v>
      </c>
      <c r="AG54" s="10">
        <v>98.843450580809716</v>
      </c>
      <c r="AH54" s="10">
        <v>3.6010122176759412</v>
      </c>
      <c r="AI54" s="10">
        <v>0</v>
      </c>
      <c r="AJ54" s="10">
        <v>2.0326162684124389</v>
      </c>
      <c r="AK54" s="10">
        <v>99.92612738113705</v>
      </c>
      <c r="AL54" s="10">
        <v>1.618012</v>
      </c>
      <c r="AM54" s="10">
        <v>0</v>
      </c>
      <c r="AN54" s="10">
        <v>0</v>
      </c>
      <c r="AO54" s="10">
        <v>0</v>
      </c>
      <c r="AP54" s="10">
        <v>0</v>
      </c>
      <c r="AQ54" s="10">
        <v>101.5441393811371</v>
      </c>
      <c r="AR54" s="10">
        <v>169.611444001352</v>
      </c>
      <c r="AS54" s="10">
        <v>75.606615659749025</v>
      </c>
      <c r="AT54" s="10">
        <v>75.318945106303318</v>
      </c>
    </row>
    <row r="55" spans="1:46" x14ac:dyDescent="0.25">
      <c r="A55" s="8">
        <v>46022</v>
      </c>
      <c r="B55" s="7" t="s">
        <v>155</v>
      </c>
      <c r="C55" s="7" t="s">
        <v>156</v>
      </c>
      <c r="D55" s="7" t="s">
        <v>121</v>
      </c>
      <c r="E55" s="9">
        <v>8150</v>
      </c>
      <c r="F55" s="9">
        <v>0</v>
      </c>
      <c r="G55" s="9">
        <v>8150</v>
      </c>
      <c r="H55" s="9">
        <v>0.25</v>
      </c>
      <c r="I55" s="9">
        <v>32600</v>
      </c>
      <c r="J55" s="9">
        <v>0</v>
      </c>
      <c r="K55" s="9">
        <v>32600</v>
      </c>
      <c r="L55" s="9">
        <v>2222.2222219999999</v>
      </c>
      <c r="M55" s="10">
        <v>28.592409097946771</v>
      </c>
      <c r="N55" s="10">
        <v>18.159023000000001</v>
      </c>
      <c r="O55" s="10">
        <v>7.5019735674025032</v>
      </c>
      <c r="P55" s="10">
        <v>102.77922326608039</v>
      </c>
      <c r="Q55" s="10">
        <v>157.03262893142971</v>
      </c>
      <c r="R55" s="10">
        <v>12.710838532378441</v>
      </c>
      <c r="S55" s="10">
        <v>21.307215842777431</v>
      </c>
      <c r="T55" s="10">
        <v>3.658979478978563</v>
      </c>
      <c r="U55" s="10">
        <v>64.205392365957863</v>
      </c>
      <c r="V55" s="10">
        <v>101.8824262200923</v>
      </c>
      <c r="W55" s="10">
        <v>258.91505515152198</v>
      </c>
      <c r="X55" s="10">
        <v>1.854229680185423</v>
      </c>
      <c r="Y55" s="10">
        <v>92.223067165312258</v>
      </c>
      <c r="Z55" s="10">
        <v>352.99235199701968</v>
      </c>
      <c r="AA55" s="10">
        <v>12.280182416709939</v>
      </c>
      <c r="AB55" s="10">
        <v>365.2725344137296</v>
      </c>
      <c r="AC55" s="10">
        <v>0</v>
      </c>
      <c r="AD55" s="10">
        <v>11.875642627599809</v>
      </c>
      <c r="AE55" s="10">
        <v>0</v>
      </c>
      <c r="AF55" s="10">
        <v>0</v>
      </c>
      <c r="AG55" s="10">
        <v>377.1481770413294</v>
      </c>
      <c r="AH55" s="10">
        <v>8.2141650836354039</v>
      </c>
      <c r="AI55" s="10">
        <v>0</v>
      </c>
      <c r="AJ55" s="10">
        <v>5.6261403043300557</v>
      </c>
      <c r="AK55" s="10">
        <v>379.11283980169509</v>
      </c>
      <c r="AL55" s="10">
        <v>0</v>
      </c>
      <c r="AM55" s="10">
        <v>0</v>
      </c>
      <c r="AN55" s="10">
        <v>0</v>
      </c>
      <c r="AO55" s="10">
        <v>0</v>
      </c>
      <c r="AP55" s="10">
        <v>0</v>
      </c>
      <c r="AQ55" s="10">
        <v>379.11283980169509</v>
      </c>
      <c r="AR55" s="10">
        <v>763.74581869845872</v>
      </c>
      <c r="AS55" s="10">
        <v>410.75346670143898</v>
      </c>
      <c r="AT55" s="10">
        <v>398.47328428472912</v>
      </c>
    </row>
    <row r="56" spans="1:46" x14ac:dyDescent="0.25">
      <c r="A56" s="8">
        <v>46022</v>
      </c>
      <c r="B56" s="7" t="s">
        <v>157</v>
      </c>
      <c r="C56" s="7" t="s">
        <v>158</v>
      </c>
      <c r="D56" s="7" t="s">
        <v>116</v>
      </c>
      <c r="E56" s="9">
        <v>2181.0825420000001</v>
      </c>
      <c r="F56" s="9">
        <v>0</v>
      </c>
      <c r="G56" s="9">
        <v>2181.0825420000001</v>
      </c>
      <c r="H56" s="9">
        <v>0.5</v>
      </c>
      <c r="I56" s="9">
        <v>4362.1650829999999</v>
      </c>
      <c r="J56" s="9">
        <v>0</v>
      </c>
      <c r="K56" s="9">
        <v>4362.1650829999999</v>
      </c>
      <c r="L56" s="9">
        <v>3350</v>
      </c>
      <c r="M56" s="10">
        <v>1.119674115983027E-2</v>
      </c>
      <c r="N56" s="10">
        <v>1.3226260000000001</v>
      </c>
      <c r="O56" s="10">
        <v>8.8046732673267326E-3</v>
      </c>
      <c r="P56" s="10">
        <v>2.3068578161244702</v>
      </c>
      <c r="Q56" s="10">
        <v>3.649485230551627</v>
      </c>
      <c r="R56" s="10">
        <v>4.6818976690240452</v>
      </c>
      <c r="S56" s="10">
        <v>18.073176803394631</v>
      </c>
      <c r="T56" s="10">
        <v>4.4564326110325316</v>
      </c>
      <c r="U56" s="10">
        <v>14.80968121074965</v>
      </c>
      <c r="V56" s="10">
        <v>42.021188294200847</v>
      </c>
      <c r="W56" s="10">
        <v>45.67067352475248</v>
      </c>
      <c r="X56" s="10">
        <v>0.59575761194029853</v>
      </c>
      <c r="Y56" s="10">
        <v>41.135811672225678</v>
      </c>
      <c r="Z56" s="10">
        <v>87.402242808918444</v>
      </c>
      <c r="AA56" s="10">
        <v>6.5861143338427768</v>
      </c>
      <c r="AB56" s="10">
        <v>93.988357142761231</v>
      </c>
      <c r="AC56" s="10">
        <v>0</v>
      </c>
      <c r="AD56" s="10">
        <v>23.740333007072142</v>
      </c>
      <c r="AE56" s="10">
        <v>0</v>
      </c>
      <c r="AF56" s="10">
        <v>0</v>
      </c>
      <c r="AG56" s="10">
        <v>117.7286901498334</v>
      </c>
      <c r="AH56" s="10">
        <v>2.2673056520509189</v>
      </c>
      <c r="AI56" s="10">
        <v>0</v>
      </c>
      <c r="AJ56" s="10">
        <v>6.0461480678925037</v>
      </c>
      <c r="AK56" s="10">
        <v>102.3018108627047</v>
      </c>
      <c r="AL56" s="10">
        <v>0</v>
      </c>
      <c r="AM56" s="10">
        <v>0</v>
      </c>
      <c r="AN56" s="10">
        <v>0</v>
      </c>
      <c r="AO56" s="10">
        <v>0</v>
      </c>
      <c r="AP56" s="10">
        <v>0</v>
      </c>
      <c r="AQ56" s="10">
        <v>102.3018108627047</v>
      </c>
      <c r="AR56" s="10">
        <v>180.09455965204251</v>
      </c>
      <c r="AS56" s="10">
        <v>92.692316843124075</v>
      </c>
      <c r="AT56" s="10">
        <v>86.106202509281303</v>
      </c>
    </row>
    <row r="57" spans="1:46" x14ac:dyDescent="0.25">
      <c r="A57" s="8">
        <v>46022</v>
      </c>
      <c r="B57" s="7" t="s">
        <v>159</v>
      </c>
      <c r="C57" s="7" t="s">
        <v>160</v>
      </c>
      <c r="D57" s="7" t="s">
        <v>161</v>
      </c>
      <c r="E57" s="9">
        <v>18000</v>
      </c>
      <c r="F57" s="9">
        <v>0</v>
      </c>
      <c r="G57" s="9">
        <v>18000</v>
      </c>
      <c r="H57" s="9">
        <v>1</v>
      </c>
      <c r="I57" s="9">
        <v>18000</v>
      </c>
      <c r="J57" s="9">
        <v>0</v>
      </c>
      <c r="K57" s="9">
        <v>18000</v>
      </c>
      <c r="L57" s="9">
        <v>18000</v>
      </c>
      <c r="M57" s="10">
        <v>1.6158819719316511</v>
      </c>
      <c r="N57" s="10">
        <v>1.0399719999999999</v>
      </c>
      <c r="O57" s="10">
        <v>0.1648519547882934</v>
      </c>
      <c r="P57" s="10">
        <v>2.7009477811951341</v>
      </c>
      <c r="Q57" s="10">
        <v>5.5216537079150783</v>
      </c>
      <c r="R57" s="10">
        <v>1.9793045894367529</v>
      </c>
      <c r="S57" s="10">
        <v>12.15341489009008</v>
      </c>
      <c r="T57" s="10">
        <v>1.5449034870937459</v>
      </c>
      <c r="U57" s="10">
        <v>3.7376696268151619</v>
      </c>
      <c r="V57" s="10">
        <v>19.415292593435741</v>
      </c>
      <c r="W57" s="10">
        <v>24.936946301350819</v>
      </c>
      <c r="X57" s="10">
        <v>0.46778779319444441</v>
      </c>
      <c r="Y57" s="10">
        <v>4.3061743880495182</v>
      </c>
      <c r="Z57" s="10">
        <v>29.710908482594778</v>
      </c>
      <c r="AA57" s="10">
        <v>0</v>
      </c>
      <c r="AB57" s="10">
        <v>29.710908482594778</v>
      </c>
      <c r="AC57" s="10">
        <v>0</v>
      </c>
      <c r="AD57" s="10">
        <v>6.8183758676761492</v>
      </c>
      <c r="AE57" s="10">
        <v>0</v>
      </c>
      <c r="AF57" s="10">
        <v>0</v>
      </c>
      <c r="AG57" s="10">
        <v>36.529284350270927</v>
      </c>
      <c r="AH57" s="10">
        <v>1.148429858846832</v>
      </c>
      <c r="AI57" s="10">
        <v>0.28710772310845217</v>
      </c>
      <c r="AJ57" s="10">
        <v>4.2210141732478901</v>
      </c>
      <c r="AK57" s="10">
        <v>35.367460237797957</v>
      </c>
      <c r="AL57" s="10">
        <v>0</v>
      </c>
      <c r="AM57" s="10">
        <v>0</v>
      </c>
      <c r="AN57" s="10">
        <v>0</v>
      </c>
      <c r="AO57" s="10">
        <v>0</v>
      </c>
      <c r="AP57" s="10">
        <v>0</v>
      </c>
      <c r="AQ57" s="10">
        <v>35.367460237797957</v>
      </c>
      <c r="AR57" s="10">
        <v>36.65278510248757</v>
      </c>
      <c r="AS57" s="10">
        <v>6.9418766198927893</v>
      </c>
      <c r="AT57" s="10">
        <v>6.9418766198927893</v>
      </c>
    </row>
    <row r="58" spans="1:46" x14ac:dyDescent="0.25">
      <c r="A58" s="8">
        <v>46022</v>
      </c>
      <c r="B58" s="7" t="s">
        <v>162</v>
      </c>
      <c r="C58" s="7" t="s">
        <v>163</v>
      </c>
      <c r="D58" s="7" t="s">
        <v>105</v>
      </c>
      <c r="E58" s="9">
        <v>0</v>
      </c>
      <c r="F58" s="9">
        <v>0</v>
      </c>
      <c r="G58" s="9">
        <v>0</v>
      </c>
      <c r="H58" s="9">
        <v>0</v>
      </c>
      <c r="I58" s="9">
        <v>0</v>
      </c>
      <c r="J58" s="9">
        <v>2150.8266050000002</v>
      </c>
      <c r="K58" s="9">
        <v>2150.8266050000002</v>
      </c>
      <c r="L58" s="9">
        <v>2150.8266050000002</v>
      </c>
      <c r="M58" s="10">
        <v>25.235330999999999</v>
      </c>
      <c r="N58" s="10">
        <v>2.9101810000000001</v>
      </c>
      <c r="O58" s="10">
        <v>9.1117709999999992</v>
      </c>
      <c r="P58" s="10">
        <v>17.62771</v>
      </c>
      <c r="Q58" s="10">
        <v>54.884993000000001</v>
      </c>
      <c r="R58" s="10">
        <v>6.4519019999999996</v>
      </c>
      <c r="S58" s="10">
        <v>5.0814630000000003</v>
      </c>
      <c r="T58" s="10">
        <v>18.678498999999999</v>
      </c>
      <c r="U58" s="10">
        <v>4.9751750000000001</v>
      </c>
      <c r="V58" s="10">
        <v>35.187038999999999</v>
      </c>
      <c r="W58" s="10">
        <v>90.072031999999993</v>
      </c>
      <c r="X58" s="10">
        <v>1.7367079607829199</v>
      </c>
      <c r="Y58" s="10">
        <v>20.85541344757096</v>
      </c>
      <c r="Z58" s="10">
        <v>112.6641534083539</v>
      </c>
      <c r="AA58" s="10">
        <v>3.7357009788744948</v>
      </c>
      <c r="AB58" s="10">
        <v>116.3998543872284</v>
      </c>
      <c r="AC58" s="10">
        <v>0</v>
      </c>
      <c r="AD58" s="10">
        <v>25.070404</v>
      </c>
      <c r="AE58" s="10">
        <v>0</v>
      </c>
      <c r="AF58" s="10">
        <v>0</v>
      </c>
      <c r="AG58" s="10">
        <v>141.4702583872284</v>
      </c>
      <c r="AH58" s="10">
        <v>3.8416049999999999</v>
      </c>
      <c r="AI58" s="10">
        <v>0</v>
      </c>
      <c r="AJ58" s="10">
        <v>16.555804999999999</v>
      </c>
      <c r="AK58" s="10">
        <v>136.79726438722841</v>
      </c>
      <c r="AL58" s="10">
        <v>3.030554</v>
      </c>
      <c r="AM58" s="10">
        <v>0</v>
      </c>
      <c r="AN58" s="10">
        <v>0</v>
      </c>
      <c r="AO58" s="10">
        <v>0</v>
      </c>
      <c r="AP58" s="10">
        <v>0</v>
      </c>
      <c r="AQ58" s="10">
        <v>139.8278183872284</v>
      </c>
      <c r="AR58" s="10">
        <v>154.97146086457099</v>
      </c>
      <c r="AS58" s="10">
        <v>42.307307456217117</v>
      </c>
      <c r="AT58" s="10">
        <v>38.57160647734262</v>
      </c>
    </row>
    <row r="59" spans="1:46" x14ac:dyDescent="0.25">
      <c r="A59" s="8">
        <v>46022</v>
      </c>
      <c r="B59" s="7" t="s">
        <v>164</v>
      </c>
      <c r="C59" s="7" t="s">
        <v>165</v>
      </c>
      <c r="D59" s="7" t="s">
        <v>65</v>
      </c>
      <c r="E59" s="9">
        <v>0</v>
      </c>
      <c r="F59" s="9">
        <v>0</v>
      </c>
      <c r="G59" s="9">
        <v>0</v>
      </c>
      <c r="H59" s="9">
        <v>0</v>
      </c>
      <c r="I59" s="9">
        <v>0</v>
      </c>
      <c r="J59" s="9">
        <v>2680.9628109999999</v>
      </c>
      <c r="K59" s="9">
        <v>2680.9628109999999</v>
      </c>
      <c r="L59" s="9">
        <v>2247.8809999999999</v>
      </c>
      <c r="M59" s="10">
        <v>17.349211</v>
      </c>
      <c r="N59" s="10">
        <v>0.67965799999999998</v>
      </c>
      <c r="O59" s="10">
        <v>4.6026470000000002</v>
      </c>
      <c r="P59" s="10">
        <v>2.7091289999999999</v>
      </c>
      <c r="Q59" s="10">
        <v>25.340644999999999</v>
      </c>
      <c r="R59" s="10">
        <v>3.9605610000000002</v>
      </c>
      <c r="S59" s="10">
        <v>0.92993199999999987</v>
      </c>
      <c r="T59" s="10">
        <v>7.0813240000000004</v>
      </c>
      <c r="U59" s="10">
        <v>1.2382629999999999</v>
      </c>
      <c r="V59" s="10">
        <v>13.21008</v>
      </c>
      <c r="W59" s="10">
        <v>38.550725</v>
      </c>
      <c r="X59" s="10">
        <v>0.53710209315350765</v>
      </c>
      <c r="Y59" s="10">
        <v>49.593522046844107</v>
      </c>
      <c r="Z59" s="10">
        <v>88.681349139997621</v>
      </c>
      <c r="AA59" s="10">
        <v>1.8180657667448661</v>
      </c>
      <c r="AB59" s="10">
        <v>90.499414906742487</v>
      </c>
      <c r="AC59" s="10">
        <v>0</v>
      </c>
      <c r="AD59" s="10">
        <v>5.5607930000000003</v>
      </c>
      <c r="AE59" s="10">
        <v>0</v>
      </c>
      <c r="AF59" s="10">
        <v>0</v>
      </c>
      <c r="AG59" s="10">
        <v>96.060207906742491</v>
      </c>
      <c r="AH59" s="10">
        <v>6.3949930000000004</v>
      </c>
      <c r="AI59" s="10">
        <v>0</v>
      </c>
      <c r="AJ59" s="10">
        <v>17.025590999999999</v>
      </c>
      <c r="AK59" s="10">
        <v>113.91999890674251</v>
      </c>
      <c r="AL59" s="10">
        <v>40.088985000000001</v>
      </c>
      <c r="AM59" s="10">
        <v>0</v>
      </c>
      <c r="AN59" s="10">
        <v>0</v>
      </c>
      <c r="AO59" s="10">
        <v>0</v>
      </c>
      <c r="AP59" s="10">
        <v>0</v>
      </c>
      <c r="AQ59" s="10">
        <v>154.00898390674249</v>
      </c>
      <c r="AR59" s="10">
        <v>252.387027977424</v>
      </c>
      <c r="AS59" s="10">
        <v>163.7056788374264</v>
      </c>
      <c r="AT59" s="10">
        <v>161.88761307068151</v>
      </c>
    </row>
    <row r="60" spans="1:46" x14ac:dyDescent="0.25">
      <c r="A60" s="8">
        <v>46022</v>
      </c>
      <c r="B60" s="7" t="s">
        <v>166</v>
      </c>
      <c r="C60" s="7" t="s">
        <v>167</v>
      </c>
      <c r="D60" s="7" t="s">
        <v>105</v>
      </c>
      <c r="E60" s="9">
        <v>0</v>
      </c>
      <c r="F60" s="9">
        <v>0</v>
      </c>
      <c r="G60" s="9">
        <v>0</v>
      </c>
      <c r="H60" s="9">
        <v>0</v>
      </c>
      <c r="I60" s="9">
        <v>0</v>
      </c>
      <c r="J60" s="9">
        <v>7560</v>
      </c>
      <c r="K60" s="9">
        <v>7560</v>
      </c>
      <c r="L60" s="9">
        <v>7560</v>
      </c>
      <c r="M60" s="10">
        <v>10.507244999999999</v>
      </c>
      <c r="N60" s="10">
        <v>0.48755599999999999</v>
      </c>
      <c r="O60" s="10">
        <v>0.58813700000000002</v>
      </c>
      <c r="P60" s="10">
        <v>34.178694</v>
      </c>
      <c r="Q60" s="10">
        <v>45.761631999999999</v>
      </c>
      <c r="R60" s="10">
        <v>3.0943320000000001</v>
      </c>
      <c r="S60" s="10">
        <v>0.66054900000000005</v>
      </c>
      <c r="T60" s="10">
        <v>4.6249880000000001</v>
      </c>
      <c r="U60" s="10">
        <v>5.9076680000000001</v>
      </c>
      <c r="V60" s="10">
        <v>14.287537</v>
      </c>
      <c r="W60" s="10">
        <v>60.049168999999999</v>
      </c>
      <c r="X60" s="10">
        <v>0</v>
      </c>
      <c r="Y60" s="10">
        <v>14.516270165387841</v>
      </c>
      <c r="Z60" s="10">
        <v>74.565439165387843</v>
      </c>
      <c r="AA60" s="10">
        <v>4.0532799633628773</v>
      </c>
      <c r="AB60" s="10">
        <v>78.618719128750726</v>
      </c>
      <c r="AC60" s="10">
        <v>0</v>
      </c>
      <c r="AD60" s="10">
        <v>24.135255000000001</v>
      </c>
      <c r="AE60" s="10">
        <v>0</v>
      </c>
      <c r="AF60" s="10">
        <v>0</v>
      </c>
      <c r="AG60" s="10">
        <v>102.7539741287507</v>
      </c>
      <c r="AH60" s="10">
        <v>6.0363199999999999</v>
      </c>
      <c r="AI60" s="10">
        <v>0</v>
      </c>
      <c r="AJ60" s="10">
        <v>16.203382999999999</v>
      </c>
      <c r="AK60" s="10">
        <v>100.8584221287507</v>
      </c>
      <c r="AL60" s="10">
        <v>13.227513</v>
      </c>
      <c r="AM60" s="10">
        <v>0</v>
      </c>
      <c r="AN60" s="10">
        <v>0</v>
      </c>
      <c r="AO60" s="10">
        <v>0</v>
      </c>
      <c r="AP60" s="10">
        <v>0</v>
      </c>
      <c r="AQ60" s="10">
        <v>114.08593512875071</v>
      </c>
      <c r="AR60" s="10">
        <v>123.222615564905</v>
      </c>
      <c r="AS60" s="10">
        <v>48.65717639951712</v>
      </c>
      <c r="AT60" s="10">
        <v>44.603896436154237</v>
      </c>
    </row>
    <row r="61" spans="1:46" x14ac:dyDescent="0.25">
      <c r="A61" s="8">
        <v>46022</v>
      </c>
      <c r="B61" s="7" t="s">
        <v>168</v>
      </c>
      <c r="C61" s="7" t="s">
        <v>169</v>
      </c>
      <c r="D61" s="7" t="s">
        <v>161</v>
      </c>
      <c r="E61" s="9">
        <v>21422.666667000001</v>
      </c>
      <c r="F61" s="9">
        <v>0</v>
      </c>
      <c r="G61" s="9">
        <v>21422.666667000001</v>
      </c>
      <c r="H61" s="9">
        <v>2.1351499999999999</v>
      </c>
      <c r="I61" s="9">
        <v>10033.333333</v>
      </c>
      <c r="J61" s="9">
        <v>0</v>
      </c>
      <c r="K61" s="9">
        <v>10033.333333</v>
      </c>
      <c r="L61" s="9">
        <v>10033.333333</v>
      </c>
      <c r="M61" s="10">
        <v>0.78895499999999996</v>
      </c>
      <c r="N61" s="10">
        <v>0.41878500000000002</v>
      </c>
      <c r="O61" s="10">
        <v>4.3568000000000003E-2</v>
      </c>
      <c r="P61" s="10">
        <v>1.089772</v>
      </c>
      <c r="Q61" s="10">
        <v>2.3410799999999998</v>
      </c>
      <c r="R61" s="10">
        <v>0.33812500000000001</v>
      </c>
      <c r="S61" s="10">
        <v>0.88496699999999995</v>
      </c>
      <c r="T61" s="10">
        <v>1.1640280000000001</v>
      </c>
      <c r="U61" s="10">
        <v>0.54234300000000002</v>
      </c>
      <c r="V61" s="10">
        <v>2.9294630000000002</v>
      </c>
      <c r="W61" s="10">
        <v>5.270543</v>
      </c>
      <c r="X61" s="10">
        <v>2.2312527007745229</v>
      </c>
      <c r="Y61" s="10">
        <v>6.4463036519407346</v>
      </c>
      <c r="Z61" s="10">
        <v>13.948099352715261</v>
      </c>
      <c r="AA61" s="10">
        <v>0</v>
      </c>
      <c r="AB61" s="10">
        <v>13.948099352715261</v>
      </c>
      <c r="AC61" s="10">
        <v>0</v>
      </c>
      <c r="AD61" s="10">
        <v>0.84586300000000014</v>
      </c>
      <c r="AE61" s="10">
        <v>0</v>
      </c>
      <c r="AF61" s="10">
        <v>0</v>
      </c>
      <c r="AG61" s="10">
        <v>14.79396235271526</v>
      </c>
      <c r="AH61" s="10">
        <v>0.647841</v>
      </c>
      <c r="AI61" s="10">
        <v>0</v>
      </c>
      <c r="AJ61" s="10">
        <v>11.165891999999999</v>
      </c>
      <c r="AK61" s="10">
        <v>25.76183235271526</v>
      </c>
      <c r="AL61" s="10">
        <v>1.0605279999999999</v>
      </c>
      <c r="AM61" s="10">
        <v>0</v>
      </c>
      <c r="AN61" s="10">
        <v>0</v>
      </c>
      <c r="AO61" s="10">
        <v>0</v>
      </c>
      <c r="AP61" s="10">
        <v>0</v>
      </c>
      <c r="AQ61" s="10">
        <v>26.822360352715261</v>
      </c>
      <c r="AR61" s="10">
        <v>45.54317694059047</v>
      </c>
      <c r="AS61" s="10">
        <v>31.59507758787521</v>
      </c>
      <c r="AT61" s="10">
        <v>31.59507758787521</v>
      </c>
    </row>
    <row r="62" spans="1:46" x14ac:dyDescent="0.25">
      <c r="A62" s="8">
        <v>46022</v>
      </c>
      <c r="B62" s="7" t="s">
        <v>170</v>
      </c>
      <c r="C62" s="7" t="s">
        <v>171</v>
      </c>
      <c r="D62" s="7" t="s">
        <v>172</v>
      </c>
      <c r="E62" s="9">
        <v>2537.6931709999999</v>
      </c>
      <c r="F62" s="9">
        <v>0</v>
      </c>
      <c r="G62" s="9">
        <v>2537.6931709999999</v>
      </c>
      <c r="H62" s="9">
        <v>0.72505500000000001</v>
      </c>
      <c r="I62" s="9">
        <v>3500</v>
      </c>
      <c r="J62" s="9">
        <v>0</v>
      </c>
      <c r="K62" s="9">
        <v>3500</v>
      </c>
      <c r="L62" s="9">
        <v>3500</v>
      </c>
      <c r="M62" s="10">
        <v>0.22810154166666671</v>
      </c>
      <c r="N62" s="10">
        <v>2.4339409999999999</v>
      </c>
      <c r="O62" s="10">
        <v>3.1921250000000001E-3</v>
      </c>
      <c r="P62" s="10">
        <v>0.22908387499999999</v>
      </c>
      <c r="Q62" s="10">
        <v>2.8943185416666668</v>
      </c>
      <c r="R62" s="10">
        <v>0.3732775416666666</v>
      </c>
      <c r="S62" s="10">
        <v>1.333124666666667</v>
      </c>
      <c r="T62" s="10">
        <v>1.189648041666667</v>
      </c>
      <c r="U62" s="10">
        <v>0.83776941666666671</v>
      </c>
      <c r="V62" s="10">
        <v>3.7338196666666672</v>
      </c>
      <c r="W62" s="10">
        <v>6.6281382083333327</v>
      </c>
      <c r="X62" s="10">
        <v>14.94299241913863</v>
      </c>
      <c r="Y62" s="10">
        <v>53.028937574809738</v>
      </c>
      <c r="Z62" s="10">
        <v>74.600068202281705</v>
      </c>
      <c r="AA62" s="10">
        <v>9.3059164925889828</v>
      </c>
      <c r="AB62" s="10">
        <v>83.905984694870682</v>
      </c>
      <c r="AC62" s="10">
        <v>8.3333333333333329E-2</v>
      </c>
      <c r="AD62" s="10">
        <v>0.93864912499999997</v>
      </c>
      <c r="AE62" s="10">
        <v>0</v>
      </c>
      <c r="AF62" s="10">
        <v>0</v>
      </c>
      <c r="AG62" s="10">
        <v>84.927967153204023</v>
      </c>
      <c r="AH62" s="10">
        <v>0.2310579583333334</v>
      </c>
      <c r="AI62" s="10">
        <v>0</v>
      </c>
      <c r="AJ62" s="10">
        <v>0.71428570833333327</v>
      </c>
      <c r="AK62" s="10">
        <v>84.934661694870684</v>
      </c>
      <c r="AL62" s="10">
        <v>2.8571430000000002</v>
      </c>
      <c r="AM62" s="10">
        <v>0</v>
      </c>
      <c r="AN62" s="10">
        <v>0</v>
      </c>
      <c r="AO62" s="10">
        <v>0</v>
      </c>
      <c r="AP62" s="10">
        <v>0</v>
      </c>
      <c r="AQ62" s="10">
        <v>87.791804694870677</v>
      </c>
      <c r="AR62" s="10">
        <v>186.11820976324819</v>
      </c>
      <c r="AS62" s="10">
        <v>111.5181415609664</v>
      </c>
      <c r="AT62" s="10">
        <v>102.21222506837751</v>
      </c>
    </row>
    <row r="63" spans="1:46" x14ac:dyDescent="0.25">
      <c r="A63" s="8">
        <v>46022</v>
      </c>
      <c r="B63" s="7" t="s">
        <v>173</v>
      </c>
      <c r="C63" s="7" t="s">
        <v>174</v>
      </c>
      <c r="D63" s="7" t="s">
        <v>152</v>
      </c>
      <c r="E63" s="9">
        <v>0</v>
      </c>
      <c r="F63" s="9">
        <v>0</v>
      </c>
      <c r="G63" s="9">
        <v>0</v>
      </c>
      <c r="H63" s="9">
        <v>0</v>
      </c>
      <c r="I63" s="9">
        <v>0</v>
      </c>
      <c r="J63" s="9">
        <v>564.02439800000002</v>
      </c>
      <c r="K63" s="9">
        <v>564.02439800000002</v>
      </c>
      <c r="L63" s="9">
        <v>564.02439800000002</v>
      </c>
      <c r="M63" s="10">
        <v>4.7019219999999997</v>
      </c>
      <c r="N63" s="10">
        <v>5.4781959999999996</v>
      </c>
      <c r="O63" s="10">
        <v>2.9246669999999999</v>
      </c>
      <c r="P63" s="10">
        <v>11.113153000000001</v>
      </c>
      <c r="Q63" s="10">
        <v>24.217938</v>
      </c>
      <c r="R63" s="10">
        <v>0.88205699999999998</v>
      </c>
      <c r="S63" s="10">
        <v>1.747803</v>
      </c>
      <c r="T63" s="10">
        <v>4.533747</v>
      </c>
      <c r="U63" s="10">
        <v>6.2532269999999999</v>
      </c>
      <c r="V63" s="10">
        <v>13.416834</v>
      </c>
      <c r="W63" s="10">
        <v>37.634771999999998</v>
      </c>
      <c r="X63" s="10">
        <v>12.79491499986336</v>
      </c>
      <c r="Y63" s="10">
        <v>15.83811773068471</v>
      </c>
      <c r="Z63" s="10">
        <v>66.267804730548065</v>
      </c>
      <c r="AA63" s="10">
        <v>5.8518374749914237</v>
      </c>
      <c r="AB63" s="10">
        <v>72.119642205539492</v>
      </c>
      <c r="AC63" s="10">
        <v>0.53189200000000003</v>
      </c>
      <c r="AD63" s="10">
        <v>41.278582</v>
      </c>
      <c r="AE63" s="10">
        <v>0</v>
      </c>
      <c r="AF63" s="10">
        <v>0</v>
      </c>
      <c r="AG63" s="10">
        <v>113.93011620553951</v>
      </c>
      <c r="AH63" s="10">
        <v>7.6256779999999997</v>
      </c>
      <c r="AI63" s="10">
        <v>0</v>
      </c>
      <c r="AJ63" s="10">
        <v>8.5102700000000002</v>
      </c>
      <c r="AK63" s="10">
        <v>88.78748220553949</v>
      </c>
      <c r="AL63" s="10">
        <v>0</v>
      </c>
      <c r="AM63" s="10">
        <v>0</v>
      </c>
      <c r="AN63" s="10">
        <v>0</v>
      </c>
      <c r="AO63" s="10">
        <v>0</v>
      </c>
      <c r="AP63" s="10">
        <v>0</v>
      </c>
      <c r="AQ63" s="10">
        <v>88.78748220553949</v>
      </c>
      <c r="AR63" s="10">
        <v>117.03721040642471</v>
      </c>
      <c r="AS63" s="10">
        <v>50.769405675876641</v>
      </c>
      <c r="AT63" s="10">
        <v>44.917568200885221</v>
      </c>
    </row>
    <row r="64" spans="1:46" x14ac:dyDescent="0.25">
      <c r="A64" s="8">
        <v>46022</v>
      </c>
      <c r="B64" s="7" t="s">
        <v>175</v>
      </c>
      <c r="C64" s="7" t="s">
        <v>176</v>
      </c>
      <c r="D64" s="7" t="s">
        <v>68</v>
      </c>
      <c r="E64" s="9">
        <v>0</v>
      </c>
      <c r="F64" s="9">
        <v>0</v>
      </c>
      <c r="G64" s="9">
        <v>0</v>
      </c>
      <c r="H64" s="9">
        <v>0</v>
      </c>
      <c r="I64" s="9">
        <v>0</v>
      </c>
      <c r="J64" s="9">
        <v>3500</v>
      </c>
      <c r="K64" s="9">
        <v>3500</v>
      </c>
      <c r="L64" s="9">
        <v>4200</v>
      </c>
      <c r="M64" s="10">
        <v>43.224615693430657</v>
      </c>
      <c r="N64" s="10">
        <v>11.523400000000001</v>
      </c>
      <c r="O64" s="10">
        <v>9.8304775912408768</v>
      </c>
      <c r="P64" s="10">
        <v>86.032045255474458</v>
      </c>
      <c r="Q64" s="10">
        <v>150.610538540146</v>
      </c>
      <c r="R64" s="10">
        <v>15.32159408759124</v>
      </c>
      <c r="S64" s="10">
        <v>10.8076297080292</v>
      </c>
      <c r="T64" s="10">
        <v>11.712817810218979</v>
      </c>
      <c r="U64" s="10">
        <v>13.0195797080292</v>
      </c>
      <c r="V64" s="10">
        <v>50.861621313868611</v>
      </c>
      <c r="W64" s="10">
        <v>201.47215985401459</v>
      </c>
      <c r="X64" s="10">
        <v>2.5208646903092862</v>
      </c>
      <c r="Y64" s="10">
        <v>48.967267703951563</v>
      </c>
      <c r="Z64" s="10">
        <v>252.96029224827549</v>
      </c>
      <c r="AA64" s="10">
        <v>0</v>
      </c>
      <c r="AB64" s="10">
        <v>252.96029224827549</v>
      </c>
      <c r="AC64" s="10">
        <v>0</v>
      </c>
      <c r="AD64" s="10">
        <v>44.700288394160587</v>
      </c>
      <c r="AE64" s="10">
        <v>0</v>
      </c>
      <c r="AF64" s="10">
        <v>0</v>
      </c>
      <c r="AG64" s="10">
        <v>297.660580642436</v>
      </c>
      <c r="AH64" s="10">
        <v>4.9486682481751831</v>
      </c>
      <c r="AI64" s="10">
        <v>0</v>
      </c>
      <c r="AJ64" s="10">
        <v>38.435884452554752</v>
      </c>
      <c r="AK64" s="10">
        <v>296.34484494900539</v>
      </c>
      <c r="AL64" s="10">
        <v>0</v>
      </c>
      <c r="AM64" s="10">
        <v>0</v>
      </c>
      <c r="AN64" s="10">
        <v>0</v>
      </c>
      <c r="AO64" s="10">
        <v>0</v>
      </c>
      <c r="AP64" s="10">
        <v>0</v>
      </c>
      <c r="AQ64" s="10">
        <v>296.34484494900539</v>
      </c>
      <c r="AR64" s="10">
        <v>371.76362717175999</v>
      </c>
      <c r="AS64" s="10">
        <v>118.8033349234846</v>
      </c>
      <c r="AT64" s="10">
        <v>118.8033349234846</v>
      </c>
    </row>
    <row r="65" spans="1:46" x14ac:dyDescent="0.25">
      <c r="A65" s="8">
        <v>46022</v>
      </c>
      <c r="B65" s="7" t="s">
        <v>177</v>
      </c>
      <c r="C65" s="7" t="s">
        <v>178</v>
      </c>
      <c r="D65" s="7" t="s">
        <v>65</v>
      </c>
      <c r="E65" s="9">
        <v>34160</v>
      </c>
      <c r="F65" s="9">
        <v>0</v>
      </c>
      <c r="G65" s="9">
        <v>34160</v>
      </c>
      <c r="H65" s="9">
        <v>6.1</v>
      </c>
      <c r="I65" s="9">
        <v>5600</v>
      </c>
      <c r="J65" s="9">
        <v>0</v>
      </c>
      <c r="K65" s="9">
        <v>5600</v>
      </c>
      <c r="L65" s="9">
        <v>5600</v>
      </c>
      <c r="M65" s="10">
        <v>0.45957510638297872</v>
      </c>
      <c r="N65" s="10">
        <v>7.2532430000000003</v>
      </c>
      <c r="O65" s="10">
        <v>0.52075200490998363</v>
      </c>
      <c r="P65" s="10">
        <v>7.5985152373158762</v>
      </c>
      <c r="Q65" s="10">
        <v>15.832085348608841</v>
      </c>
      <c r="R65" s="10">
        <v>0.20066715220949261</v>
      </c>
      <c r="S65" s="10">
        <v>2.9359455810147299</v>
      </c>
      <c r="T65" s="10">
        <v>17.554779427168569</v>
      </c>
      <c r="U65" s="10">
        <v>5.9805951800327328</v>
      </c>
      <c r="V65" s="10">
        <v>26.671987340425531</v>
      </c>
      <c r="W65" s="10">
        <v>42.504072689034373</v>
      </c>
      <c r="X65" s="10">
        <v>0.19189640599999999</v>
      </c>
      <c r="Y65" s="10">
        <v>4.7441753816537711</v>
      </c>
      <c r="Z65" s="10">
        <v>47.44014447668814</v>
      </c>
      <c r="AA65" s="10">
        <v>0.13986287765648961</v>
      </c>
      <c r="AB65" s="10">
        <v>47.58000735434463</v>
      </c>
      <c r="AC65" s="10">
        <v>0</v>
      </c>
      <c r="AD65" s="10">
        <v>9.9428469230769227</v>
      </c>
      <c r="AE65" s="10">
        <v>0</v>
      </c>
      <c r="AF65" s="10">
        <v>0</v>
      </c>
      <c r="AG65" s="10">
        <v>57.522854277421551</v>
      </c>
      <c r="AH65" s="10">
        <v>3.488662487725041</v>
      </c>
      <c r="AI65" s="10">
        <v>0</v>
      </c>
      <c r="AJ65" s="10">
        <v>0.85721639116202941</v>
      </c>
      <c r="AK65" s="10">
        <v>51.925886233231701</v>
      </c>
      <c r="AL65" s="10">
        <v>0</v>
      </c>
      <c r="AM65" s="10">
        <v>0</v>
      </c>
      <c r="AN65" s="10">
        <v>0</v>
      </c>
      <c r="AO65" s="10">
        <v>0</v>
      </c>
      <c r="AP65" s="10">
        <v>0</v>
      </c>
      <c r="AQ65" s="10">
        <v>51.925886233231701</v>
      </c>
      <c r="AR65" s="10">
        <v>52.059371743366633</v>
      </c>
      <c r="AS65" s="10">
        <v>4.6192272666784877</v>
      </c>
      <c r="AT65" s="10">
        <v>4.4793643890219981</v>
      </c>
    </row>
    <row r="66" spans="1:46" x14ac:dyDescent="0.25">
      <c r="A66" s="8">
        <v>46022</v>
      </c>
      <c r="B66" s="7" t="s">
        <v>179</v>
      </c>
      <c r="C66" s="7" t="s">
        <v>180</v>
      </c>
      <c r="D66" s="7" t="s">
        <v>65</v>
      </c>
      <c r="E66" s="9">
        <v>0</v>
      </c>
      <c r="F66" s="9">
        <v>0</v>
      </c>
      <c r="G66" s="9">
        <v>0</v>
      </c>
      <c r="H66" s="9">
        <v>0</v>
      </c>
      <c r="I66" s="9">
        <v>0</v>
      </c>
      <c r="J66" s="9">
        <v>0</v>
      </c>
      <c r="K66" s="9">
        <v>0</v>
      </c>
      <c r="L66" s="9">
        <v>8488</v>
      </c>
      <c r="M66" s="10">
        <v>0</v>
      </c>
      <c r="N66" s="10">
        <v>0</v>
      </c>
      <c r="O66" s="10">
        <v>0</v>
      </c>
      <c r="P66" s="10">
        <v>0</v>
      </c>
      <c r="Q66" s="10">
        <v>0</v>
      </c>
      <c r="R66" s="10">
        <v>0.22723699999999999</v>
      </c>
      <c r="S66" s="10">
        <v>0.56580499999999989</v>
      </c>
      <c r="T66" s="10">
        <v>2.3099789999999998</v>
      </c>
      <c r="U66" s="10">
        <v>0.32848500000000003</v>
      </c>
      <c r="V66" s="10">
        <v>3.4315059999999988</v>
      </c>
      <c r="W66" s="10">
        <v>3.4315059999999988</v>
      </c>
      <c r="X66" s="10">
        <v>1.534417577756833E-3</v>
      </c>
      <c r="Y66" s="10">
        <v>0.56222092440506355</v>
      </c>
      <c r="Z66" s="10">
        <v>3.99526134198282</v>
      </c>
      <c r="AA66" s="10">
        <v>0</v>
      </c>
      <c r="AB66" s="10">
        <v>3.99526134198282</v>
      </c>
      <c r="AC66" s="10">
        <v>0</v>
      </c>
      <c r="AD66" s="10">
        <v>0.35111199999999992</v>
      </c>
      <c r="AE66" s="10">
        <v>0</v>
      </c>
      <c r="AF66" s="10">
        <v>0</v>
      </c>
      <c r="AG66" s="10">
        <v>4.3463733419828197</v>
      </c>
      <c r="AH66" s="10">
        <v>5.0932999999999992E-2</v>
      </c>
      <c r="AI66" s="10">
        <v>0</v>
      </c>
      <c r="AJ66" s="10">
        <v>0.15140300000000001</v>
      </c>
      <c r="AK66" s="10">
        <v>4.1975973419828199</v>
      </c>
      <c r="AL66" s="10">
        <v>0</v>
      </c>
      <c r="AM66" s="10">
        <v>0</v>
      </c>
      <c r="AN66" s="10">
        <v>0</v>
      </c>
      <c r="AO66" s="10">
        <v>0</v>
      </c>
      <c r="AP66" s="10">
        <v>0</v>
      </c>
      <c r="AQ66" s="10">
        <v>4.1975973419828199</v>
      </c>
      <c r="AR66" s="10">
        <v>5.9656557115405313</v>
      </c>
      <c r="AS66" s="10">
        <v>1.9703943695577111</v>
      </c>
      <c r="AT66" s="10">
        <v>1.9703943695577111</v>
      </c>
    </row>
    <row r="67" spans="1:46" x14ac:dyDescent="0.25">
      <c r="A67" s="8">
        <v>46022</v>
      </c>
      <c r="B67" s="7" t="s">
        <v>181</v>
      </c>
      <c r="C67" s="7" t="s">
        <v>182</v>
      </c>
      <c r="D67" s="7" t="s">
        <v>68</v>
      </c>
      <c r="E67" s="9">
        <v>0</v>
      </c>
      <c r="F67" s="9">
        <v>300</v>
      </c>
      <c r="G67" s="9">
        <v>300</v>
      </c>
      <c r="H67" s="9">
        <v>0</v>
      </c>
      <c r="I67" s="9">
        <v>0</v>
      </c>
      <c r="J67" s="9">
        <v>1000</v>
      </c>
      <c r="K67" s="9">
        <v>1000</v>
      </c>
      <c r="L67" s="9">
        <v>1000</v>
      </c>
      <c r="M67" s="10">
        <v>68.086607999999998</v>
      </c>
      <c r="N67" s="10">
        <v>9.9942130000000002</v>
      </c>
      <c r="O67" s="10">
        <v>9.6457300000000004</v>
      </c>
      <c r="P67" s="10">
        <v>115.817108</v>
      </c>
      <c r="Q67" s="10">
        <v>203.54365899999999</v>
      </c>
      <c r="R67" s="10">
        <v>4.3315429999999999</v>
      </c>
      <c r="S67" s="10">
        <v>7.8041669999999996</v>
      </c>
      <c r="T67" s="10">
        <v>3.148301</v>
      </c>
      <c r="U67" s="10">
        <v>12.194663</v>
      </c>
      <c r="V67" s="10">
        <v>27.478674000000002</v>
      </c>
      <c r="W67" s="10">
        <v>231.022333</v>
      </c>
      <c r="X67" s="10">
        <v>12.3457448149216</v>
      </c>
      <c r="Y67" s="10">
        <v>32.708790361245413</v>
      </c>
      <c r="Z67" s="10">
        <v>276.07686817616701</v>
      </c>
      <c r="AA67" s="10">
        <v>0</v>
      </c>
      <c r="AB67" s="10">
        <v>276.07686817616701</v>
      </c>
      <c r="AC67" s="10">
        <v>0</v>
      </c>
      <c r="AD67" s="10">
        <v>110.48586299999999</v>
      </c>
      <c r="AE67" s="10">
        <v>0</v>
      </c>
      <c r="AF67" s="10">
        <v>0</v>
      </c>
      <c r="AG67" s="10">
        <v>386.56273117616701</v>
      </c>
      <c r="AH67" s="10">
        <v>1.0373760000000001</v>
      </c>
      <c r="AI67" s="10">
        <v>0</v>
      </c>
      <c r="AJ67" s="10">
        <v>41.53421800000001</v>
      </c>
      <c r="AK67" s="10">
        <v>318.64846217616702</v>
      </c>
      <c r="AL67" s="10">
        <v>200</v>
      </c>
      <c r="AM67" s="10">
        <v>0</v>
      </c>
      <c r="AN67" s="10">
        <v>0</v>
      </c>
      <c r="AO67" s="10">
        <v>0</v>
      </c>
      <c r="AP67" s="10">
        <v>0</v>
      </c>
      <c r="AQ67" s="10">
        <v>518.64846217616696</v>
      </c>
      <c r="AR67" s="10">
        <v>268.04984798736371</v>
      </c>
      <c r="AS67" s="10">
        <v>-8.0270201888032808</v>
      </c>
      <c r="AT67" s="10">
        <v>-8.0270201888032808</v>
      </c>
    </row>
    <row r="68" spans="1:46" x14ac:dyDescent="0.25">
      <c r="A68" s="8">
        <v>46022</v>
      </c>
      <c r="B68" s="7" t="s">
        <v>183</v>
      </c>
      <c r="C68" s="7" t="s">
        <v>184</v>
      </c>
      <c r="D68" s="7" t="s">
        <v>185</v>
      </c>
      <c r="E68" s="9">
        <v>27620</v>
      </c>
      <c r="F68" s="9">
        <v>0</v>
      </c>
      <c r="G68" s="9">
        <v>27620</v>
      </c>
      <c r="H68" s="9">
        <v>15.873563000000001</v>
      </c>
      <c r="I68" s="9">
        <v>1740</v>
      </c>
      <c r="J68" s="9">
        <v>0</v>
      </c>
      <c r="K68" s="9">
        <v>1740</v>
      </c>
      <c r="L68" s="9">
        <v>1740</v>
      </c>
      <c r="M68" s="10">
        <v>0.31725900000000001</v>
      </c>
      <c r="N68" s="10">
        <v>1.1703600000000001</v>
      </c>
      <c r="O68" s="10">
        <v>0.48348999999999998</v>
      </c>
      <c r="P68" s="10">
        <v>5.0328989999999996</v>
      </c>
      <c r="Q68" s="10">
        <v>7.0040079999999998</v>
      </c>
      <c r="R68" s="10">
        <v>0.74605699999999997</v>
      </c>
      <c r="S68" s="10">
        <v>0.83452999999999999</v>
      </c>
      <c r="T68" s="10">
        <v>1.2781260000000001</v>
      </c>
      <c r="U68" s="10">
        <v>6.2082899999999999</v>
      </c>
      <c r="V68" s="10">
        <v>9.0670029999999997</v>
      </c>
      <c r="W68" s="10">
        <v>16.071010999999999</v>
      </c>
      <c r="X68" s="10">
        <v>0.18965517241379309</v>
      </c>
      <c r="Y68" s="10">
        <v>6.0938160026131882</v>
      </c>
      <c r="Z68" s="10">
        <v>22.35448217502698</v>
      </c>
      <c r="AA68" s="10">
        <v>1.8616430406814199</v>
      </c>
      <c r="AB68" s="10">
        <v>24.216125215708399</v>
      </c>
      <c r="AC68" s="10">
        <v>3.28E-4</v>
      </c>
      <c r="AD68" s="10">
        <v>10.153327000000001</v>
      </c>
      <c r="AE68" s="10">
        <v>0</v>
      </c>
      <c r="AF68" s="10">
        <v>0</v>
      </c>
      <c r="AG68" s="10">
        <v>34.369780215708403</v>
      </c>
      <c r="AH68" s="10">
        <v>1.1494249999999999</v>
      </c>
      <c r="AI68" s="10">
        <v>0</v>
      </c>
      <c r="AJ68" s="10">
        <v>3.6810339999999999</v>
      </c>
      <c r="AK68" s="10">
        <v>29.046912215708399</v>
      </c>
      <c r="AL68" s="10">
        <v>1.1494249999999999</v>
      </c>
      <c r="AM68" s="10">
        <v>0</v>
      </c>
      <c r="AN68" s="10">
        <v>0</v>
      </c>
      <c r="AO68" s="10">
        <v>0</v>
      </c>
      <c r="AP68" s="10">
        <v>0</v>
      </c>
      <c r="AQ68" s="10">
        <v>30.1963372157084</v>
      </c>
      <c r="AR68" s="10">
        <v>29.271557551346572</v>
      </c>
      <c r="AS68" s="10">
        <v>6.9170753763195902</v>
      </c>
      <c r="AT68" s="10">
        <v>5.0554323356381703</v>
      </c>
    </row>
    <row r="69" spans="1:46" x14ac:dyDescent="0.25">
      <c r="A69" s="8">
        <v>46022</v>
      </c>
      <c r="B69" s="7" t="s">
        <v>186</v>
      </c>
      <c r="C69" s="7" t="s">
        <v>187</v>
      </c>
      <c r="D69" s="7" t="s">
        <v>65</v>
      </c>
      <c r="E69" s="9">
        <v>0</v>
      </c>
      <c r="F69" s="9">
        <v>0</v>
      </c>
      <c r="G69" s="9">
        <v>0</v>
      </c>
      <c r="H69" s="9">
        <v>0</v>
      </c>
      <c r="I69" s="9">
        <v>0</v>
      </c>
      <c r="J69" s="9">
        <v>5040</v>
      </c>
      <c r="K69" s="9">
        <v>5040</v>
      </c>
      <c r="L69" s="9">
        <v>5040</v>
      </c>
      <c r="M69" s="10">
        <v>29.178787</v>
      </c>
      <c r="N69" s="10">
        <v>5.6873699999999996</v>
      </c>
      <c r="O69" s="10">
        <v>4.9735620000000003</v>
      </c>
      <c r="P69" s="10">
        <v>23.031036</v>
      </c>
      <c r="Q69" s="10">
        <v>62.870754999999988</v>
      </c>
      <c r="R69" s="10">
        <v>3.1957580000000001</v>
      </c>
      <c r="S69" s="10">
        <v>1.315493</v>
      </c>
      <c r="T69" s="10">
        <v>3.8248570000000002</v>
      </c>
      <c r="U69" s="10">
        <v>2.2924709999999999</v>
      </c>
      <c r="V69" s="10">
        <v>10.628579</v>
      </c>
      <c r="W69" s="10">
        <v>73.49933399999999</v>
      </c>
      <c r="X69" s="10">
        <v>0.38293089899999999</v>
      </c>
      <c r="Y69" s="10">
        <v>6.9196192510786361</v>
      </c>
      <c r="Z69" s="10">
        <v>80.801884150078635</v>
      </c>
      <c r="AA69" s="10">
        <v>0</v>
      </c>
      <c r="AB69" s="10">
        <v>80.801884150078635</v>
      </c>
      <c r="AC69" s="10">
        <v>0</v>
      </c>
      <c r="AD69" s="10">
        <v>42.810437</v>
      </c>
      <c r="AE69" s="10">
        <v>0</v>
      </c>
      <c r="AF69" s="10">
        <v>0</v>
      </c>
      <c r="AG69" s="10">
        <v>123.6123211500786</v>
      </c>
      <c r="AH69" s="10">
        <v>1.388889</v>
      </c>
      <c r="AI69" s="10">
        <v>0.19045799999999999</v>
      </c>
      <c r="AJ69" s="10">
        <v>39.456507000000002</v>
      </c>
      <c r="AK69" s="10">
        <v>121.83773815007859</v>
      </c>
      <c r="AL69" s="10">
        <v>0</v>
      </c>
      <c r="AM69" s="10">
        <v>0</v>
      </c>
      <c r="AN69" s="10">
        <v>0</v>
      </c>
      <c r="AO69" s="10">
        <v>0</v>
      </c>
      <c r="AP69" s="10">
        <v>0</v>
      </c>
      <c r="AQ69" s="10">
        <v>121.83773815007859</v>
      </c>
      <c r="AR69" s="10">
        <v>131.14707202104731</v>
      </c>
      <c r="AS69" s="10">
        <v>50.345187870968651</v>
      </c>
      <c r="AT69" s="10">
        <v>50.345187870968651</v>
      </c>
    </row>
    <row r="70" spans="1:46" x14ac:dyDescent="0.25">
      <c r="A70" s="8">
        <v>46022</v>
      </c>
      <c r="B70" s="7" t="s">
        <v>188</v>
      </c>
      <c r="C70" s="7" t="s">
        <v>189</v>
      </c>
      <c r="D70" s="7" t="s">
        <v>68</v>
      </c>
      <c r="E70" s="9">
        <v>0</v>
      </c>
      <c r="F70" s="9">
        <v>0</v>
      </c>
      <c r="G70" s="9">
        <v>0</v>
      </c>
      <c r="H70" s="9">
        <v>0</v>
      </c>
      <c r="I70" s="9">
        <v>0</v>
      </c>
      <c r="J70" s="9">
        <v>1900</v>
      </c>
      <c r="K70" s="9">
        <v>1900</v>
      </c>
      <c r="L70" s="9">
        <v>2100</v>
      </c>
      <c r="M70" s="10">
        <v>57.065989927007301</v>
      </c>
      <c r="N70" s="10">
        <v>29.422446999999998</v>
      </c>
      <c r="O70" s="10">
        <v>17.599277591240881</v>
      </c>
      <c r="P70" s="10">
        <v>157.56700766423361</v>
      </c>
      <c r="Q70" s="10">
        <v>261.65472218248181</v>
      </c>
      <c r="R70" s="10">
        <v>17.135251605839422</v>
      </c>
      <c r="S70" s="10">
        <v>11.266532554744529</v>
      </c>
      <c r="T70" s="10">
        <v>11.30644255474453</v>
      </c>
      <c r="U70" s="10">
        <v>20.368299416058392</v>
      </c>
      <c r="V70" s="10">
        <v>60.076526131386863</v>
      </c>
      <c r="W70" s="10">
        <v>321.7312483138686</v>
      </c>
      <c r="X70" s="10">
        <v>0</v>
      </c>
      <c r="Y70" s="10">
        <v>48.86302245832163</v>
      </c>
      <c r="Z70" s="10">
        <v>370.59427077219033</v>
      </c>
      <c r="AA70" s="10">
        <v>7.6250884014860798</v>
      </c>
      <c r="AB70" s="10">
        <v>378.21935917367631</v>
      </c>
      <c r="AC70" s="10">
        <v>0</v>
      </c>
      <c r="AD70" s="10">
        <v>154.35380810218979</v>
      </c>
      <c r="AE70" s="10">
        <v>0</v>
      </c>
      <c r="AF70" s="10">
        <v>0</v>
      </c>
      <c r="AG70" s="10">
        <v>532.57316727586613</v>
      </c>
      <c r="AH70" s="10">
        <v>4.9128821897810218</v>
      </c>
      <c r="AI70" s="10">
        <v>0</v>
      </c>
      <c r="AJ70" s="10">
        <v>20.073877883211679</v>
      </c>
      <c r="AK70" s="10">
        <v>403.206119246669</v>
      </c>
      <c r="AL70" s="10">
        <v>24.761904999999999</v>
      </c>
      <c r="AM70" s="10">
        <v>0</v>
      </c>
      <c r="AN70" s="10">
        <v>0</v>
      </c>
      <c r="AO70" s="10">
        <v>0</v>
      </c>
      <c r="AP70" s="10">
        <v>0</v>
      </c>
      <c r="AQ70" s="10">
        <v>427.96802424666902</v>
      </c>
      <c r="AR70" s="10">
        <v>272.32199682709353</v>
      </c>
      <c r="AS70" s="10">
        <v>-98.272273945096742</v>
      </c>
      <c r="AT70" s="10">
        <v>-105.8973623465828</v>
      </c>
    </row>
    <row r="71" spans="1:46" x14ac:dyDescent="0.25">
      <c r="A71" s="8">
        <v>46022</v>
      </c>
      <c r="B71" s="7" t="s">
        <v>190</v>
      </c>
      <c r="C71" s="7" t="s">
        <v>191</v>
      </c>
      <c r="D71" s="7" t="s">
        <v>65</v>
      </c>
      <c r="E71" s="9">
        <v>0</v>
      </c>
      <c r="F71" s="9">
        <v>0</v>
      </c>
      <c r="G71" s="9">
        <v>0</v>
      </c>
      <c r="H71" s="9">
        <v>0</v>
      </c>
      <c r="I71" s="9">
        <v>5400</v>
      </c>
      <c r="J71" s="9">
        <v>0</v>
      </c>
      <c r="K71" s="9">
        <v>5400</v>
      </c>
      <c r="L71" s="9">
        <v>5400</v>
      </c>
      <c r="M71" s="10">
        <v>0.8983509999999999</v>
      </c>
      <c r="N71" s="10">
        <v>0.15484999999999999</v>
      </c>
      <c r="O71" s="10">
        <v>0.33235999999999999</v>
      </c>
      <c r="P71" s="10">
        <v>2.5954030000000001</v>
      </c>
      <c r="Q71" s="10">
        <v>3.9809640000000002</v>
      </c>
      <c r="R71" s="10">
        <v>1.867988</v>
      </c>
      <c r="S71" s="10">
        <v>0.84454599999999991</v>
      </c>
      <c r="T71" s="10">
        <v>2.529884</v>
      </c>
      <c r="U71" s="10">
        <v>1.726853</v>
      </c>
      <c r="V71" s="10">
        <v>6.9692709999999991</v>
      </c>
      <c r="W71" s="10">
        <v>10.950234999999999</v>
      </c>
      <c r="X71" s="10">
        <v>0.75</v>
      </c>
      <c r="Y71" s="10">
        <v>1.5262861113588979</v>
      </c>
      <c r="Z71" s="10">
        <v>13.226521111358901</v>
      </c>
      <c r="AA71" s="10">
        <v>8.2583975169060672E-2</v>
      </c>
      <c r="AB71" s="10">
        <v>13.309105086527961</v>
      </c>
      <c r="AC71" s="10">
        <v>0</v>
      </c>
      <c r="AD71" s="10">
        <v>1.3974610000000001</v>
      </c>
      <c r="AE71" s="10">
        <v>0</v>
      </c>
      <c r="AF71" s="10">
        <v>0</v>
      </c>
      <c r="AG71" s="10">
        <v>14.70656608652796</v>
      </c>
      <c r="AH71" s="10">
        <v>0.64814799999999995</v>
      </c>
      <c r="AI71" s="10">
        <v>2.2120000000000001E-2</v>
      </c>
      <c r="AJ71" s="10">
        <v>0.43800899999999993</v>
      </c>
      <c r="AK71" s="10">
        <v>14.41738208652796</v>
      </c>
      <c r="AL71" s="10">
        <v>0</v>
      </c>
      <c r="AM71" s="10">
        <v>0</v>
      </c>
      <c r="AN71" s="10">
        <v>0</v>
      </c>
      <c r="AO71" s="10">
        <v>0</v>
      </c>
      <c r="AP71" s="10">
        <v>0</v>
      </c>
      <c r="AQ71" s="10">
        <v>14.41738208652796</v>
      </c>
      <c r="AR71" s="10">
        <v>17.87164596193448</v>
      </c>
      <c r="AS71" s="10">
        <v>4.645124850575586</v>
      </c>
      <c r="AT71" s="10">
        <v>4.5625408754065253</v>
      </c>
    </row>
  </sheetData>
  <mergeCells count="47">
    <mergeCell ref="AS6:AS9"/>
    <mergeCell ref="AT6:AT9"/>
    <mergeCell ref="AN6:AN9"/>
    <mergeCell ref="AO6:AO9"/>
    <mergeCell ref="AP6:AP9"/>
    <mergeCell ref="AQ6:AQ9"/>
    <mergeCell ref="AR6:AR9"/>
    <mergeCell ref="AI6:AI9"/>
    <mergeCell ref="AJ6:AJ9"/>
    <mergeCell ref="AK6:AK9"/>
    <mergeCell ref="AL6:AL9"/>
    <mergeCell ref="AM6:AM9"/>
    <mergeCell ref="AD6:AD9"/>
    <mergeCell ref="AE6:AE9"/>
    <mergeCell ref="AF6:AF9"/>
    <mergeCell ref="AG6:AG9"/>
    <mergeCell ref="AH6:AH9"/>
    <mergeCell ref="Y6:Y9"/>
    <mergeCell ref="Z6:Z9"/>
    <mergeCell ref="AA6:AA9"/>
    <mergeCell ref="AB6:AB9"/>
    <mergeCell ref="AC6:AC9"/>
    <mergeCell ref="T6:T9"/>
    <mergeCell ref="U6:U9"/>
    <mergeCell ref="V6:V9"/>
    <mergeCell ref="W6:W9"/>
    <mergeCell ref="X6:X9"/>
    <mergeCell ref="O6:O9"/>
    <mergeCell ref="P6:P9"/>
    <mergeCell ref="Q6:Q9"/>
    <mergeCell ref="R6:R9"/>
    <mergeCell ref="S6:S9"/>
    <mergeCell ref="J6:J9"/>
    <mergeCell ref="K6:K9"/>
    <mergeCell ref="L6:L9"/>
    <mergeCell ref="M6:M9"/>
    <mergeCell ref="N6:N9"/>
    <mergeCell ref="E6:E9"/>
    <mergeCell ref="F6:F9"/>
    <mergeCell ref="G6:G9"/>
    <mergeCell ref="H6:H9"/>
    <mergeCell ref="I6:I9"/>
    <mergeCell ref="A1:D1"/>
    <mergeCell ref="A6:A9"/>
    <mergeCell ref="B6:B9"/>
    <mergeCell ref="C6:C9"/>
    <mergeCell ref="D6:D9"/>
  </mergeCells>
  <pageMargins left="0.7" right="0.7" top="0.75" bottom="0.75" header="0.3" footer="0.3"/>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T71"/>
  <sheetViews>
    <sheetView workbookViewId="0"/>
  </sheetViews>
  <sheetFormatPr defaultRowHeight="15" x14ac:dyDescent="0.25"/>
  <cols>
    <col min="1" max="1" width="48.5703125" customWidth="1"/>
    <col min="2" max="2" width="24" customWidth="1"/>
    <col min="3" max="3" width="16.140625" customWidth="1"/>
    <col min="4" max="4" width="20.85546875" customWidth="1"/>
    <col min="5" max="5" width="23.5703125" customWidth="1"/>
    <col min="6" max="6" width="16.140625" customWidth="1"/>
    <col min="7" max="9" width="17.5703125" customWidth="1"/>
    <col min="10" max="10" width="19.5703125" customWidth="1"/>
    <col min="11" max="11" width="22.42578125" customWidth="1"/>
    <col min="12" max="12" width="23.85546875" customWidth="1"/>
    <col min="13" max="13" width="22.42578125" customWidth="1"/>
    <col min="14" max="15" width="23.85546875" customWidth="1"/>
    <col min="16" max="19" width="21.140625" customWidth="1"/>
    <col min="20" max="20" width="23.28515625" customWidth="1"/>
    <col min="21" max="22" width="21.140625" customWidth="1"/>
    <col min="23" max="23" width="23.85546875" customWidth="1"/>
    <col min="24" max="25" width="21.140625" customWidth="1"/>
    <col min="26" max="26" width="22.42578125" customWidth="1"/>
    <col min="27" max="27" width="21.140625" customWidth="1"/>
    <col min="28" max="28" width="25.140625" customWidth="1"/>
    <col min="29" max="29" width="21.140625" customWidth="1"/>
    <col min="30" max="31" width="16.140625" customWidth="1"/>
    <col min="32" max="32" width="21.140625" customWidth="1"/>
    <col min="33" max="34" width="22.42578125" customWidth="1"/>
    <col min="35" max="36" width="21.140625" customWidth="1"/>
    <col min="37" max="37" width="22.42578125" customWidth="1"/>
    <col min="38" max="38" width="21.140625" customWidth="1"/>
    <col min="39" max="40" width="16.140625" customWidth="1"/>
    <col min="41" max="43" width="21.140625" customWidth="1"/>
    <col min="44" max="44" width="21.5703125" customWidth="1"/>
    <col min="45" max="45" width="22" customWidth="1"/>
    <col min="46" max="46" width="22.42578125" customWidth="1"/>
  </cols>
  <sheetData>
    <row r="1" spans="1:46" ht="39.950000000000003" customHeight="1" x14ac:dyDescent="0.25">
      <c r="A1" s="3"/>
      <c r="B1" s="3"/>
      <c r="C1" s="3"/>
      <c r="D1" s="3"/>
    </row>
    <row r="2" spans="1:46" ht="30" customHeight="1" x14ac:dyDescent="0.3">
      <c r="A2" s="4" t="s">
        <v>234</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row>
    <row r="3" spans="1:46" x14ac:dyDescent="0.25">
      <c r="A3" s="6" t="s">
        <v>0</v>
      </c>
    </row>
    <row r="4" spans="1:46" x14ac:dyDescent="0.25">
      <c r="A4" s="6" t="s">
        <v>1</v>
      </c>
    </row>
    <row r="5" spans="1:46" x14ac:dyDescent="0.25">
      <c r="A5" s="7"/>
    </row>
    <row r="6" spans="1:46" x14ac:dyDescent="0.25">
      <c r="A6" s="2" t="s">
        <v>3</v>
      </c>
      <c r="B6" s="2" t="s">
        <v>4</v>
      </c>
      <c r="C6" s="2" t="s">
        <v>5</v>
      </c>
      <c r="D6" s="2" t="s">
        <v>6</v>
      </c>
      <c r="E6" s="1" t="s">
        <v>14</v>
      </c>
      <c r="F6" s="1" t="s">
        <v>193</v>
      </c>
      <c r="G6" s="1" t="s">
        <v>194</v>
      </c>
      <c r="H6" s="1" t="s">
        <v>195</v>
      </c>
      <c r="I6" s="1" t="s">
        <v>196</v>
      </c>
      <c r="J6" s="1" t="s">
        <v>197</v>
      </c>
      <c r="K6" s="1" t="s">
        <v>198</v>
      </c>
      <c r="L6" s="1" t="s">
        <v>199</v>
      </c>
      <c r="M6" s="1" t="s">
        <v>200</v>
      </c>
      <c r="N6" s="1" t="s">
        <v>201</v>
      </c>
      <c r="O6" s="1" t="s">
        <v>202</v>
      </c>
      <c r="P6" s="1" t="s">
        <v>203</v>
      </c>
      <c r="Q6" s="1" t="s">
        <v>204</v>
      </c>
      <c r="R6" s="1" t="s">
        <v>205</v>
      </c>
      <c r="S6" s="1" t="s">
        <v>206</v>
      </c>
      <c r="T6" s="1" t="s">
        <v>207</v>
      </c>
      <c r="U6" s="1" t="s">
        <v>208</v>
      </c>
      <c r="V6" s="1" t="s">
        <v>209</v>
      </c>
      <c r="W6" s="1" t="s">
        <v>210</v>
      </c>
      <c r="X6" s="1" t="s">
        <v>211</v>
      </c>
      <c r="Y6" s="1" t="s">
        <v>212</v>
      </c>
      <c r="Z6" s="1" t="s">
        <v>213</v>
      </c>
      <c r="AA6" s="1" t="s">
        <v>214</v>
      </c>
      <c r="AB6" s="1" t="s">
        <v>215</v>
      </c>
      <c r="AC6" s="1" t="s">
        <v>216</v>
      </c>
      <c r="AD6" s="1" t="s">
        <v>217</v>
      </c>
      <c r="AE6" s="1" t="s">
        <v>218</v>
      </c>
      <c r="AF6" s="1" t="s">
        <v>219</v>
      </c>
      <c r="AG6" s="1" t="s">
        <v>220</v>
      </c>
      <c r="AH6" s="1" t="s">
        <v>221</v>
      </c>
      <c r="AI6" s="1" t="s">
        <v>222</v>
      </c>
      <c r="AJ6" s="1" t="s">
        <v>223</v>
      </c>
      <c r="AK6" s="1" t="s">
        <v>224</v>
      </c>
      <c r="AL6" s="1" t="s">
        <v>225</v>
      </c>
      <c r="AM6" s="1" t="s">
        <v>226</v>
      </c>
      <c r="AN6" s="1" t="s">
        <v>227</v>
      </c>
      <c r="AO6" s="1" t="s">
        <v>228</v>
      </c>
      <c r="AP6" s="1" t="s">
        <v>229</v>
      </c>
      <c r="AQ6" s="1" t="s">
        <v>230</v>
      </c>
      <c r="AR6" s="1" t="s">
        <v>231</v>
      </c>
      <c r="AS6" s="1" t="s">
        <v>232</v>
      </c>
      <c r="AT6" s="1" t="s">
        <v>233</v>
      </c>
    </row>
    <row r="7" spans="1:46" x14ac:dyDescent="0.25">
      <c r="A7" s="2"/>
      <c r="B7" s="2"/>
      <c r="C7" s="2"/>
      <c r="D7" s="2"/>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row>
    <row r="8" spans="1:46" x14ac:dyDescent="0.25">
      <c r="A8" s="2"/>
      <c r="B8" s="2"/>
      <c r="C8" s="2"/>
      <c r="D8" s="2"/>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row>
    <row r="9" spans="1:46" x14ac:dyDescent="0.25">
      <c r="A9" s="2"/>
      <c r="B9" s="2"/>
      <c r="C9" s="2"/>
      <c r="D9" s="2"/>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row>
    <row r="10" spans="1:46" x14ac:dyDescent="0.25">
      <c r="A10" s="8">
        <v>46022</v>
      </c>
      <c r="B10" s="7" t="s">
        <v>49</v>
      </c>
      <c r="C10" s="7" t="s">
        <v>50</v>
      </c>
      <c r="D10" s="7" t="s">
        <v>51</v>
      </c>
      <c r="E10" s="9">
        <v>165</v>
      </c>
      <c r="F10" s="10">
        <v>0.2</v>
      </c>
      <c r="G10" s="9">
        <v>90</v>
      </c>
      <c r="H10" s="9">
        <v>0.29699999999999999</v>
      </c>
      <c r="I10" s="9">
        <v>95</v>
      </c>
      <c r="J10" s="9">
        <v>0.28215000000000001</v>
      </c>
      <c r="K10" s="11">
        <v>48.83047759366616</v>
      </c>
      <c r="L10" s="9">
        <v>41.56626582560795</v>
      </c>
      <c r="M10" s="9">
        <v>0</v>
      </c>
      <c r="N10" s="9">
        <v>10.90640101153039</v>
      </c>
      <c r="O10" s="9">
        <v>69.832495957572448</v>
      </c>
      <c r="P10" s="9">
        <v>122.3051627947108</v>
      </c>
      <c r="Q10" s="9">
        <v>44.9965964625056</v>
      </c>
      <c r="R10" s="9">
        <v>23.099433446984929</v>
      </c>
      <c r="S10" s="9">
        <v>36.404261642886972</v>
      </c>
      <c r="T10" s="9">
        <v>32.359156587883433</v>
      </c>
      <c r="U10" s="9">
        <v>136.85944814026089</v>
      </c>
      <c r="V10" s="9">
        <v>259.16461093497168</v>
      </c>
      <c r="W10" s="9">
        <v>105.448838932516</v>
      </c>
      <c r="X10" s="9">
        <v>270.83211053472729</v>
      </c>
      <c r="Y10" s="9">
        <v>635.44556040221505</v>
      </c>
      <c r="Z10" s="9">
        <v>96.827014335843046</v>
      </c>
      <c r="AA10" s="9">
        <v>732.27257473805798</v>
      </c>
      <c r="AB10" s="9">
        <v>0</v>
      </c>
      <c r="AC10" s="9">
        <v>50.766393553285504</v>
      </c>
      <c r="AD10" s="9">
        <v>0</v>
      </c>
      <c r="AE10" s="9">
        <v>0</v>
      </c>
      <c r="AF10" s="9">
        <v>783.03896829134351</v>
      </c>
      <c r="AG10" s="9">
        <v>29.113350240650071</v>
      </c>
      <c r="AH10" s="9">
        <v>0</v>
      </c>
      <c r="AI10" s="9">
        <v>14.0108026367179</v>
      </c>
      <c r="AJ10" s="9">
        <v>775.39672761542602</v>
      </c>
      <c r="AK10" s="9">
        <v>0</v>
      </c>
      <c r="AL10" s="9">
        <v>0</v>
      </c>
      <c r="AM10" s="9">
        <v>0</v>
      </c>
      <c r="AN10" s="9">
        <v>0</v>
      </c>
      <c r="AO10" s="9">
        <v>0</v>
      </c>
      <c r="AP10" s="9">
        <v>775.39672761542602</v>
      </c>
      <c r="AQ10" s="9">
        <v>774.13716043534532</v>
      </c>
      <c r="AR10" s="9">
        <v>8.148695</v>
      </c>
      <c r="AS10" s="9">
        <v>138.69160003313041</v>
      </c>
      <c r="AT10" s="9">
        <v>41.864585697287318</v>
      </c>
    </row>
    <row r="11" spans="1:46" x14ac:dyDescent="0.25">
      <c r="A11" s="8">
        <v>46022</v>
      </c>
      <c r="B11" s="7" t="s">
        <v>86</v>
      </c>
      <c r="C11" s="7" t="s">
        <v>87</v>
      </c>
      <c r="D11" s="7" t="s">
        <v>65</v>
      </c>
      <c r="E11" s="9">
        <v>2893.0366789999998</v>
      </c>
      <c r="F11" s="10">
        <v>2.5999999999999999E-2</v>
      </c>
      <c r="G11" s="9">
        <v>61.71</v>
      </c>
      <c r="H11" s="9">
        <v>0.46400000000000002</v>
      </c>
      <c r="I11" s="9">
        <v>100</v>
      </c>
      <c r="J11" s="9">
        <v>0.46416499999999999</v>
      </c>
      <c r="K11" s="11">
        <v>1.109538002164058</v>
      </c>
      <c r="L11" s="9">
        <v>288.66613432253871</v>
      </c>
      <c r="M11" s="9">
        <v>23.274454219088529</v>
      </c>
      <c r="N11" s="9">
        <v>33.549026726764168</v>
      </c>
      <c r="O11" s="9">
        <v>32.177273781126019</v>
      </c>
      <c r="P11" s="9">
        <v>377.66688904951741</v>
      </c>
      <c r="Q11" s="9">
        <v>77.929427033712557</v>
      </c>
      <c r="R11" s="9">
        <v>15.422337305682451</v>
      </c>
      <c r="S11" s="9">
        <v>67.563936961542439</v>
      </c>
      <c r="T11" s="9">
        <v>7.7464908042002438</v>
      </c>
      <c r="U11" s="9">
        <v>168.66219210513771</v>
      </c>
      <c r="V11" s="9">
        <v>546.32908115465511</v>
      </c>
      <c r="W11" s="9">
        <v>0.88830810696560325</v>
      </c>
      <c r="X11" s="9">
        <v>82.721336631630436</v>
      </c>
      <c r="Y11" s="9">
        <v>629.9387258932511</v>
      </c>
      <c r="Z11" s="9">
        <v>6.9899497164447117</v>
      </c>
      <c r="AA11" s="9">
        <v>636.9286756096958</v>
      </c>
      <c r="AB11" s="9">
        <v>0</v>
      </c>
      <c r="AC11" s="9">
        <v>95.204887268892875</v>
      </c>
      <c r="AD11" s="9">
        <v>0</v>
      </c>
      <c r="AE11" s="9">
        <v>0</v>
      </c>
      <c r="AF11" s="9">
        <v>732.13356287858869</v>
      </c>
      <c r="AG11" s="9">
        <v>13.903385987443331</v>
      </c>
      <c r="AH11" s="9">
        <v>2.2945674799844902</v>
      </c>
      <c r="AI11" s="9">
        <v>78.003010535917596</v>
      </c>
      <c r="AJ11" s="9">
        <v>731.12963961304126</v>
      </c>
      <c r="AK11" s="9">
        <v>0</v>
      </c>
      <c r="AL11" s="9">
        <v>0</v>
      </c>
      <c r="AM11" s="9">
        <v>0</v>
      </c>
      <c r="AN11" s="9">
        <v>0</v>
      </c>
      <c r="AO11" s="9">
        <v>0</v>
      </c>
      <c r="AP11" s="9">
        <v>731.12963961304126</v>
      </c>
      <c r="AQ11" s="9">
        <v>774.05836221753498</v>
      </c>
      <c r="AR11" s="9">
        <v>671.15455799999995</v>
      </c>
      <c r="AS11" s="9">
        <v>144.11963632428379</v>
      </c>
      <c r="AT11" s="9">
        <v>137.12968660783909</v>
      </c>
    </row>
    <row r="12" spans="1:46" x14ac:dyDescent="0.25">
      <c r="A12" s="8">
        <v>46022</v>
      </c>
      <c r="B12" s="7" t="s">
        <v>88</v>
      </c>
      <c r="C12" s="7" t="s">
        <v>89</v>
      </c>
      <c r="D12" s="7" t="s">
        <v>90</v>
      </c>
      <c r="E12" s="9">
        <v>3045.8785459999999</v>
      </c>
      <c r="F12" s="10">
        <v>1.03</v>
      </c>
      <c r="G12" s="9">
        <v>85</v>
      </c>
      <c r="H12" s="9">
        <v>26.667000000000002</v>
      </c>
      <c r="I12" s="9">
        <v>100</v>
      </c>
      <c r="J12" s="9">
        <v>26.666667</v>
      </c>
      <c r="K12" s="11">
        <v>85.933785293246515</v>
      </c>
      <c r="L12" s="9">
        <v>38.685669919866449</v>
      </c>
      <c r="M12" s="9">
        <v>3.862705240827899</v>
      </c>
      <c r="N12" s="9">
        <v>41.118358981382443</v>
      </c>
      <c r="O12" s="9">
        <v>308.1284035901582</v>
      </c>
      <c r="P12" s="9">
        <v>391.79513773223499</v>
      </c>
      <c r="Q12" s="9">
        <v>40.762909621469973</v>
      </c>
      <c r="R12" s="9">
        <v>70.096584313294599</v>
      </c>
      <c r="S12" s="9">
        <v>38.362659204145551</v>
      </c>
      <c r="T12" s="9">
        <v>116.8020656683122</v>
      </c>
      <c r="U12" s="9">
        <v>266.02421880722238</v>
      </c>
      <c r="V12" s="9">
        <v>657.81935653945743</v>
      </c>
      <c r="W12" s="9">
        <v>37.305262946395572</v>
      </c>
      <c r="X12" s="9">
        <v>90.972315578099796</v>
      </c>
      <c r="Y12" s="9">
        <v>786.09693506395274</v>
      </c>
      <c r="Z12" s="9">
        <v>11.80178436787487</v>
      </c>
      <c r="AA12" s="9">
        <v>797.89871943182754</v>
      </c>
      <c r="AB12" s="9">
        <v>0</v>
      </c>
      <c r="AC12" s="9">
        <v>374.19752498118748</v>
      </c>
      <c r="AD12" s="9">
        <v>0</v>
      </c>
      <c r="AE12" s="9">
        <v>0</v>
      </c>
      <c r="AF12" s="9">
        <v>1172.096244413015</v>
      </c>
      <c r="AG12" s="9">
        <v>64.889349361329693</v>
      </c>
      <c r="AH12" s="9">
        <v>13.155379511525711</v>
      </c>
      <c r="AI12" s="9">
        <v>116.9367265566211</v>
      </c>
      <c r="AJ12" s="9">
        <v>992.88017486130411</v>
      </c>
      <c r="AK12" s="9">
        <v>0</v>
      </c>
      <c r="AL12" s="9">
        <v>11.564167401442459</v>
      </c>
      <c r="AM12" s="9">
        <v>0</v>
      </c>
      <c r="AN12" s="9">
        <v>0</v>
      </c>
      <c r="AO12" s="9">
        <v>0</v>
      </c>
      <c r="AP12" s="9">
        <v>1004.444342262747</v>
      </c>
      <c r="AQ12" s="9">
        <v>774.00095717591807</v>
      </c>
      <c r="AR12" s="9">
        <v>525.86245099999996</v>
      </c>
      <c r="AS12" s="9">
        <v>-12.09597788803465</v>
      </c>
      <c r="AT12" s="9">
        <v>-23.89776225590952</v>
      </c>
    </row>
    <row r="13" spans="1:46" x14ac:dyDescent="0.25">
      <c r="A13" s="8">
        <v>46022</v>
      </c>
      <c r="B13" s="7" t="s">
        <v>133</v>
      </c>
      <c r="C13" s="7" t="s">
        <v>134</v>
      </c>
      <c r="D13" s="7" t="s">
        <v>54</v>
      </c>
      <c r="E13" s="9">
        <v>2480.4</v>
      </c>
      <c r="F13" s="10">
        <v>1.41</v>
      </c>
      <c r="G13" s="9">
        <v>88.4</v>
      </c>
      <c r="H13" s="9">
        <v>30.917000000000002</v>
      </c>
      <c r="I13" s="9">
        <v>100</v>
      </c>
      <c r="J13" s="9">
        <v>30.916698</v>
      </c>
      <c r="K13" s="11">
        <v>99.999999927178209</v>
      </c>
      <c r="L13" s="9">
        <v>53.600171167291812</v>
      </c>
      <c r="M13" s="9">
        <v>11.618327909074219</v>
      </c>
      <c r="N13" s="9">
        <v>1.3021838995162109</v>
      </c>
      <c r="O13" s="9">
        <v>15.36371464886335</v>
      </c>
      <c r="P13" s="9">
        <v>81.884397624745603</v>
      </c>
      <c r="Q13" s="9">
        <v>104.2621668868712</v>
      </c>
      <c r="R13" s="9">
        <v>179.7391156323302</v>
      </c>
      <c r="S13" s="9">
        <v>47.243149339589948</v>
      </c>
      <c r="T13" s="9">
        <v>128.58584827315869</v>
      </c>
      <c r="U13" s="9">
        <v>459.83028013195008</v>
      </c>
      <c r="V13" s="9">
        <v>541.71467775669566</v>
      </c>
      <c r="W13" s="9">
        <v>10.54200550815203</v>
      </c>
      <c r="X13" s="9">
        <v>0</v>
      </c>
      <c r="Y13" s="9">
        <v>552.25668326484765</v>
      </c>
      <c r="Z13" s="9">
        <v>15.480033762812219</v>
      </c>
      <c r="AA13" s="9">
        <v>567.73671702765989</v>
      </c>
      <c r="AB13" s="9">
        <v>0</v>
      </c>
      <c r="AC13" s="9">
        <v>139.91513677982519</v>
      </c>
      <c r="AD13" s="9">
        <v>0</v>
      </c>
      <c r="AE13" s="9">
        <v>0</v>
      </c>
      <c r="AF13" s="9">
        <v>707.65185380748505</v>
      </c>
      <c r="AG13" s="9">
        <v>31.774628521596298</v>
      </c>
      <c r="AH13" s="9">
        <v>0</v>
      </c>
      <c r="AI13" s="9">
        <v>38.652406002164369</v>
      </c>
      <c r="AJ13" s="9">
        <v>638.16375155142055</v>
      </c>
      <c r="AK13" s="9">
        <v>0</v>
      </c>
      <c r="AL13" s="9">
        <v>0</v>
      </c>
      <c r="AM13" s="9">
        <v>0</v>
      </c>
      <c r="AN13" s="9">
        <v>0</v>
      </c>
      <c r="AO13" s="9">
        <v>0</v>
      </c>
      <c r="AP13" s="9">
        <v>638.16375155142055</v>
      </c>
      <c r="AQ13" s="9">
        <v>774.00004942096086</v>
      </c>
      <c r="AR13" s="9">
        <v>527.55573900000002</v>
      </c>
      <c r="AS13" s="9">
        <v>221.74336615611321</v>
      </c>
      <c r="AT13" s="9">
        <v>206.263332393301</v>
      </c>
    </row>
    <row r="14" spans="1:46" x14ac:dyDescent="0.25">
      <c r="A14" s="8">
        <v>46022</v>
      </c>
      <c r="B14" s="7" t="s">
        <v>69</v>
      </c>
      <c r="C14" s="7" t="s">
        <v>70</v>
      </c>
      <c r="D14" s="7" t="s">
        <v>71</v>
      </c>
      <c r="E14" s="9">
        <v>390.44117599999998</v>
      </c>
      <c r="F14" s="10">
        <v>1</v>
      </c>
      <c r="G14" s="9">
        <v>68</v>
      </c>
      <c r="H14" s="9">
        <v>2.6549999999999998</v>
      </c>
      <c r="I14" s="9">
        <v>100</v>
      </c>
      <c r="J14" s="9">
        <v>2.6549999999999998</v>
      </c>
      <c r="K14" s="11">
        <v>99.999999917847234</v>
      </c>
      <c r="L14" s="9">
        <v>142.84604262324279</v>
      </c>
      <c r="M14" s="9">
        <v>44.299298269140621</v>
      </c>
      <c r="N14" s="9">
        <v>28.31815181883842</v>
      </c>
      <c r="O14" s="9">
        <v>96.242995404873596</v>
      </c>
      <c r="P14" s="9">
        <v>311.70648811609539</v>
      </c>
      <c r="Q14" s="9">
        <v>75.405128731208535</v>
      </c>
      <c r="R14" s="9">
        <v>12.02282594818772</v>
      </c>
      <c r="S14" s="9">
        <v>12.746639300672159</v>
      </c>
      <c r="T14" s="9">
        <v>81.250246738226195</v>
      </c>
      <c r="U14" s="9">
        <v>181.4248407182946</v>
      </c>
      <c r="V14" s="9">
        <v>493.13132883438999</v>
      </c>
      <c r="W14" s="9">
        <v>47.764532407075073</v>
      </c>
      <c r="X14" s="9">
        <v>232.04025100000001</v>
      </c>
      <c r="Y14" s="9">
        <v>772.93611224146514</v>
      </c>
      <c r="Z14" s="9">
        <v>36.64476876325795</v>
      </c>
      <c r="AA14" s="9">
        <v>809.58088100472298</v>
      </c>
      <c r="AB14" s="9">
        <v>0</v>
      </c>
      <c r="AC14" s="9">
        <v>185.60750266977561</v>
      </c>
      <c r="AD14" s="9">
        <v>0</v>
      </c>
      <c r="AE14" s="9">
        <v>0</v>
      </c>
      <c r="AF14" s="9">
        <v>995.1883836744986</v>
      </c>
      <c r="AG14" s="9">
        <v>25.626688121662159</v>
      </c>
      <c r="AH14" s="9">
        <v>0</v>
      </c>
      <c r="AI14" s="9">
        <v>34.168919719041547</v>
      </c>
      <c r="AJ14" s="9">
        <v>869.37648884542682</v>
      </c>
      <c r="AK14" s="9">
        <v>256.26687454614557</v>
      </c>
      <c r="AL14" s="9">
        <v>0</v>
      </c>
      <c r="AM14" s="9">
        <v>0</v>
      </c>
      <c r="AN14" s="9">
        <v>0</v>
      </c>
      <c r="AO14" s="9">
        <v>0</v>
      </c>
      <c r="AP14" s="9">
        <v>1125.6433633915719</v>
      </c>
      <c r="AQ14" s="9">
        <v>773.99999935093092</v>
      </c>
      <c r="AR14" s="9">
        <v>45.304333</v>
      </c>
      <c r="AS14" s="9">
        <v>1.0638871094658211</v>
      </c>
      <c r="AT14" s="9">
        <v>-35.580881653792133</v>
      </c>
    </row>
    <row r="15" spans="1:46" x14ac:dyDescent="0.25">
      <c r="A15" s="8">
        <v>46022</v>
      </c>
      <c r="B15" s="7" t="s">
        <v>135</v>
      </c>
      <c r="C15" s="7" t="s">
        <v>136</v>
      </c>
      <c r="D15" s="7" t="s">
        <v>65</v>
      </c>
      <c r="E15" s="9">
        <v>3539.702448</v>
      </c>
      <c r="F15" s="10">
        <v>4.53E-2</v>
      </c>
      <c r="G15" s="9">
        <v>35</v>
      </c>
      <c r="H15" s="9">
        <v>0.56100000000000005</v>
      </c>
      <c r="I15" s="9">
        <v>100</v>
      </c>
      <c r="J15" s="9">
        <v>0.56138399999999999</v>
      </c>
      <c r="K15" s="11">
        <v>1.8807988568266889</v>
      </c>
      <c r="L15" s="9">
        <v>78.128727830879555</v>
      </c>
      <c r="M15" s="9">
        <v>5.0503253300909297</v>
      </c>
      <c r="N15" s="9">
        <v>2.1293105724782651</v>
      </c>
      <c r="O15" s="9">
        <v>10.53644124369055</v>
      </c>
      <c r="P15" s="9">
        <v>95.84480497713929</v>
      </c>
      <c r="Q15" s="9">
        <v>27.367261555801029</v>
      </c>
      <c r="R15" s="9">
        <v>4.4994702028260081</v>
      </c>
      <c r="S15" s="9">
        <v>16.940162798339511</v>
      </c>
      <c r="T15" s="9">
        <v>14.2098631718567</v>
      </c>
      <c r="U15" s="9">
        <v>63.016757728823237</v>
      </c>
      <c r="V15" s="9">
        <v>158.86156270596251</v>
      </c>
      <c r="W15" s="9">
        <v>3.5328337590534549</v>
      </c>
      <c r="X15" s="9">
        <v>158.89214569451869</v>
      </c>
      <c r="Y15" s="9">
        <v>321.28654215953469</v>
      </c>
      <c r="Z15" s="9">
        <v>14.905300696544989</v>
      </c>
      <c r="AA15" s="9">
        <v>336.19184285607969</v>
      </c>
      <c r="AB15" s="9">
        <v>0</v>
      </c>
      <c r="AC15" s="9">
        <v>108.84034829217811</v>
      </c>
      <c r="AD15" s="9">
        <v>0</v>
      </c>
      <c r="AE15" s="9">
        <v>0</v>
      </c>
      <c r="AF15" s="9">
        <v>445.03219114825782</v>
      </c>
      <c r="AG15" s="9">
        <v>1.3903502124628719</v>
      </c>
      <c r="AH15" s="9">
        <v>0</v>
      </c>
      <c r="AI15" s="9">
        <v>50.369490227024528</v>
      </c>
      <c r="AJ15" s="9">
        <v>387.95168329556708</v>
      </c>
      <c r="AK15" s="9">
        <v>0</v>
      </c>
      <c r="AL15" s="9">
        <v>0</v>
      </c>
      <c r="AM15" s="9">
        <v>0</v>
      </c>
      <c r="AN15" s="9">
        <v>0</v>
      </c>
      <c r="AO15" s="9">
        <v>0</v>
      </c>
      <c r="AP15" s="9">
        <v>387.95168329556708</v>
      </c>
      <c r="AQ15" s="9">
        <v>774.02205911748933</v>
      </c>
      <c r="AR15" s="9">
        <v>478.31796200000002</v>
      </c>
      <c r="AS15" s="9">
        <v>452.73551695795459</v>
      </c>
      <c r="AT15" s="9">
        <v>437.83021626140959</v>
      </c>
    </row>
    <row r="16" spans="1:46" x14ac:dyDescent="0.25">
      <c r="A16" s="8">
        <v>46022</v>
      </c>
      <c r="B16" s="7" t="s">
        <v>91</v>
      </c>
      <c r="C16" s="7" t="s">
        <v>92</v>
      </c>
      <c r="D16" s="7" t="s">
        <v>65</v>
      </c>
      <c r="E16" s="9">
        <v>3321.8980000000001</v>
      </c>
      <c r="F16" s="10">
        <v>8.4699999999999998E-2</v>
      </c>
      <c r="G16" s="9">
        <v>31.12</v>
      </c>
      <c r="H16" s="9">
        <v>0.876</v>
      </c>
      <c r="I16" s="9">
        <v>100</v>
      </c>
      <c r="J16" s="9">
        <v>0.87570499999999996</v>
      </c>
      <c r="K16" s="11">
        <v>2.7529596047716351</v>
      </c>
      <c r="L16" s="9">
        <v>88.364570000261963</v>
      </c>
      <c r="M16" s="9">
        <v>6.2621698273054829</v>
      </c>
      <c r="N16" s="9">
        <v>4.3062098598237011</v>
      </c>
      <c r="O16" s="9">
        <v>123.9170556015808</v>
      </c>
      <c r="P16" s="9">
        <v>222.850005288972</v>
      </c>
      <c r="Q16" s="9">
        <v>31.503361412606129</v>
      </c>
      <c r="R16" s="9">
        <v>4.0080079131200277</v>
      </c>
      <c r="S16" s="9">
        <v>14.653788515362679</v>
      </c>
      <c r="T16" s="9">
        <v>6.2845090387911062</v>
      </c>
      <c r="U16" s="9">
        <v>56.449666879879942</v>
      </c>
      <c r="V16" s="9">
        <v>279.29967216885188</v>
      </c>
      <c r="W16" s="9">
        <v>6.5683727570016979</v>
      </c>
      <c r="X16" s="9">
        <v>158.49779850747669</v>
      </c>
      <c r="Y16" s="9">
        <v>444.36584343333038</v>
      </c>
      <c r="Z16" s="9">
        <v>14.253887669709799</v>
      </c>
      <c r="AA16" s="9">
        <v>458.61973110304018</v>
      </c>
      <c r="AB16" s="9">
        <v>0</v>
      </c>
      <c r="AC16" s="9">
        <v>49.677816289760592</v>
      </c>
      <c r="AD16" s="9">
        <v>0</v>
      </c>
      <c r="AE16" s="9">
        <v>0</v>
      </c>
      <c r="AF16" s="9">
        <v>508.29754739280071</v>
      </c>
      <c r="AG16" s="9">
        <v>0.282792817152626</v>
      </c>
      <c r="AH16" s="9">
        <v>0</v>
      </c>
      <c r="AI16" s="9">
        <v>27.86279942275824</v>
      </c>
      <c r="AJ16" s="9">
        <v>486.76532334295098</v>
      </c>
      <c r="AK16" s="9">
        <v>0.55550551512768442</v>
      </c>
      <c r="AL16" s="9">
        <v>0</v>
      </c>
      <c r="AM16" s="9">
        <v>0</v>
      </c>
      <c r="AN16" s="9">
        <v>0</v>
      </c>
      <c r="AO16" s="9">
        <v>0</v>
      </c>
      <c r="AP16" s="9">
        <v>487.3208288580787</v>
      </c>
      <c r="AQ16" s="9">
        <v>773.99558005448205</v>
      </c>
      <c r="AR16" s="9">
        <v>503.95921600000003</v>
      </c>
      <c r="AS16" s="9">
        <v>329.62973662115172</v>
      </c>
      <c r="AT16" s="9">
        <v>315.37584895144192</v>
      </c>
    </row>
    <row r="17" spans="1:46" x14ac:dyDescent="0.25">
      <c r="A17" s="8">
        <v>46022</v>
      </c>
      <c r="B17" s="7" t="s">
        <v>137</v>
      </c>
      <c r="C17" s="7" t="s">
        <v>138</v>
      </c>
      <c r="D17" s="7" t="s">
        <v>139</v>
      </c>
      <c r="E17" s="9">
        <v>2740.6443869999998</v>
      </c>
      <c r="F17" s="10">
        <v>1.4379999999999999</v>
      </c>
      <c r="G17" s="9">
        <v>87.85</v>
      </c>
      <c r="H17" s="9">
        <v>34.621000000000002</v>
      </c>
      <c r="I17" s="9">
        <v>100</v>
      </c>
      <c r="J17" s="9">
        <v>34.620772000000002</v>
      </c>
      <c r="K17" s="11">
        <v>99.999999980650429</v>
      </c>
      <c r="L17" s="9">
        <v>71.050489898965225</v>
      </c>
      <c r="M17" s="9">
        <v>8.3820932758505275</v>
      </c>
      <c r="N17" s="9">
        <v>0.47113852212511947</v>
      </c>
      <c r="O17" s="9">
        <v>25.914888052648539</v>
      </c>
      <c r="P17" s="9">
        <v>105.8186097495894</v>
      </c>
      <c r="Q17" s="9">
        <v>80.826303635681953</v>
      </c>
      <c r="R17" s="9">
        <v>89.201764849567965</v>
      </c>
      <c r="S17" s="9">
        <v>138.8949685117127</v>
      </c>
      <c r="T17" s="9">
        <v>6.234651719776342</v>
      </c>
      <c r="U17" s="9">
        <v>315.1576887167389</v>
      </c>
      <c r="V17" s="9">
        <v>420.97629846632827</v>
      </c>
      <c r="W17" s="9">
        <v>6.8531114134122673</v>
      </c>
      <c r="X17" s="9">
        <v>49.995919434817907</v>
      </c>
      <c r="Y17" s="9">
        <v>477.82532931455847</v>
      </c>
      <c r="Z17" s="9">
        <v>61.919974085138712</v>
      </c>
      <c r="AA17" s="9">
        <v>539.74530339969715</v>
      </c>
      <c r="AB17" s="9">
        <v>0</v>
      </c>
      <c r="AC17" s="9">
        <v>0</v>
      </c>
      <c r="AD17" s="9">
        <v>0</v>
      </c>
      <c r="AE17" s="9">
        <v>0</v>
      </c>
      <c r="AF17" s="9">
        <v>539.74530339969715</v>
      </c>
      <c r="AG17" s="9">
        <v>10.48139403346323</v>
      </c>
      <c r="AH17" s="9">
        <v>0</v>
      </c>
      <c r="AI17" s="9">
        <v>24.893306341073739</v>
      </c>
      <c r="AJ17" s="9">
        <v>575.12000377423419</v>
      </c>
      <c r="AK17" s="9">
        <v>3.9305218648684241</v>
      </c>
      <c r="AL17" s="9">
        <v>0</v>
      </c>
      <c r="AM17" s="9">
        <v>0</v>
      </c>
      <c r="AN17" s="9">
        <v>0</v>
      </c>
      <c r="AO17" s="9">
        <v>0</v>
      </c>
      <c r="AP17" s="9">
        <v>579.0505256391026</v>
      </c>
      <c r="AQ17" s="9">
        <v>774.00062533350513</v>
      </c>
      <c r="AR17" s="9">
        <v>590.76168299999995</v>
      </c>
      <c r="AS17" s="9">
        <v>296.1752960189466</v>
      </c>
      <c r="AT17" s="9">
        <v>234.25532193380789</v>
      </c>
    </row>
    <row r="18" spans="1:46" x14ac:dyDescent="0.25">
      <c r="A18" s="8">
        <v>46022</v>
      </c>
      <c r="B18" s="7" t="s">
        <v>52</v>
      </c>
      <c r="C18" s="7" t="s">
        <v>53</v>
      </c>
      <c r="D18" s="7" t="s">
        <v>54</v>
      </c>
      <c r="E18" s="9">
        <v>535.79999999999995</v>
      </c>
      <c r="F18" s="10">
        <v>1.39</v>
      </c>
      <c r="G18" s="9">
        <v>89.1</v>
      </c>
      <c r="H18" s="9">
        <v>6.6360000000000001</v>
      </c>
      <c r="I18" s="9">
        <v>100</v>
      </c>
      <c r="J18" s="9">
        <v>6.6358290000000002</v>
      </c>
      <c r="K18" s="11">
        <v>99.999999681820654</v>
      </c>
      <c r="L18" s="9">
        <v>0.79251673612194329</v>
      </c>
      <c r="M18" s="9">
        <v>0.21805939281555159</v>
      </c>
      <c r="N18" s="9">
        <v>2.5611604728986909E-2</v>
      </c>
      <c r="O18" s="9">
        <v>5.4801435944491807E-2</v>
      </c>
      <c r="P18" s="9">
        <v>1.0909891696109739</v>
      </c>
      <c r="Q18" s="9">
        <v>58.430343595923219</v>
      </c>
      <c r="R18" s="9">
        <v>50.25112581662416</v>
      </c>
      <c r="S18" s="9">
        <v>16.538002463825869</v>
      </c>
      <c r="T18" s="9">
        <v>52.963253020100403</v>
      </c>
      <c r="U18" s="9">
        <v>178.1827248964737</v>
      </c>
      <c r="V18" s="9">
        <v>179.27371406608461</v>
      </c>
      <c r="W18" s="9">
        <v>10.005338494089919</v>
      </c>
      <c r="X18" s="9">
        <v>0</v>
      </c>
      <c r="Y18" s="9">
        <v>189.27905256017459</v>
      </c>
      <c r="Z18" s="9">
        <v>15.47991767559267</v>
      </c>
      <c r="AA18" s="9">
        <v>204.75897023576721</v>
      </c>
      <c r="AB18" s="9">
        <v>0</v>
      </c>
      <c r="AC18" s="9">
        <v>59.24708020078144</v>
      </c>
      <c r="AD18" s="9">
        <v>0</v>
      </c>
      <c r="AE18" s="9">
        <v>0</v>
      </c>
      <c r="AF18" s="9">
        <v>264.00605043654872</v>
      </c>
      <c r="AG18" s="9">
        <v>23.94668194829838</v>
      </c>
      <c r="AH18" s="9">
        <v>0</v>
      </c>
      <c r="AI18" s="9">
        <v>38.652409040775588</v>
      </c>
      <c r="AJ18" s="9">
        <v>267.35806122484121</v>
      </c>
      <c r="AK18" s="9">
        <v>0</v>
      </c>
      <c r="AL18" s="9">
        <v>0</v>
      </c>
      <c r="AM18" s="9">
        <v>0</v>
      </c>
      <c r="AN18" s="9">
        <v>0</v>
      </c>
      <c r="AO18" s="9">
        <v>0</v>
      </c>
      <c r="AP18" s="9">
        <v>267.35806122484121</v>
      </c>
      <c r="AQ18" s="9">
        <v>773.99661680445763</v>
      </c>
      <c r="AR18" s="9">
        <v>113.231826</v>
      </c>
      <c r="AS18" s="9">
        <v>584.71756424428304</v>
      </c>
      <c r="AT18" s="9">
        <v>569.23764656869025</v>
      </c>
    </row>
    <row r="19" spans="1:46" x14ac:dyDescent="0.25">
      <c r="A19" s="8">
        <v>46022</v>
      </c>
      <c r="B19" s="7" t="s">
        <v>55</v>
      </c>
      <c r="C19" s="7" t="s">
        <v>56</v>
      </c>
      <c r="D19" s="7" t="s">
        <v>57</v>
      </c>
      <c r="E19" s="9">
        <v>684</v>
      </c>
      <c r="F19" s="10">
        <v>1.8</v>
      </c>
      <c r="G19" s="9">
        <v>80</v>
      </c>
      <c r="H19" s="9">
        <v>9.85</v>
      </c>
      <c r="I19" s="9">
        <v>92</v>
      </c>
      <c r="J19" s="9">
        <v>9.0616319999999995</v>
      </c>
      <c r="K19" s="11">
        <v>58.1489312706587</v>
      </c>
      <c r="L19" s="9">
        <v>57.584746990224247</v>
      </c>
      <c r="M19" s="9">
        <v>55.886676237263643</v>
      </c>
      <c r="N19" s="9">
        <v>15.88646556872653</v>
      </c>
      <c r="O19" s="9">
        <v>50.516930471227703</v>
      </c>
      <c r="P19" s="9">
        <v>179.87481926744209</v>
      </c>
      <c r="Q19" s="9">
        <v>26.295513596626311</v>
      </c>
      <c r="R19" s="9">
        <v>13.425159793763109</v>
      </c>
      <c r="S19" s="9">
        <v>23.159674942413641</v>
      </c>
      <c r="T19" s="9">
        <v>36.90054730967676</v>
      </c>
      <c r="U19" s="9">
        <v>99.78089564247982</v>
      </c>
      <c r="V19" s="9">
        <v>279.65571490992193</v>
      </c>
      <c r="W19" s="9">
        <v>13.093836680763349</v>
      </c>
      <c r="X19" s="9">
        <v>167.28810402107371</v>
      </c>
      <c r="Y19" s="9">
        <v>460.03765561175902</v>
      </c>
      <c r="Z19" s="9">
        <v>28.70710158061009</v>
      </c>
      <c r="AA19" s="9">
        <v>488.74475719236909</v>
      </c>
      <c r="AB19" s="9">
        <v>0</v>
      </c>
      <c r="AC19" s="9">
        <v>176.78086192930161</v>
      </c>
      <c r="AD19" s="9">
        <v>0</v>
      </c>
      <c r="AE19" s="9">
        <v>0</v>
      </c>
      <c r="AF19" s="9">
        <v>665.52561912167073</v>
      </c>
      <c r="AG19" s="9">
        <v>27.136725592639529</v>
      </c>
      <c r="AH19" s="9">
        <v>0</v>
      </c>
      <c r="AI19" s="9">
        <v>72.768105775524518</v>
      </c>
      <c r="AJ19" s="9">
        <v>588.64958856053318</v>
      </c>
      <c r="AK19" s="9">
        <v>0</v>
      </c>
      <c r="AL19" s="9">
        <v>0</v>
      </c>
      <c r="AM19" s="9">
        <v>0</v>
      </c>
      <c r="AN19" s="9">
        <v>0</v>
      </c>
      <c r="AO19" s="9">
        <v>0</v>
      </c>
      <c r="AP19" s="9">
        <v>588.64958856053318</v>
      </c>
      <c r="AQ19" s="9">
        <v>773.99726606845161</v>
      </c>
      <c r="AR19" s="9">
        <v>249.118461</v>
      </c>
      <c r="AS19" s="9">
        <v>313.95961045669259</v>
      </c>
      <c r="AT19" s="9">
        <v>285.25250887608252</v>
      </c>
    </row>
    <row r="20" spans="1:46" x14ac:dyDescent="0.25">
      <c r="A20" s="8">
        <v>46022</v>
      </c>
      <c r="B20" s="7" t="s">
        <v>140</v>
      </c>
      <c r="C20" s="7" t="s">
        <v>141</v>
      </c>
      <c r="D20" s="7" t="s">
        <v>51</v>
      </c>
      <c r="E20" s="9">
        <v>1500</v>
      </c>
      <c r="F20" s="10">
        <v>0.49790000000000001</v>
      </c>
      <c r="G20" s="9">
        <v>85</v>
      </c>
      <c r="H20" s="9">
        <v>6.3479999999999999</v>
      </c>
      <c r="I20" s="9">
        <v>95</v>
      </c>
      <c r="J20" s="9">
        <v>6.0308979999999996</v>
      </c>
      <c r="K20" s="11">
        <v>69.097085568022834</v>
      </c>
      <c r="L20" s="9">
        <v>100.27248459525261</v>
      </c>
      <c r="M20" s="9">
        <v>18.60473467244584</v>
      </c>
      <c r="N20" s="9">
        <v>5.9392028613575949</v>
      </c>
      <c r="O20" s="9">
        <v>33.641209623872939</v>
      </c>
      <c r="P20" s="9">
        <v>158.45763175292899</v>
      </c>
      <c r="Q20" s="9">
        <v>26.790521705617572</v>
      </c>
      <c r="R20" s="9">
        <v>14.263645506210461</v>
      </c>
      <c r="S20" s="9">
        <v>18.751349320475232</v>
      </c>
      <c r="T20" s="9">
        <v>24.93467866696345</v>
      </c>
      <c r="U20" s="9">
        <v>84.740195199266708</v>
      </c>
      <c r="V20" s="9">
        <v>243.1978269521957</v>
      </c>
      <c r="W20" s="9">
        <v>56.061572229703337</v>
      </c>
      <c r="X20" s="9">
        <v>126.8314330300725</v>
      </c>
      <c r="Y20" s="9">
        <v>426.09083221197147</v>
      </c>
      <c r="Z20" s="9">
        <v>46.792748137709069</v>
      </c>
      <c r="AA20" s="9">
        <v>472.88358034968059</v>
      </c>
      <c r="AB20" s="9">
        <v>0</v>
      </c>
      <c r="AC20" s="9">
        <v>32.042074739953833</v>
      </c>
      <c r="AD20" s="9">
        <v>0</v>
      </c>
      <c r="AE20" s="9">
        <v>0</v>
      </c>
      <c r="AF20" s="9">
        <v>504.9256550896344</v>
      </c>
      <c r="AG20" s="9">
        <v>17.521300130954678</v>
      </c>
      <c r="AH20" s="9">
        <v>10.97565144026408</v>
      </c>
      <c r="AI20" s="9">
        <v>8.4321273932513208</v>
      </c>
      <c r="AJ20" s="9">
        <v>509.81265931415072</v>
      </c>
      <c r="AK20" s="9">
        <v>0</v>
      </c>
      <c r="AL20" s="9">
        <v>0</v>
      </c>
      <c r="AM20" s="9">
        <v>0</v>
      </c>
      <c r="AN20" s="9">
        <v>0</v>
      </c>
      <c r="AO20" s="9">
        <v>0</v>
      </c>
      <c r="AP20" s="9">
        <v>509.81265931415072</v>
      </c>
      <c r="AQ20" s="9">
        <v>774.00025602912365</v>
      </c>
      <c r="AR20" s="9">
        <v>150.065946</v>
      </c>
      <c r="AS20" s="9">
        <v>347.909423817152</v>
      </c>
      <c r="AT20" s="9">
        <v>301.11667567944301</v>
      </c>
    </row>
    <row r="21" spans="1:46" x14ac:dyDescent="0.25">
      <c r="A21" s="8">
        <v>46022</v>
      </c>
      <c r="B21" s="7" t="s">
        <v>142</v>
      </c>
      <c r="C21" s="7" t="s">
        <v>143</v>
      </c>
      <c r="D21" s="7" t="s">
        <v>65</v>
      </c>
      <c r="E21" s="9">
        <v>2590.2488560000002</v>
      </c>
      <c r="F21" s="10">
        <v>1.35E-2</v>
      </c>
      <c r="G21" s="9">
        <v>35</v>
      </c>
      <c r="H21" s="9">
        <v>0.123</v>
      </c>
      <c r="I21" s="9">
        <v>100</v>
      </c>
      <c r="J21" s="9">
        <v>0.122584</v>
      </c>
      <c r="K21" s="11">
        <v>1.271070823947573</v>
      </c>
      <c r="L21" s="9">
        <v>205.15569521674561</v>
      </c>
      <c r="M21" s="9">
        <v>204.95172043839941</v>
      </c>
      <c r="N21" s="9">
        <v>86.730665394982481</v>
      </c>
      <c r="O21" s="9">
        <v>150.29425239783609</v>
      </c>
      <c r="P21" s="9">
        <v>647.13233344796345</v>
      </c>
      <c r="Q21" s="9">
        <v>61.250886050375328</v>
      </c>
      <c r="R21" s="9">
        <v>18.271415692641469</v>
      </c>
      <c r="S21" s="9">
        <v>89.722307660082805</v>
      </c>
      <c r="T21" s="9">
        <v>12.570160435493049</v>
      </c>
      <c r="U21" s="9">
        <v>181.8147698385927</v>
      </c>
      <c r="V21" s="9">
        <v>828.94710328655617</v>
      </c>
      <c r="W21" s="9">
        <v>2.235701248618676</v>
      </c>
      <c r="X21" s="9">
        <v>157.96890634512749</v>
      </c>
      <c r="Y21" s="9">
        <v>989.1517108803024</v>
      </c>
      <c r="Z21" s="9">
        <v>4.1525888101951276</v>
      </c>
      <c r="AA21" s="9">
        <v>993.30429969049749</v>
      </c>
      <c r="AB21" s="9">
        <v>0</v>
      </c>
      <c r="AC21" s="9">
        <v>145.40302419750159</v>
      </c>
      <c r="AD21" s="9">
        <v>0</v>
      </c>
      <c r="AE21" s="9">
        <v>0</v>
      </c>
      <c r="AF21" s="9">
        <v>1138.7073238879991</v>
      </c>
      <c r="AG21" s="9">
        <v>8.9834546782874618</v>
      </c>
      <c r="AH21" s="9">
        <v>0</v>
      </c>
      <c r="AI21" s="9">
        <v>26.411024166728669</v>
      </c>
      <c r="AJ21" s="9">
        <v>1028.6987785355141</v>
      </c>
      <c r="AK21" s="9">
        <v>425.72863333477397</v>
      </c>
      <c r="AL21" s="9">
        <v>0</v>
      </c>
      <c r="AM21" s="9">
        <v>0</v>
      </c>
      <c r="AN21" s="9">
        <v>0</v>
      </c>
      <c r="AO21" s="9">
        <v>0</v>
      </c>
      <c r="AP21" s="9">
        <v>1454.4274118702881</v>
      </c>
      <c r="AQ21" s="9">
        <v>774.10102395438332</v>
      </c>
      <c r="AR21" s="9">
        <v>162.19894600000001</v>
      </c>
      <c r="AS21" s="9">
        <v>-215.05068692591911</v>
      </c>
      <c r="AT21" s="9">
        <v>-219.20327573611419</v>
      </c>
    </row>
    <row r="22" spans="1:46" x14ac:dyDescent="0.25">
      <c r="A22" s="8">
        <v>46022</v>
      </c>
      <c r="B22" s="7" t="s">
        <v>144</v>
      </c>
      <c r="C22" s="7" t="s">
        <v>145</v>
      </c>
      <c r="D22" s="7" t="s">
        <v>126</v>
      </c>
      <c r="E22" s="9">
        <v>2296.2963869999999</v>
      </c>
      <c r="F22" s="10">
        <v>1.5</v>
      </c>
      <c r="G22" s="9">
        <v>90</v>
      </c>
      <c r="H22" s="9">
        <v>31</v>
      </c>
      <c r="I22" s="9">
        <v>100</v>
      </c>
      <c r="J22" s="9">
        <v>31</v>
      </c>
      <c r="K22" s="11">
        <v>92.509544814361732</v>
      </c>
      <c r="L22" s="9">
        <v>40.577317783800929</v>
      </c>
      <c r="M22" s="9">
        <v>31.619418138975011</v>
      </c>
      <c r="N22" s="9">
        <v>11.93339961143859</v>
      </c>
      <c r="O22" s="9">
        <v>150.50141204679889</v>
      </c>
      <c r="P22" s="9">
        <v>234.63154758101339</v>
      </c>
      <c r="Q22" s="9">
        <v>41.270830359327128</v>
      </c>
      <c r="R22" s="9">
        <v>264.63010166616522</v>
      </c>
      <c r="S22" s="9">
        <v>65.221306181268787</v>
      </c>
      <c r="T22" s="9">
        <v>92.002478326386097</v>
      </c>
      <c r="U22" s="9">
        <v>463.12471653314719</v>
      </c>
      <c r="V22" s="9">
        <v>697.75626411416067</v>
      </c>
      <c r="W22" s="9">
        <v>3.5847082496924929</v>
      </c>
      <c r="X22" s="9">
        <v>196.74885599999999</v>
      </c>
      <c r="Y22" s="9">
        <v>898.08982836385314</v>
      </c>
      <c r="Z22" s="9">
        <v>0</v>
      </c>
      <c r="AA22" s="9">
        <v>898.08982836385314</v>
      </c>
      <c r="AB22" s="9">
        <v>0</v>
      </c>
      <c r="AC22" s="9">
        <v>191.09836775851531</v>
      </c>
      <c r="AD22" s="9">
        <v>0</v>
      </c>
      <c r="AE22" s="9">
        <v>0</v>
      </c>
      <c r="AF22" s="9">
        <v>1089.188196122368</v>
      </c>
      <c r="AG22" s="9">
        <v>21.591329997834851</v>
      </c>
      <c r="AH22" s="9">
        <v>0</v>
      </c>
      <c r="AI22" s="9">
        <v>97.641504042280076</v>
      </c>
      <c r="AJ22" s="9">
        <v>1017.322662403968</v>
      </c>
      <c r="AK22" s="9">
        <v>0</v>
      </c>
      <c r="AL22" s="9">
        <v>0</v>
      </c>
      <c r="AM22" s="9">
        <v>0</v>
      </c>
      <c r="AN22" s="9">
        <v>0</v>
      </c>
      <c r="AO22" s="9">
        <v>0</v>
      </c>
      <c r="AP22" s="9">
        <v>1017.322662403968</v>
      </c>
      <c r="AQ22" s="9">
        <v>773.99999935093092</v>
      </c>
      <c r="AR22" s="9">
        <v>576.45222899999999</v>
      </c>
      <c r="AS22" s="9">
        <v>-124.08982901292229</v>
      </c>
      <c r="AT22" s="9">
        <v>-124.08982901292229</v>
      </c>
    </row>
    <row r="23" spans="1:46" x14ac:dyDescent="0.25">
      <c r="A23" s="8">
        <v>46022</v>
      </c>
      <c r="B23" s="7" t="s">
        <v>58</v>
      </c>
      <c r="C23" s="7" t="s">
        <v>59</v>
      </c>
      <c r="D23" s="7" t="s">
        <v>60</v>
      </c>
      <c r="E23" s="9">
        <v>264.34047099999998</v>
      </c>
      <c r="F23" s="10">
        <v>1.95</v>
      </c>
      <c r="G23" s="9">
        <v>97</v>
      </c>
      <c r="H23" s="9">
        <v>5</v>
      </c>
      <c r="I23" s="9">
        <v>100</v>
      </c>
      <c r="J23" s="9">
        <v>5</v>
      </c>
      <c r="K23" s="11">
        <v>99.999999624160296</v>
      </c>
      <c r="L23" s="9">
        <v>51.425816025030421</v>
      </c>
      <c r="M23" s="9">
        <v>171.546039299808</v>
      </c>
      <c r="N23" s="9">
        <v>0.54415496926385265</v>
      </c>
      <c r="O23" s="9">
        <v>31.423524429968499</v>
      </c>
      <c r="P23" s="9">
        <v>254.9395347240708</v>
      </c>
      <c r="Q23" s="9">
        <v>105.5232395458972</v>
      </c>
      <c r="R23" s="9">
        <v>178.48237188977021</v>
      </c>
      <c r="S23" s="9">
        <v>79.576343577667558</v>
      </c>
      <c r="T23" s="9">
        <v>188.45358394821901</v>
      </c>
      <c r="U23" s="9">
        <v>552.03553896155404</v>
      </c>
      <c r="V23" s="9">
        <v>806.97507368562481</v>
      </c>
      <c r="W23" s="9">
        <v>0</v>
      </c>
      <c r="X23" s="9">
        <v>38.673375</v>
      </c>
      <c r="Y23" s="9">
        <v>845.64844868562477</v>
      </c>
      <c r="Z23" s="9">
        <v>0</v>
      </c>
      <c r="AA23" s="9">
        <v>845.64844868562477</v>
      </c>
      <c r="AB23" s="9">
        <v>0</v>
      </c>
      <c r="AC23" s="9">
        <v>89.518730998121683</v>
      </c>
      <c r="AD23" s="9">
        <v>0</v>
      </c>
      <c r="AE23" s="9">
        <v>0</v>
      </c>
      <c r="AF23" s="9">
        <v>935.16717968374655</v>
      </c>
      <c r="AG23" s="9">
        <v>122.2335200743882</v>
      </c>
      <c r="AH23" s="9">
        <v>0</v>
      </c>
      <c r="AI23" s="9">
        <v>86.343975297556213</v>
      </c>
      <c r="AJ23" s="9">
        <v>1054.225944057569</v>
      </c>
      <c r="AK23" s="9">
        <v>0</v>
      </c>
      <c r="AL23" s="9">
        <v>0</v>
      </c>
      <c r="AM23" s="9">
        <v>0</v>
      </c>
      <c r="AN23" s="9">
        <v>0</v>
      </c>
      <c r="AO23" s="9">
        <v>0</v>
      </c>
      <c r="AP23" s="9">
        <v>1054.225944057569</v>
      </c>
      <c r="AQ23" s="9">
        <v>773.99999935093092</v>
      </c>
      <c r="AR23" s="9">
        <v>85.318895999999995</v>
      </c>
      <c r="AS23" s="9">
        <v>-71.648449334693964</v>
      </c>
      <c r="AT23" s="9">
        <v>-71.648449334693964</v>
      </c>
    </row>
    <row r="24" spans="1:46" x14ac:dyDescent="0.25">
      <c r="A24" s="8">
        <v>46022</v>
      </c>
      <c r="B24" s="7" t="s">
        <v>146</v>
      </c>
      <c r="C24" s="7" t="s">
        <v>147</v>
      </c>
      <c r="D24" s="7" t="s">
        <v>60</v>
      </c>
      <c r="E24" s="9">
        <v>705.23999000000003</v>
      </c>
      <c r="F24" s="10">
        <v>1.9</v>
      </c>
      <c r="G24" s="9">
        <v>97.018112000000002</v>
      </c>
      <c r="H24" s="9">
        <v>13</v>
      </c>
      <c r="I24" s="9">
        <v>100</v>
      </c>
      <c r="J24" s="9">
        <v>13</v>
      </c>
      <c r="K24" s="11">
        <v>99.999990618873227</v>
      </c>
      <c r="L24" s="9">
        <v>0</v>
      </c>
      <c r="M24" s="9">
        <v>0</v>
      </c>
      <c r="N24" s="9">
        <v>0</v>
      </c>
      <c r="O24" s="9">
        <v>161.67387485743819</v>
      </c>
      <c r="P24" s="9">
        <v>161.67387485743819</v>
      </c>
      <c r="Q24" s="9">
        <v>0</v>
      </c>
      <c r="R24" s="9">
        <v>0</v>
      </c>
      <c r="S24" s="9">
        <v>0</v>
      </c>
      <c r="T24" s="9">
        <v>0</v>
      </c>
      <c r="U24" s="9">
        <v>0</v>
      </c>
      <c r="V24" s="9">
        <v>161.67387485743819</v>
      </c>
      <c r="W24" s="9">
        <v>32.780441796985777</v>
      </c>
      <c r="X24" s="9">
        <v>282.4999091633008</v>
      </c>
      <c r="Y24" s="9">
        <v>476.9542258177247</v>
      </c>
      <c r="Z24" s="9">
        <v>0</v>
      </c>
      <c r="AA24" s="9">
        <v>476.9542258177247</v>
      </c>
      <c r="AB24" s="9">
        <v>0</v>
      </c>
      <c r="AC24" s="9">
        <v>16.825612119973659</v>
      </c>
      <c r="AD24" s="9">
        <v>0</v>
      </c>
      <c r="AE24" s="9">
        <v>0</v>
      </c>
      <c r="AF24" s="9">
        <v>493.7798379376984</v>
      </c>
      <c r="AG24" s="9">
        <v>12.48566759597899</v>
      </c>
      <c r="AH24" s="9">
        <v>0</v>
      </c>
      <c r="AI24" s="9">
        <v>16.178474069952149</v>
      </c>
      <c r="AJ24" s="9">
        <v>505.6183674836559</v>
      </c>
      <c r="AK24" s="9">
        <v>0</v>
      </c>
      <c r="AL24" s="9">
        <v>0</v>
      </c>
      <c r="AM24" s="9">
        <v>0</v>
      </c>
      <c r="AN24" s="9">
        <v>0</v>
      </c>
      <c r="AO24" s="9">
        <v>0</v>
      </c>
      <c r="AP24" s="9">
        <v>505.6183674836559</v>
      </c>
      <c r="AQ24" s="9">
        <v>773.99999935093092</v>
      </c>
      <c r="AR24" s="9">
        <v>221.82914</v>
      </c>
      <c r="AS24" s="9">
        <v>297.0457735332061</v>
      </c>
      <c r="AT24" s="9">
        <v>297.0457735332061</v>
      </c>
    </row>
    <row r="25" spans="1:46" x14ac:dyDescent="0.25">
      <c r="A25" s="8">
        <v>46022</v>
      </c>
      <c r="B25" s="7" t="s">
        <v>72</v>
      </c>
      <c r="C25" s="7" t="s">
        <v>73</v>
      </c>
      <c r="D25" s="7" t="s">
        <v>65</v>
      </c>
      <c r="E25" s="9">
        <v>4540</v>
      </c>
      <c r="F25" s="10">
        <v>0.186</v>
      </c>
      <c r="G25" s="9">
        <v>30</v>
      </c>
      <c r="H25" s="9">
        <v>2.5339999999999998</v>
      </c>
      <c r="I25" s="9">
        <v>95</v>
      </c>
      <c r="J25" s="9">
        <v>2.4069069999999999</v>
      </c>
      <c r="K25" s="11">
        <v>4.8791449132138336</v>
      </c>
      <c r="L25" s="9">
        <v>259.34866307988568</v>
      </c>
      <c r="M25" s="9">
        <v>2.955122297649293</v>
      </c>
      <c r="N25" s="9">
        <v>72.957455876626369</v>
      </c>
      <c r="O25" s="9">
        <v>107.64825793029991</v>
      </c>
      <c r="P25" s="9">
        <v>442.9094991844612</v>
      </c>
      <c r="Q25" s="9">
        <v>14.762106933011101</v>
      </c>
      <c r="R25" s="9">
        <v>7.7148372301011809</v>
      </c>
      <c r="S25" s="9">
        <v>27.672607846038549</v>
      </c>
      <c r="T25" s="9">
        <v>33.589590108153168</v>
      </c>
      <c r="U25" s="9">
        <v>83.739142117304013</v>
      </c>
      <c r="V25" s="9">
        <v>526.64864130176522</v>
      </c>
      <c r="W25" s="9">
        <v>0.44375205377461402</v>
      </c>
      <c r="X25" s="9">
        <v>197.58995034810241</v>
      </c>
      <c r="Y25" s="9">
        <v>724.68234370364223</v>
      </c>
      <c r="Z25" s="9">
        <v>8.2310005079507533</v>
      </c>
      <c r="AA25" s="9">
        <v>732.91334421159297</v>
      </c>
      <c r="AB25" s="9">
        <v>0</v>
      </c>
      <c r="AC25" s="9">
        <v>129.22702602207499</v>
      </c>
      <c r="AD25" s="9">
        <v>0</v>
      </c>
      <c r="AE25" s="9">
        <v>0</v>
      </c>
      <c r="AF25" s="9">
        <v>862.14037023366802</v>
      </c>
      <c r="AG25" s="9">
        <v>3.0090862498989348</v>
      </c>
      <c r="AH25" s="9">
        <v>0</v>
      </c>
      <c r="AI25" s="9">
        <v>78.997298282522166</v>
      </c>
      <c r="AJ25" s="9">
        <v>814.91972874401415</v>
      </c>
      <c r="AK25" s="9">
        <v>0</v>
      </c>
      <c r="AL25" s="9">
        <v>0</v>
      </c>
      <c r="AM25" s="9">
        <v>0</v>
      </c>
      <c r="AN25" s="9">
        <v>0</v>
      </c>
      <c r="AO25" s="9">
        <v>0</v>
      </c>
      <c r="AP25" s="9">
        <v>814.91972874401415</v>
      </c>
      <c r="AQ25" s="9">
        <v>773.99774832918581</v>
      </c>
      <c r="AR25" s="9">
        <v>653.03340300000002</v>
      </c>
      <c r="AS25" s="9">
        <v>49.315404625543557</v>
      </c>
      <c r="AT25" s="9">
        <v>41.084404117592797</v>
      </c>
    </row>
    <row r="26" spans="1:46" x14ac:dyDescent="0.25">
      <c r="A26" s="8">
        <v>46022</v>
      </c>
      <c r="B26" s="7" t="s">
        <v>61</v>
      </c>
      <c r="C26" s="7" t="s">
        <v>62</v>
      </c>
      <c r="D26" s="7" t="s">
        <v>51</v>
      </c>
      <c r="E26" s="9">
        <v>13500</v>
      </c>
      <c r="F26" s="10">
        <v>1.06</v>
      </c>
      <c r="G26" s="9">
        <v>80</v>
      </c>
      <c r="H26" s="9">
        <v>114.48</v>
      </c>
      <c r="I26" s="9">
        <v>95</v>
      </c>
      <c r="J26" s="9">
        <v>108.756</v>
      </c>
      <c r="K26" s="11">
        <v>56.862451403003853</v>
      </c>
      <c r="L26" s="9">
        <v>107.1367451544721</v>
      </c>
      <c r="M26" s="9">
        <v>2.76308171263535</v>
      </c>
      <c r="N26" s="9">
        <v>5.7587046014540766</v>
      </c>
      <c r="O26" s="9">
        <v>22.388190524560049</v>
      </c>
      <c r="P26" s="9">
        <v>138.04672199312151</v>
      </c>
      <c r="Q26" s="9">
        <v>3.631743002971862</v>
      </c>
      <c r="R26" s="9">
        <v>2.2526033731402748</v>
      </c>
      <c r="S26" s="9">
        <v>7.5985531498124246</v>
      </c>
      <c r="T26" s="9">
        <v>5.8829696729267811</v>
      </c>
      <c r="U26" s="9">
        <v>19.365869198851339</v>
      </c>
      <c r="V26" s="9">
        <v>157.41259119197289</v>
      </c>
      <c r="W26" s="9">
        <v>3.844524674555478</v>
      </c>
      <c r="X26" s="9">
        <v>79.717427000000001</v>
      </c>
      <c r="Y26" s="9">
        <v>240.9745428665284</v>
      </c>
      <c r="Z26" s="9">
        <v>11.553538376832069</v>
      </c>
      <c r="AA26" s="9">
        <v>252.52808124336039</v>
      </c>
      <c r="AB26" s="9">
        <v>0</v>
      </c>
      <c r="AC26" s="9">
        <v>57.140802084366207</v>
      </c>
      <c r="AD26" s="9">
        <v>0</v>
      </c>
      <c r="AE26" s="9">
        <v>0</v>
      </c>
      <c r="AF26" s="9">
        <v>309.66888332772658</v>
      </c>
      <c r="AG26" s="9">
        <v>8.3005373056612921</v>
      </c>
      <c r="AH26" s="9">
        <v>0</v>
      </c>
      <c r="AI26" s="9">
        <v>42.688469796572313</v>
      </c>
      <c r="AJ26" s="9">
        <v>303.517088345594</v>
      </c>
      <c r="AK26" s="9">
        <v>0</v>
      </c>
      <c r="AL26" s="9">
        <v>0</v>
      </c>
      <c r="AM26" s="9">
        <v>0</v>
      </c>
      <c r="AN26" s="9">
        <v>0</v>
      </c>
      <c r="AO26" s="9">
        <v>0</v>
      </c>
      <c r="AP26" s="9">
        <v>303.517088345594</v>
      </c>
      <c r="AQ26" s="9">
        <v>773.99999935093092</v>
      </c>
      <c r="AR26" s="9">
        <v>3184.5192280000001</v>
      </c>
      <c r="AS26" s="9">
        <v>533.02545648440253</v>
      </c>
      <c r="AT26" s="9">
        <v>521.47191810757045</v>
      </c>
    </row>
    <row r="27" spans="1:46" x14ac:dyDescent="0.25">
      <c r="A27" s="8">
        <v>46022</v>
      </c>
      <c r="B27" s="7" t="s">
        <v>74</v>
      </c>
      <c r="C27" s="7" t="s">
        <v>75</v>
      </c>
      <c r="D27" s="7" t="s">
        <v>51</v>
      </c>
      <c r="E27" s="9">
        <v>1000</v>
      </c>
      <c r="F27" s="10">
        <v>0.6</v>
      </c>
      <c r="G27" s="9">
        <v>82</v>
      </c>
      <c r="H27" s="9">
        <v>4.92</v>
      </c>
      <c r="I27" s="9">
        <v>95</v>
      </c>
      <c r="J27" s="9">
        <v>4.6740000000000004</v>
      </c>
      <c r="K27" s="11">
        <v>60.620231838952328</v>
      </c>
      <c r="L27" s="9">
        <v>60.046591178450143</v>
      </c>
      <c r="M27" s="9">
        <v>3.450393013556464</v>
      </c>
      <c r="N27" s="9">
        <v>8.1104426078253713</v>
      </c>
      <c r="O27" s="9">
        <v>30.26310492790094</v>
      </c>
      <c r="P27" s="9">
        <v>101.8705317277329</v>
      </c>
      <c r="Q27" s="9">
        <v>19.360994177303379</v>
      </c>
      <c r="R27" s="9">
        <v>8.7124382612251878</v>
      </c>
      <c r="S27" s="9">
        <v>21.29153480238552</v>
      </c>
      <c r="T27" s="9">
        <v>49.617792590526719</v>
      </c>
      <c r="U27" s="9">
        <v>98.982759831440816</v>
      </c>
      <c r="V27" s="9">
        <v>200.8532915591737</v>
      </c>
      <c r="W27" s="9">
        <v>2.2335373893571231</v>
      </c>
      <c r="X27" s="9">
        <v>140</v>
      </c>
      <c r="Y27" s="9">
        <v>343.08682894853081</v>
      </c>
      <c r="Z27" s="9">
        <v>18.214555753307</v>
      </c>
      <c r="AA27" s="9">
        <v>361.30138470183778</v>
      </c>
      <c r="AB27" s="9">
        <v>0</v>
      </c>
      <c r="AC27" s="9">
        <v>24.792903515271689</v>
      </c>
      <c r="AD27" s="9">
        <v>0</v>
      </c>
      <c r="AE27" s="9">
        <v>0</v>
      </c>
      <c r="AF27" s="9">
        <v>386.09428821710952</v>
      </c>
      <c r="AG27" s="9">
        <v>16.757003675617899</v>
      </c>
      <c r="AH27" s="9">
        <v>8.9799650848857002</v>
      </c>
      <c r="AI27" s="9">
        <v>10.103483617175121</v>
      </c>
      <c r="AJ27" s="9">
        <v>397.14183707951662</v>
      </c>
      <c r="AK27" s="9">
        <v>0</v>
      </c>
      <c r="AL27" s="9">
        <v>0</v>
      </c>
      <c r="AM27" s="9">
        <v>0</v>
      </c>
      <c r="AN27" s="9">
        <v>0</v>
      </c>
      <c r="AO27" s="9">
        <v>0</v>
      </c>
      <c r="AP27" s="9">
        <v>397.14183707951662</v>
      </c>
      <c r="AQ27" s="9">
        <v>773.99999935093081</v>
      </c>
      <c r="AR27" s="9">
        <v>126.216853</v>
      </c>
      <c r="AS27" s="9">
        <v>430.9131704024</v>
      </c>
      <c r="AT27" s="9">
        <v>412.69861464909297</v>
      </c>
    </row>
    <row r="28" spans="1:46" x14ac:dyDescent="0.25">
      <c r="A28" s="8">
        <v>46022</v>
      </c>
      <c r="B28" s="7" t="s">
        <v>168</v>
      </c>
      <c r="C28" s="7" t="s">
        <v>169</v>
      </c>
      <c r="D28" s="7" t="s">
        <v>161</v>
      </c>
      <c r="E28" s="9">
        <v>10033.333333</v>
      </c>
      <c r="F28" s="10">
        <v>0.19020000000000001</v>
      </c>
      <c r="G28" s="9">
        <v>63.6</v>
      </c>
      <c r="H28" s="9">
        <v>12.137</v>
      </c>
      <c r="I28" s="9">
        <v>83</v>
      </c>
      <c r="J28" s="9">
        <v>10.073987000000001</v>
      </c>
      <c r="K28" s="11">
        <v>32.187708362918393</v>
      </c>
      <c r="L28" s="9">
        <v>11.47233673633214</v>
      </c>
      <c r="M28" s="9">
        <v>6.0896281031552553</v>
      </c>
      <c r="N28" s="9">
        <v>0.63353013407421033</v>
      </c>
      <c r="O28" s="9">
        <v>15.846570906865599</v>
      </c>
      <c r="P28" s="9">
        <v>34.042065880427202</v>
      </c>
      <c r="Q28" s="9">
        <v>4.9167365172567559</v>
      </c>
      <c r="R28" s="9">
        <v>12.868464518941691</v>
      </c>
      <c r="S28" s="9">
        <v>16.926340775480512</v>
      </c>
      <c r="T28" s="9">
        <v>7.8863072324690009</v>
      </c>
      <c r="U28" s="9">
        <v>42.597849044147956</v>
      </c>
      <c r="V28" s="9">
        <v>76.639914924575166</v>
      </c>
      <c r="W28" s="9">
        <v>47.781147018057112</v>
      </c>
      <c r="X28" s="9">
        <v>190.15022311861119</v>
      </c>
      <c r="Y28" s="9">
        <v>314.57128506124349</v>
      </c>
      <c r="Z28" s="9">
        <v>0</v>
      </c>
      <c r="AA28" s="9">
        <v>314.57128506124349</v>
      </c>
      <c r="AB28" s="9">
        <v>0</v>
      </c>
      <c r="AC28" s="9">
        <v>12.29984621278034</v>
      </c>
      <c r="AD28" s="9">
        <v>0</v>
      </c>
      <c r="AE28" s="9">
        <v>0</v>
      </c>
      <c r="AF28" s="9">
        <v>326.87113127402381</v>
      </c>
      <c r="AG28" s="9">
        <v>9.4203726493933733</v>
      </c>
      <c r="AH28" s="9">
        <v>0</v>
      </c>
      <c r="AI28" s="9">
        <v>162.36524641521649</v>
      </c>
      <c r="AJ28" s="9">
        <v>486.35690412585342</v>
      </c>
      <c r="AK28" s="9">
        <v>15.421328636371969</v>
      </c>
      <c r="AL28" s="9">
        <v>0</v>
      </c>
      <c r="AM28" s="9">
        <v>0</v>
      </c>
      <c r="AN28" s="9">
        <v>0</v>
      </c>
      <c r="AO28" s="9">
        <v>0</v>
      </c>
      <c r="AP28" s="9">
        <v>501.77823276222529</v>
      </c>
      <c r="AQ28" s="9">
        <v>774.00099816103375</v>
      </c>
      <c r="AR28" s="9">
        <v>456.94987500000002</v>
      </c>
      <c r="AS28" s="9">
        <v>459.42971309979021</v>
      </c>
      <c r="AT28" s="9">
        <v>459.42971309979021</v>
      </c>
    </row>
    <row r="29" spans="1:46" x14ac:dyDescent="0.25">
      <c r="A29" s="8">
        <v>46022</v>
      </c>
      <c r="B29" s="7" t="s">
        <v>63</v>
      </c>
      <c r="C29" s="7" t="s">
        <v>64</v>
      </c>
      <c r="D29" s="7" t="s">
        <v>65</v>
      </c>
      <c r="E29" s="9">
        <v>5400</v>
      </c>
      <c r="F29" s="10">
        <v>1.54E-2</v>
      </c>
      <c r="G29" s="9">
        <v>62.98</v>
      </c>
      <c r="H29" s="9">
        <v>0.52500000000000002</v>
      </c>
      <c r="I29" s="9">
        <v>98.950500000000005</v>
      </c>
      <c r="J29" s="9">
        <v>0.51952299999999996</v>
      </c>
      <c r="K29" s="11">
        <v>1.051622440697136</v>
      </c>
      <c r="L29" s="9">
        <v>77.763267579969053</v>
      </c>
      <c r="M29" s="9">
        <v>8.3648413505064223</v>
      </c>
      <c r="N29" s="9">
        <v>29.62976502049548</v>
      </c>
      <c r="O29" s="9">
        <v>134.04123422425531</v>
      </c>
      <c r="P29" s="9">
        <v>249.79910817522619</v>
      </c>
      <c r="Q29" s="9">
        <v>30.966585572273068</v>
      </c>
      <c r="R29" s="9">
        <v>61.097469892195583</v>
      </c>
      <c r="S29" s="9">
        <v>75.561403788386428</v>
      </c>
      <c r="T29" s="9">
        <v>99.760724527494148</v>
      </c>
      <c r="U29" s="9">
        <v>267.3861837803492</v>
      </c>
      <c r="V29" s="9">
        <v>517.18529195557539</v>
      </c>
      <c r="W29" s="9">
        <v>7.7104638664151027E-3</v>
      </c>
      <c r="X29" s="9">
        <v>281.04246131162631</v>
      </c>
      <c r="Y29" s="9">
        <v>798.23546373106808</v>
      </c>
      <c r="Z29" s="9">
        <v>25.33746744661568</v>
      </c>
      <c r="AA29" s="9">
        <v>823.57293117768381</v>
      </c>
      <c r="AB29" s="9">
        <v>0</v>
      </c>
      <c r="AC29" s="9">
        <v>80.581248652901394</v>
      </c>
      <c r="AD29" s="9">
        <v>0</v>
      </c>
      <c r="AE29" s="9">
        <v>0</v>
      </c>
      <c r="AF29" s="9">
        <v>904.15417983058524</v>
      </c>
      <c r="AG29" s="9">
        <v>19.834861243242141</v>
      </c>
      <c r="AH29" s="9">
        <v>0</v>
      </c>
      <c r="AI29" s="9">
        <v>5.5086680962017027</v>
      </c>
      <c r="AJ29" s="9">
        <v>848.91646051712758</v>
      </c>
      <c r="AK29" s="9">
        <v>0</v>
      </c>
      <c r="AL29" s="9">
        <v>0</v>
      </c>
      <c r="AM29" s="9">
        <v>0</v>
      </c>
      <c r="AN29" s="9">
        <v>0</v>
      </c>
      <c r="AO29" s="9">
        <v>0</v>
      </c>
      <c r="AP29" s="9">
        <v>848.91646051712758</v>
      </c>
      <c r="AQ29" s="9">
        <v>773.96573330306569</v>
      </c>
      <c r="AR29" s="9">
        <v>551.91634299999998</v>
      </c>
      <c r="AS29" s="9">
        <v>-24.269730428002401</v>
      </c>
      <c r="AT29" s="9">
        <v>-49.60719787461808</v>
      </c>
    </row>
    <row r="30" spans="1:46" x14ac:dyDescent="0.25">
      <c r="A30" s="8">
        <v>46022</v>
      </c>
      <c r="B30" s="7" t="s">
        <v>66</v>
      </c>
      <c r="C30" s="7" t="s">
        <v>67</v>
      </c>
      <c r="D30" s="7" t="s">
        <v>68</v>
      </c>
      <c r="E30" s="9">
        <v>880</v>
      </c>
      <c r="F30" s="10">
        <v>1.71</v>
      </c>
      <c r="G30" s="9">
        <v>83.9</v>
      </c>
      <c r="H30" s="9">
        <v>12.625</v>
      </c>
      <c r="I30" s="9">
        <v>95</v>
      </c>
      <c r="J30" s="9">
        <v>11.994007999999999</v>
      </c>
      <c r="K30" s="11">
        <v>74.744366676845928</v>
      </c>
      <c r="L30" s="9">
        <v>93.053728080499184</v>
      </c>
      <c r="M30" s="9">
        <v>7.0134253193688654</v>
      </c>
      <c r="N30" s="9">
        <v>19.586159524919641</v>
      </c>
      <c r="O30" s="9">
        <v>236.77234307384799</v>
      </c>
      <c r="P30" s="9">
        <v>356.4256559986357</v>
      </c>
      <c r="Q30" s="9">
        <v>40.165832022281123</v>
      </c>
      <c r="R30" s="9">
        <v>27.45849923338573</v>
      </c>
      <c r="S30" s="9">
        <v>28.184541289346289</v>
      </c>
      <c r="T30" s="9">
        <v>51.212506446158287</v>
      </c>
      <c r="U30" s="9">
        <v>147.02137899117139</v>
      </c>
      <c r="V30" s="9">
        <v>503.44703498980709</v>
      </c>
      <c r="W30" s="9">
        <v>106.04020972666331</v>
      </c>
      <c r="X30" s="9">
        <v>154.92890666239339</v>
      </c>
      <c r="Y30" s="9">
        <v>764.4161513788639</v>
      </c>
      <c r="Z30" s="9">
        <v>0</v>
      </c>
      <c r="AA30" s="9">
        <v>764.4161513788639</v>
      </c>
      <c r="AB30" s="9">
        <v>0</v>
      </c>
      <c r="AC30" s="9">
        <v>96.913371454947935</v>
      </c>
      <c r="AD30" s="9">
        <v>0</v>
      </c>
      <c r="AE30" s="9">
        <v>0</v>
      </c>
      <c r="AF30" s="9">
        <v>861.32952283381178</v>
      </c>
      <c r="AG30" s="9">
        <v>4.2916340664140114</v>
      </c>
      <c r="AH30" s="9">
        <v>0</v>
      </c>
      <c r="AI30" s="9">
        <v>54.956891561828193</v>
      </c>
      <c r="AJ30" s="9">
        <v>823.66467700710609</v>
      </c>
      <c r="AK30" s="9">
        <v>0</v>
      </c>
      <c r="AL30" s="9">
        <v>0</v>
      </c>
      <c r="AM30" s="9">
        <v>0</v>
      </c>
      <c r="AN30" s="9">
        <v>0</v>
      </c>
      <c r="AO30" s="9">
        <v>0</v>
      </c>
      <c r="AP30" s="9">
        <v>823.66467700710609</v>
      </c>
      <c r="AQ30" s="9">
        <v>773.99948309314664</v>
      </c>
      <c r="AR30" s="9">
        <v>277.34097500000001</v>
      </c>
      <c r="AS30" s="9">
        <v>9.583331714282723</v>
      </c>
      <c r="AT30" s="9">
        <v>9.583331714282723</v>
      </c>
    </row>
    <row r="31" spans="1:46" x14ac:dyDescent="0.25">
      <c r="A31" s="8">
        <v>46022</v>
      </c>
      <c r="B31" s="7" t="s">
        <v>101</v>
      </c>
      <c r="C31" s="7" t="s">
        <v>102</v>
      </c>
      <c r="D31" s="7" t="s">
        <v>65</v>
      </c>
      <c r="E31" s="9">
        <v>9959</v>
      </c>
      <c r="F31" s="10">
        <v>8.6300000000000002E-2</v>
      </c>
      <c r="G31" s="9">
        <v>33.06</v>
      </c>
      <c r="H31" s="9">
        <v>2.84</v>
      </c>
      <c r="I31" s="9">
        <v>100</v>
      </c>
      <c r="J31" s="9">
        <v>2.84</v>
      </c>
      <c r="K31" s="11">
        <v>3.4433607176254961</v>
      </c>
      <c r="L31" s="9">
        <v>289.94563253014331</v>
      </c>
      <c r="M31" s="9">
        <v>13.26403561365553</v>
      </c>
      <c r="N31" s="9">
        <v>10.46424016074274</v>
      </c>
      <c r="O31" s="9">
        <v>39.709852703326717</v>
      </c>
      <c r="P31" s="9">
        <v>353.38376100786832</v>
      </c>
      <c r="Q31" s="9">
        <v>46.34415991150842</v>
      </c>
      <c r="R31" s="9">
        <v>10.17446110133073</v>
      </c>
      <c r="S31" s="9">
        <v>72.661863634983447</v>
      </c>
      <c r="T31" s="9">
        <v>5.7406191246355727</v>
      </c>
      <c r="U31" s="9">
        <v>134.9211037724582</v>
      </c>
      <c r="V31" s="9">
        <v>488.30486478032651</v>
      </c>
      <c r="W31" s="9">
        <v>0</v>
      </c>
      <c r="X31" s="9">
        <v>158.2269782759482</v>
      </c>
      <c r="Y31" s="9">
        <v>646.53184305627462</v>
      </c>
      <c r="Z31" s="9">
        <v>3.428726783784612</v>
      </c>
      <c r="AA31" s="9">
        <v>649.96056984005929</v>
      </c>
      <c r="AB31" s="9">
        <v>0</v>
      </c>
      <c r="AC31" s="9">
        <v>77.039253794082782</v>
      </c>
      <c r="AD31" s="9">
        <v>0</v>
      </c>
      <c r="AE31" s="9">
        <v>0</v>
      </c>
      <c r="AF31" s="9">
        <v>726.99982363414199</v>
      </c>
      <c r="AG31" s="9">
        <v>15.04841036461869</v>
      </c>
      <c r="AH31" s="9">
        <v>1.1254488928569979</v>
      </c>
      <c r="AI31" s="9">
        <v>70.269417311969917</v>
      </c>
      <c r="AJ31" s="9">
        <v>736.40384640950492</v>
      </c>
      <c r="AK31" s="9">
        <v>11.098519353555311</v>
      </c>
      <c r="AL31" s="9">
        <v>0</v>
      </c>
      <c r="AM31" s="9">
        <v>0</v>
      </c>
      <c r="AN31" s="9">
        <v>0</v>
      </c>
      <c r="AO31" s="9">
        <v>0</v>
      </c>
      <c r="AP31" s="9">
        <v>747.5023657630602</v>
      </c>
      <c r="AQ31" s="9">
        <v>773.99999935093092</v>
      </c>
      <c r="AR31" s="9">
        <v>1228.252322</v>
      </c>
      <c r="AS31" s="9">
        <v>127.4681562946563</v>
      </c>
      <c r="AT31" s="9">
        <v>124.0394295108716</v>
      </c>
    </row>
    <row r="32" spans="1:46" x14ac:dyDescent="0.25">
      <c r="A32" s="8">
        <v>46022</v>
      </c>
      <c r="B32" s="7" t="s">
        <v>93</v>
      </c>
      <c r="C32" s="7" t="s">
        <v>94</v>
      </c>
      <c r="D32" s="7" t="s">
        <v>65</v>
      </c>
      <c r="E32" s="9">
        <v>1900</v>
      </c>
      <c r="F32" s="10">
        <v>1.9800000000000002E-2</v>
      </c>
      <c r="G32" s="9">
        <v>70</v>
      </c>
      <c r="H32" s="9">
        <v>0.26300000000000001</v>
      </c>
      <c r="I32" s="9">
        <v>100</v>
      </c>
      <c r="J32" s="9">
        <v>0.26322699999999999</v>
      </c>
      <c r="K32" s="11">
        <v>1.3458803931780039</v>
      </c>
      <c r="L32" s="9">
        <v>343.95148775904261</v>
      </c>
      <c r="M32" s="9">
        <v>1.029626581551059</v>
      </c>
      <c r="N32" s="9">
        <v>69.392654219158374</v>
      </c>
      <c r="O32" s="9">
        <v>119.9578729796785</v>
      </c>
      <c r="P32" s="9">
        <v>534.33164153943062</v>
      </c>
      <c r="Q32" s="9">
        <v>12.349041399759329</v>
      </c>
      <c r="R32" s="9">
        <v>10.690979506525039</v>
      </c>
      <c r="S32" s="9">
        <v>35.277299834983708</v>
      </c>
      <c r="T32" s="9">
        <v>4.2029616162068368</v>
      </c>
      <c r="U32" s="9">
        <v>62.520282357474912</v>
      </c>
      <c r="V32" s="9">
        <v>596.85192389690553</v>
      </c>
      <c r="W32" s="9">
        <v>8.3278049551897854E-2</v>
      </c>
      <c r="X32" s="9">
        <v>210.01749565204179</v>
      </c>
      <c r="Y32" s="9">
        <v>806.95269759849919</v>
      </c>
      <c r="Z32" s="9">
        <v>13.414815926338781</v>
      </c>
      <c r="AA32" s="9">
        <v>820.36751352483793</v>
      </c>
      <c r="AB32" s="9">
        <v>0</v>
      </c>
      <c r="AC32" s="9">
        <v>50.766349787175621</v>
      </c>
      <c r="AD32" s="9">
        <v>0</v>
      </c>
      <c r="AE32" s="9">
        <v>0</v>
      </c>
      <c r="AF32" s="9">
        <v>871.13386331201355</v>
      </c>
      <c r="AG32" s="9">
        <v>4.2391391144287578</v>
      </c>
      <c r="AH32" s="9">
        <v>0</v>
      </c>
      <c r="AI32" s="9">
        <v>12.53389034895682</v>
      </c>
      <c r="AJ32" s="9">
        <v>837.1405429882235</v>
      </c>
      <c r="AK32" s="9">
        <v>0</v>
      </c>
      <c r="AL32" s="9">
        <v>0</v>
      </c>
      <c r="AM32" s="9">
        <v>0</v>
      </c>
      <c r="AN32" s="9">
        <v>0</v>
      </c>
      <c r="AO32" s="9">
        <v>0</v>
      </c>
      <c r="AP32" s="9">
        <v>837.1405429882235</v>
      </c>
      <c r="AQ32" s="9">
        <v>773.92060779921906</v>
      </c>
      <c r="AR32" s="9">
        <v>255.61818299999999</v>
      </c>
      <c r="AS32" s="9">
        <v>-33.032089799280193</v>
      </c>
      <c r="AT32" s="9">
        <v>-46.446905725618969</v>
      </c>
    </row>
    <row r="33" spans="1:46" x14ac:dyDescent="0.25">
      <c r="A33" s="8">
        <v>46022</v>
      </c>
      <c r="B33" s="7" t="s">
        <v>103</v>
      </c>
      <c r="C33" s="7" t="s">
        <v>104</v>
      </c>
      <c r="D33" s="7" t="s">
        <v>105</v>
      </c>
      <c r="E33" s="9">
        <v>2780</v>
      </c>
      <c r="F33" s="10">
        <v>0.18</v>
      </c>
      <c r="G33" s="9">
        <v>72.38</v>
      </c>
      <c r="H33" s="9">
        <v>3.6219999999999999</v>
      </c>
      <c r="I33" s="9">
        <v>90</v>
      </c>
      <c r="J33" s="9">
        <v>3.2596099999999999</v>
      </c>
      <c r="K33" s="11">
        <v>14.233244167184484</v>
      </c>
      <c r="L33" s="9">
        <v>131.66283105038571</v>
      </c>
      <c r="M33" s="9">
        <v>24.804555166583889</v>
      </c>
      <c r="N33" s="9">
        <v>67.770412377089286</v>
      </c>
      <c r="O33" s="9">
        <v>148.95404975625519</v>
      </c>
      <c r="P33" s="9">
        <v>373.19184835031399</v>
      </c>
      <c r="Q33" s="9">
        <v>4.8277566772387912</v>
      </c>
      <c r="R33" s="9">
        <v>13.22609816848788</v>
      </c>
      <c r="S33" s="9">
        <v>122.8523645263147</v>
      </c>
      <c r="T33" s="9">
        <v>4.9696559159740001</v>
      </c>
      <c r="U33" s="9">
        <v>145.87587528801541</v>
      </c>
      <c r="V33" s="9">
        <v>519.06772363832943</v>
      </c>
      <c r="W33" s="9">
        <v>7.0200048006763032</v>
      </c>
      <c r="X33" s="9">
        <v>125.9996134506889</v>
      </c>
      <c r="Y33" s="9">
        <v>652.08734188969459</v>
      </c>
      <c r="Z33" s="9">
        <v>26.95013985059769</v>
      </c>
      <c r="AA33" s="9">
        <v>679.03748174029226</v>
      </c>
      <c r="AB33" s="9">
        <v>0</v>
      </c>
      <c r="AC33" s="9">
        <v>112.14459103766571</v>
      </c>
      <c r="AD33" s="9">
        <v>0</v>
      </c>
      <c r="AE33" s="9">
        <v>0</v>
      </c>
      <c r="AF33" s="9">
        <v>791.18207277795796</v>
      </c>
      <c r="AG33" s="9">
        <v>13.157524456982379</v>
      </c>
      <c r="AH33" s="9">
        <v>0</v>
      </c>
      <c r="AI33" s="9">
        <v>107.2348256195274</v>
      </c>
      <c r="AJ33" s="9">
        <v>799.42983181680211</v>
      </c>
      <c r="AK33" s="9">
        <v>0</v>
      </c>
      <c r="AL33" s="9">
        <v>0</v>
      </c>
      <c r="AM33" s="9">
        <v>0</v>
      </c>
      <c r="AN33" s="9">
        <v>0</v>
      </c>
      <c r="AO33" s="9">
        <v>0</v>
      </c>
      <c r="AP33" s="9">
        <v>799.42983181680211</v>
      </c>
      <c r="AQ33" s="9">
        <v>773.99762483373604</v>
      </c>
      <c r="AR33" s="9">
        <v>359.52989200000002</v>
      </c>
      <c r="AS33" s="9">
        <v>121.9102829440414</v>
      </c>
      <c r="AT33" s="9">
        <v>94.960143093443733</v>
      </c>
    </row>
    <row r="34" spans="1:46" x14ac:dyDescent="0.25">
      <c r="A34" s="8">
        <v>46022</v>
      </c>
      <c r="B34" s="7" t="s">
        <v>170</v>
      </c>
      <c r="C34" s="7" t="s">
        <v>171</v>
      </c>
      <c r="D34" s="7" t="s">
        <v>172</v>
      </c>
      <c r="E34" s="9">
        <v>3500</v>
      </c>
      <c r="F34" s="10">
        <v>1.0900000000000001</v>
      </c>
      <c r="G34" s="9">
        <v>86</v>
      </c>
      <c r="H34" s="9">
        <v>32.808999999999997</v>
      </c>
      <c r="I34" s="9">
        <v>100</v>
      </c>
      <c r="J34" s="9">
        <v>32.808999999999997</v>
      </c>
      <c r="K34" s="11">
        <v>84.15563300628817</v>
      </c>
      <c r="L34" s="9">
        <v>0.92886415338788009</v>
      </c>
      <c r="M34" s="9">
        <v>9.9113777567748436</v>
      </c>
      <c r="N34" s="9">
        <v>1.299881826299195E-2</v>
      </c>
      <c r="O34" s="9">
        <v>0.93286436405434181</v>
      </c>
      <c r="P34" s="9">
        <v>11.78610509248006</v>
      </c>
      <c r="Q34" s="9">
        <v>1.5200428948682789</v>
      </c>
      <c r="R34" s="9">
        <v>5.4286863026703918</v>
      </c>
      <c r="S34" s="9">
        <v>4.8444276745269299</v>
      </c>
      <c r="T34" s="9">
        <v>3.4115244213628171</v>
      </c>
      <c r="U34" s="9">
        <v>15.20468129342842</v>
      </c>
      <c r="V34" s="9">
        <v>26.990786385908478</v>
      </c>
      <c r="W34" s="9">
        <v>60.850136675407299</v>
      </c>
      <c r="X34" s="9">
        <v>232.04025100000001</v>
      </c>
      <c r="Y34" s="9">
        <v>319.88117406131579</v>
      </c>
      <c r="Z34" s="9">
        <v>37.895106632022141</v>
      </c>
      <c r="AA34" s="9">
        <v>357.77628069333792</v>
      </c>
      <c r="AB34" s="9">
        <v>0.33934600156614458</v>
      </c>
      <c r="AC34" s="9">
        <v>3.8223219293077229</v>
      </c>
      <c r="AD34" s="9">
        <v>0</v>
      </c>
      <c r="AE34" s="9">
        <v>0</v>
      </c>
      <c r="AF34" s="9">
        <v>361.9379486242118</v>
      </c>
      <c r="AG34" s="9">
        <v>0.94090313148544225</v>
      </c>
      <c r="AH34" s="9">
        <v>0</v>
      </c>
      <c r="AI34" s="9">
        <v>2.9086799891850972</v>
      </c>
      <c r="AJ34" s="9">
        <v>361.96520981557461</v>
      </c>
      <c r="AK34" s="9">
        <v>11.634720635432391</v>
      </c>
      <c r="AL34" s="9">
        <v>0</v>
      </c>
      <c r="AM34" s="9">
        <v>0</v>
      </c>
      <c r="AN34" s="9">
        <v>0</v>
      </c>
      <c r="AO34" s="9">
        <v>0</v>
      </c>
      <c r="AP34" s="9">
        <v>373.59993045100703</v>
      </c>
      <c r="AQ34" s="9">
        <v>773.99999935093092</v>
      </c>
      <c r="AR34" s="9">
        <v>651.41373399999998</v>
      </c>
      <c r="AS34" s="9">
        <v>454.11882528961507</v>
      </c>
      <c r="AT34" s="9">
        <v>416.223718657593</v>
      </c>
    </row>
    <row r="35" spans="1:46" x14ac:dyDescent="0.25">
      <c r="A35" s="8">
        <v>46022</v>
      </c>
      <c r="B35" s="7" t="s">
        <v>95</v>
      </c>
      <c r="C35" s="7" t="s">
        <v>96</v>
      </c>
      <c r="D35" s="7" t="s">
        <v>65</v>
      </c>
      <c r="E35" s="9">
        <v>2803.9772950000001</v>
      </c>
      <c r="F35" s="10">
        <v>0.1</v>
      </c>
      <c r="G35" s="9">
        <v>30</v>
      </c>
      <c r="H35" s="9">
        <v>0.84099999999999997</v>
      </c>
      <c r="I35" s="9">
        <v>100</v>
      </c>
      <c r="J35" s="9">
        <v>0.84119299999999997</v>
      </c>
      <c r="K35" s="11">
        <v>2.8645289008253969</v>
      </c>
      <c r="L35" s="9">
        <v>223.77488666950339</v>
      </c>
      <c r="M35" s="9">
        <v>5.5781568940061996</v>
      </c>
      <c r="N35" s="9">
        <v>53.43882640463471</v>
      </c>
      <c r="O35" s="9">
        <v>192.8397502127705</v>
      </c>
      <c r="P35" s="9">
        <v>475.63162018091481</v>
      </c>
      <c r="Q35" s="9">
        <v>14.680251565563051</v>
      </c>
      <c r="R35" s="9">
        <v>19.591023724375429</v>
      </c>
      <c r="S35" s="9">
        <v>92.719236122836463</v>
      </c>
      <c r="T35" s="9">
        <v>28.42506979647656</v>
      </c>
      <c r="U35" s="9">
        <v>155.41558120925151</v>
      </c>
      <c r="V35" s="9">
        <v>631.04720139016626</v>
      </c>
      <c r="W35" s="9">
        <v>2.8678225846075611E-2</v>
      </c>
      <c r="X35" s="9">
        <v>83.662948368498306</v>
      </c>
      <c r="Y35" s="9">
        <v>714.73882798451075</v>
      </c>
      <c r="Z35" s="9">
        <v>1.6197780581629391</v>
      </c>
      <c r="AA35" s="9">
        <v>716.35860604267361</v>
      </c>
      <c r="AB35" s="9">
        <v>0</v>
      </c>
      <c r="AC35" s="9">
        <v>83.443538534722336</v>
      </c>
      <c r="AD35" s="9">
        <v>0</v>
      </c>
      <c r="AE35" s="9">
        <v>0</v>
      </c>
      <c r="AF35" s="9">
        <v>799.80214457739601</v>
      </c>
      <c r="AG35" s="9">
        <v>18.59954094158822</v>
      </c>
      <c r="AH35" s="9">
        <v>0</v>
      </c>
      <c r="AI35" s="9">
        <v>56.523638588187538</v>
      </c>
      <c r="AJ35" s="9">
        <v>791.48178557244944</v>
      </c>
      <c r="AK35" s="9">
        <v>0</v>
      </c>
      <c r="AL35" s="9">
        <v>0</v>
      </c>
      <c r="AM35" s="9">
        <v>0</v>
      </c>
      <c r="AN35" s="9">
        <v>0</v>
      </c>
      <c r="AO35" s="9">
        <v>0</v>
      </c>
      <c r="AP35" s="9">
        <v>791.48178557244944</v>
      </c>
      <c r="AQ35" s="9">
        <v>774.00644020338154</v>
      </c>
      <c r="AR35" s="9">
        <v>465.29565300000002</v>
      </c>
      <c r="AS35" s="9">
        <v>59.267612218870781</v>
      </c>
      <c r="AT35" s="9">
        <v>57.647834160707838</v>
      </c>
    </row>
    <row r="36" spans="1:46" x14ac:dyDescent="0.25">
      <c r="A36" s="8">
        <v>46022</v>
      </c>
      <c r="B36" s="7" t="s">
        <v>97</v>
      </c>
      <c r="C36" s="7" t="s">
        <v>98</v>
      </c>
      <c r="D36" s="7" t="s">
        <v>65</v>
      </c>
      <c r="E36" s="9">
        <v>15835.12</v>
      </c>
      <c r="F36" s="10">
        <v>0.18</v>
      </c>
      <c r="G36" s="9">
        <v>59.99</v>
      </c>
      <c r="H36" s="9">
        <v>17.100000000000001</v>
      </c>
      <c r="I36" s="9">
        <v>100</v>
      </c>
      <c r="J36" s="9">
        <v>17.100000000000001</v>
      </c>
      <c r="K36" s="11">
        <v>20.881899332328384</v>
      </c>
      <c r="L36" s="9">
        <v>60.587646231861058</v>
      </c>
      <c r="M36" s="9">
        <v>31.809857367828531</v>
      </c>
      <c r="N36" s="9">
        <v>0.2450508988265328</v>
      </c>
      <c r="O36" s="9">
        <v>32.798253301151121</v>
      </c>
      <c r="P36" s="9">
        <v>125.4408077996672</v>
      </c>
      <c r="Q36" s="9">
        <v>22.628939222004789</v>
      </c>
      <c r="R36" s="9">
        <v>18.11998689536486</v>
      </c>
      <c r="S36" s="9">
        <v>28.472155011587461</v>
      </c>
      <c r="T36" s="9">
        <v>26.547315198552031</v>
      </c>
      <c r="U36" s="9">
        <v>95.768396327509137</v>
      </c>
      <c r="V36" s="9">
        <v>221.20920412717641</v>
      </c>
      <c r="W36" s="9">
        <v>4.1591726035004717</v>
      </c>
      <c r="X36" s="9">
        <v>100.0929445399597</v>
      </c>
      <c r="Y36" s="9">
        <v>325.46132127063652</v>
      </c>
      <c r="Z36" s="9">
        <v>3.8938055130642648</v>
      </c>
      <c r="AA36" s="9">
        <v>329.35512678370083</v>
      </c>
      <c r="AB36" s="9">
        <v>0</v>
      </c>
      <c r="AC36" s="9">
        <v>276.94263571832681</v>
      </c>
      <c r="AD36" s="9">
        <v>0</v>
      </c>
      <c r="AE36" s="9">
        <v>0</v>
      </c>
      <c r="AF36" s="9">
        <v>606.29776250202758</v>
      </c>
      <c r="AG36" s="9">
        <v>20.42226193022735</v>
      </c>
      <c r="AH36" s="9">
        <v>0</v>
      </c>
      <c r="AI36" s="9">
        <v>250.48391004222259</v>
      </c>
      <c r="AJ36" s="9">
        <v>600.26129875615072</v>
      </c>
      <c r="AK36" s="9">
        <v>0</v>
      </c>
      <c r="AL36" s="9">
        <v>0</v>
      </c>
      <c r="AM36" s="9">
        <v>0</v>
      </c>
      <c r="AN36" s="9">
        <v>0</v>
      </c>
      <c r="AO36" s="9">
        <v>0</v>
      </c>
      <c r="AP36" s="9">
        <v>600.26129875615072</v>
      </c>
      <c r="AQ36" s="9">
        <v>773.99999935093081</v>
      </c>
      <c r="AR36" s="9">
        <v>1697.897876</v>
      </c>
      <c r="AS36" s="9">
        <v>448.53867808029429</v>
      </c>
      <c r="AT36" s="9">
        <v>444.64487256722998</v>
      </c>
    </row>
    <row r="37" spans="1:46" x14ac:dyDescent="0.25">
      <c r="A37" s="8">
        <v>46022</v>
      </c>
      <c r="B37" s="7" t="s">
        <v>106</v>
      </c>
      <c r="C37" s="7" t="s">
        <v>107</v>
      </c>
      <c r="D37" s="7" t="s">
        <v>65</v>
      </c>
      <c r="E37" s="9">
        <v>2430</v>
      </c>
      <c r="F37" s="10">
        <v>0.08</v>
      </c>
      <c r="G37" s="9">
        <v>20</v>
      </c>
      <c r="H37" s="9">
        <v>0.38900000000000001</v>
      </c>
      <c r="I37" s="9">
        <v>100</v>
      </c>
      <c r="J37" s="9">
        <v>0.38879999999999998</v>
      </c>
      <c r="K37" s="11">
        <v>1.4869353065523969</v>
      </c>
      <c r="L37" s="9">
        <v>108.8423444022969</v>
      </c>
      <c r="M37" s="9">
        <v>3.3391585009346918</v>
      </c>
      <c r="N37" s="9">
        <v>85.074677590541867</v>
      </c>
      <c r="O37" s="9">
        <v>72.631139363264765</v>
      </c>
      <c r="P37" s="9">
        <v>269.88731985703822</v>
      </c>
      <c r="Q37" s="9">
        <v>7.147498415985706</v>
      </c>
      <c r="R37" s="9">
        <v>11.383987132216991</v>
      </c>
      <c r="S37" s="9">
        <v>80.741483596586534</v>
      </c>
      <c r="T37" s="9">
        <v>-0.75195825210441913</v>
      </c>
      <c r="U37" s="9">
        <v>98.521010892684814</v>
      </c>
      <c r="V37" s="9">
        <v>368.40833074972301</v>
      </c>
      <c r="W37" s="9">
        <v>3.9509815720826708E-2</v>
      </c>
      <c r="X37" s="9">
        <v>83.586705609679186</v>
      </c>
      <c r="Y37" s="9">
        <v>452.03454617512301</v>
      </c>
      <c r="Z37" s="9">
        <v>20.76198084419492</v>
      </c>
      <c r="AA37" s="9">
        <v>472.79652701931798</v>
      </c>
      <c r="AB37" s="9">
        <v>0</v>
      </c>
      <c r="AC37" s="9">
        <v>247.4415953489746</v>
      </c>
      <c r="AD37" s="9">
        <v>0</v>
      </c>
      <c r="AE37" s="9">
        <v>0</v>
      </c>
      <c r="AF37" s="9">
        <v>720.23812236829258</v>
      </c>
      <c r="AG37" s="9">
        <v>18.131858080402878</v>
      </c>
      <c r="AH37" s="9">
        <v>0</v>
      </c>
      <c r="AI37" s="9">
        <v>242.2682697759389</v>
      </c>
      <c r="AJ37" s="9">
        <v>733.19665487565976</v>
      </c>
      <c r="AK37" s="9">
        <v>41.157987085828921</v>
      </c>
      <c r="AL37" s="9">
        <v>0</v>
      </c>
      <c r="AM37" s="9">
        <v>0</v>
      </c>
      <c r="AN37" s="9">
        <v>0</v>
      </c>
      <c r="AO37" s="9">
        <v>0</v>
      </c>
      <c r="AP37" s="9">
        <v>774.35464196148871</v>
      </c>
      <c r="AQ37" s="9">
        <v>773.99999935093092</v>
      </c>
      <c r="AR37" s="9">
        <v>415.16993000000002</v>
      </c>
      <c r="AS37" s="9">
        <v>321.96545317580791</v>
      </c>
      <c r="AT37" s="9">
        <v>301.20347233161289</v>
      </c>
    </row>
    <row r="38" spans="1:46" x14ac:dyDescent="0.25">
      <c r="A38" s="8">
        <v>46022</v>
      </c>
      <c r="B38" s="7" t="s">
        <v>173</v>
      </c>
      <c r="C38" s="7" t="s">
        <v>174</v>
      </c>
      <c r="D38" s="7" t="s">
        <v>152</v>
      </c>
      <c r="E38" s="9">
        <v>564.02439800000002</v>
      </c>
      <c r="F38" s="10">
        <v>0.82</v>
      </c>
      <c r="G38" s="9">
        <v>80</v>
      </c>
      <c r="H38" s="9">
        <v>3.7</v>
      </c>
      <c r="I38" s="9">
        <v>77</v>
      </c>
      <c r="J38" s="9">
        <v>2.8490000000000002</v>
      </c>
      <c r="K38" s="11">
        <v>68.319658564294528</v>
      </c>
      <c r="L38" s="9">
        <v>28.846444382916609</v>
      </c>
      <c r="M38" s="9">
        <v>33.608910618405893</v>
      </c>
      <c r="N38" s="9">
        <v>17.942927159159929</v>
      </c>
      <c r="O38" s="9">
        <v>68.179555069893325</v>
      </c>
      <c r="P38" s="9">
        <v>148.57783723037571</v>
      </c>
      <c r="Q38" s="9">
        <v>5.4114483806967186</v>
      </c>
      <c r="R38" s="9">
        <v>10.722828245937469</v>
      </c>
      <c r="S38" s="9">
        <v>27.81468528863623</v>
      </c>
      <c r="T38" s="9">
        <v>38.363751008471112</v>
      </c>
      <c r="U38" s="9">
        <v>82.312712923741529</v>
      </c>
      <c r="V38" s="9">
        <v>230.89055015411731</v>
      </c>
      <c r="W38" s="9">
        <v>102.54007882111451</v>
      </c>
      <c r="X38" s="9">
        <v>129.0974154638765</v>
      </c>
      <c r="Y38" s="9">
        <v>462.52804443910821</v>
      </c>
      <c r="Z38" s="9">
        <v>35.901213218808671</v>
      </c>
      <c r="AA38" s="9">
        <v>498.42925765791688</v>
      </c>
      <c r="AB38" s="9">
        <v>3.263174717853313</v>
      </c>
      <c r="AC38" s="9">
        <v>253.24544300578839</v>
      </c>
      <c r="AD38" s="9">
        <v>0</v>
      </c>
      <c r="AE38" s="9">
        <v>0</v>
      </c>
      <c r="AF38" s="9">
        <v>754.93787538155857</v>
      </c>
      <c r="AG38" s="9">
        <v>46.783782527449581</v>
      </c>
      <c r="AH38" s="9">
        <v>0</v>
      </c>
      <c r="AI38" s="9">
        <v>52.210783215587959</v>
      </c>
      <c r="AJ38" s="9">
        <v>600.68699811880765</v>
      </c>
      <c r="AK38" s="9">
        <v>0</v>
      </c>
      <c r="AL38" s="9">
        <v>0</v>
      </c>
      <c r="AM38" s="9">
        <v>0</v>
      </c>
      <c r="AN38" s="9">
        <v>0</v>
      </c>
      <c r="AO38" s="9">
        <v>0</v>
      </c>
      <c r="AP38" s="9">
        <v>600.68699811880765</v>
      </c>
      <c r="AQ38" s="9">
        <v>773.99999935093081</v>
      </c>
      <c r="AR38" s="9">
        <v>66.011842000000001</v>
      </c>
      <c r="AS38" s="9">
        <v>311.47195491182259</v>
      </c>
      <c r="AT38" s="9">
        <v>275.57074169301387</v>
      </c>
    </row>
    <row r="39" spans="1:46" x14ac:dyDescent="0.25">
      <c r="A39" s="8">
        <v>46022</v>
      </c>
      <c r="B39" s="7" t="s">
        <v>76</v>
      </c>
      <c r="C39" s="7" t="s">
        <v>77</v>
      </c>
      <c r="D39" s="7" t="s">
        <v>71</v>
      </c>
      <c r="E39" s="9">
        <v>3850.0167390000001</v>
      </c>
      <c r="F39" s="10">
        <v>1.03</v>
      </c>
      <c r="G39" s="9">
        <v>87</v>
      </c>
      <c r="H39" s="9">
        <v>34.5</v>
      </c>
      <c r="I39" s="9">
        <v>96.5</v>
      </c>
      <c r="J39" s="9">
        <v>33.292499999999997</v>
      </c>
      <c r="K39" s="11">
        <v>89.193714867647699</v>
      </c>
      <c r="L39" s="9">
        <v>203.62509985646409</v>
      </c>
      <c r="M39" s="9">
        <v>54.806138973440639</v>
      </c>
      <c r="N39" s="9">
        <v>7.0409774573083057</v>
      </c>
      <c r="O39" s="9">
        <v>99.222181173508716</v>
      </c>
      <c r="P39" s="9">
        <v>364.6943974607218</v>
      </c>
      <c r="Q39" s="9">
        <v>94.584676544581157</v>
      </c>
      <c r="R39" s="9">
        <v>106.48643074226879</v>
      </c>
      <c r="S39" s="9">
        <v>65.180899562942983</v>
      </c>
      <c r="T39" s="9">
        <v>76.939421805540732</v>
      </c>
      <c r="U39" s="9">
        <v>343.19142865533371</v>
      </c>
      <c r="V39" s="9">
        <v>707.88582611605545</v>
      </c>
      <c r="W39" s="9">
        <v>10.167996744716559</v>
      </c>
      <c r="X39" s="9">
        <v>30.731009888399999</v>
      </c>
      <c r="Y39" s="9">
        <v>748.78483274917198</v>
      </c>
      <c r="Z39" s="9">
        <v>20.108157080809441</v>
      </c>
      <c r="AA39" s="9">
        <v>768.8929898299815</v>
      </c>
      <c r="AB39" s="9">
        <v>0</v>
      </c>
      <c r="AC39" s="9">
        <v>54.820651569267568</v>
      </c>
      <c r="AD39" s="9">
        <v>0</v>
      </c>
      <c r="AE39" s="9">
        <v>0</v>
      </c>
      <c r="AF39" s="9">
        <v>823.71364139924913</v>
      </c>
      <c r="AG39" s="9">
        <v>4.4039375899835944</v>
      </c>
      <c r="AH39" s="9">
        <v>0</v>
      </c>
      <c r="AI39" s="9">
        <v>32.551115257152901</v>
      </c>
      <c r="AJ39" s="9">
        <v>805.84804267711797</v>
      </c>
      <c r="AK39" s="9">
        <v>0</v>
      </c>
      <c r="AL39" s="9">
        <v>0</v>
      </c>
      <c r="AM39" s="9">
        <v>0</v>
      </c>
      <c r="AN39" s="9">
        <v>0</v>
      </c>
      <c r="AO39" s="9">
        <v>0</v>
      </c>
      <c r="AP39" s="9">
        <v>805.84804267711797</v>
      </c>
      <c r="AQ39" s="9">
        <v>773.99999935093092</v>
      </c>
      <c r="AR39" s="9">
        <v>636.49511500000006</v>
      </c>
      <c r="AS39" s="9">
        <v>25.215166601758881</v>
      </c>
      <c r="AT39" s="9">
        <v>5.1070095209494406</v>
      </c>
    </row>
    <row r="40" spans="1:46" x14ac:dyDescent="0.25">
      <c r="A40" s="8">
        <v>46022</v>
      </c>
      <c r="B40" s="7" t="s">
        <v>78</v>
      </c>
      <c r="C40" s="7" t="s">
        <v>79</v>
      </c>
      <c r="D40" s="7" t="s">
        <v>80</v>
      </c>
      <c r="E40" s="9">
        <v>33740</v>
      </c>
      <c r="F40" s="10">
        <v>1.0132000000000001</v>
      </c>
      <c r="G40" s="9">
        <v>80</v>
      </c>
      <c r="H40" s="9">
        <v>273.48288000000002</v>
      </c>
      <c r="I40" s="9">
        <v>82.278251999999995</v>
      </c>
      <c r="J40" s="9">
        <v>225.01693700000001</v>
      </c>
      <c r="K40" s="11">
        <v>27.486717964480832</v>
      </c>
      <c r="L40" s="9">
        <v>58.283089437933079</v>
      </c>
      <c r="M40" s="9">
        <v>5.3476843191077279</v>
      </c>
      <c r="N40" s="9">
        <v>3.3617060764783879</v>
      </c>
      <c r="O40" s="9">
        <v>53.637398222317017</v>
      </c>
      <c r="P40" s="9">
        <v>120.6298780558362</v>
      </c>
      <c r="Q40" s="9">
        <v>3.6679700674816869</v>
      </c>
      <c r="R40" s="9">
        <v>3.430533121353776</v>
      </c>
      <c r="S40" s="9">
        <v>3.7639318777597852</v>
      </c>
      <c r="T40" s="9">
        <v>5.409471665491548</v>
      </c>
      <c r="U40" s="9">
        <v>16.271906732086801</v>
      </c>
      <c r="V40" s="9">
        <v>136.90178478792299</v>
      </c>
      <c r="W40" s="9">
        <v>6.9773989101122638</v>
      </c>
      <c r="X40" s="9">
        <v>119.84286683944551</v>
      </c>
      <c r="Y40" s="9">
        <v>263.72205053748081</v>
      </c>
      <c r="Z40" s="9">
        <v>48.188336376415187</v>
      </c>
      <c r="AA40" s="9">
        <v>311.91038691389599</v>
      </c>
      <c r="AB40" s="9">
        <v>0</v>
      </c>
      <c r="AC40" s="9">
        <v>50.370371090256533</v>
      </c>
      <c r="AD40" s="9">
        <v>0</v>
      </c>
      <c r="AE40" s="9">
        <v>0</v>
      </c>
      <c r="AF40" s="9">
        <v>362.28075800415252</v>
      </c>
      <c r="AG40" s="9">
        <v>38.09254925911965</v>
      </c>
      <c r="AH40" s="9">
        <v>0</v>
      </c>
      <c r="AI40" s="9">
        <v>51.036383385844061</v>
      </c>
      <c r="AJ40" s="9">
        <v>401.03931955885969</v>
      </c>
      <c r="AK40" s="9">
        <v>0</v>
      </c>
      <c r="AL40" s="9">
        <v>8.5730911993819898</v>
      </c>
      <c r="AM40" s="9">
        <v>0</v>
      </c>
      <c r="AN40" s="9">
        <v>0</v>
      </c>
      <c r="AO40" s="9">
        <v>2.770406827343991</v>
      </c>
      <c r="AP40" s="9">
        <v>412.38281758558571</v>
      </c>
      <c r="AQ40" s="9">
        <v>773.99999935093081</v>
      </c>
      <c r="AR40" s="9">
        <v>12973.500700000001</v>
      </c>
      <c r="AS40" s="9">
        <v>510.27794881345</v>
      </c>
      <c r="AT40" s="9">
        <v>462.08961243703482</v>
      </c>
    </row>
    <row r="41" spans="1:46" x14ac:dyDescent="0.25">
      <c r="A41" s="8">
        <v>46022</v>
      </c>
      <c r="B41" s="7" t="s">
        <v>81</v>
      </c>
      <c r="C41" s="7" t="s">
        <v>82</v>
      </c>
      <c r="D41" s="7" t="s">
        <v>71</v>
      </c>
      <c r="E41" s="9">
        <v>763.72900000000004</v>
      </c>
      <c r="F41" s="10">
        <v>1.5499000000000001</v>
      </c>
      <c r="G41" s="9">
        <v>78.45</v>
      </c>
      <c r="H41" s="9">
        <v>9.2859999999999996</v>
      </c>
      <c r="I41" s="9">
        <v>81.348265999999995</v>
      </c>
      <c r="J41" s="9">
        <v>7.5540000000000003</v>
      </c>
      <c r="K41" s="11">
        <v>77.026522880780504</v>
      </c>
      <c r="L41" s="9">
        <v>157.91958528116169</v>
      </c>
      <c r="M41" s="9">
        <v>14.31008312918628</v>
      </c>
      <c r="N41" s="9">
        <v>24.594071123950052</v>
      </c>
      <c r="O41" s="9">
        <v>104.4641882740371</v>
      </c>
      <c r="P41" s="9">
        <v>301.2879278083351</v>
      </c>
      <c r="Q41" s="9">
        <v>69.788856404477556</v>
      </c>
      <c r="R41" s="9">
        <v>14.50172927885469</v>
      </c>
      <c r="S41" s="9">
        <v>54.250954247807762</v>
      </c>
      <c r="T41" s="9">
        <v>21.73641911606779</v>
      </c>
      <c r="U41" s="9">
        <v>160.27795904720779</v>
      </c>
      <c r="V41" s="9">
        <v>461.56588685554289</v>
      </c>
      <c r="W41" s="9">
        <v>21.85028709667375</v>
      </c>
      <c r="X41" s="9">
        <v>5.6873578317906963</v>
      </c>
      <c r="Y41" s="9">
        <v>489.10353178400737</v>
      </c>
      <c r="Z41" s="9">
        <v>38.073091660455368</v>
      </c>
      <c r="AA41" s="9">
        <v>527.17662344446273</v>
      </c>
      <c r="AB41" s="9">
        <v>8.9034815189922476</v>
      </c>
      <c r="AC41" s="9">
        <v>325.53584615478292</v>
      </c>
      <c r="AD41" s="9">
        <v>0</v>
      </c>
      <c r="AE41" s="9">
        <v>0</v>
      </c>
      <c r="AF41" s="9">
        <v>861.61595111823794</v>
      </c>
      <c r="AG41" s="9">
        <v>18.500738066175469</v>
      </c>
      <c r="AH41" s="9">
        <v>0</v>
      </c>
      <c r="AI41" s="9">
        <v>24.976473261645019</v>
      </c>
      <c r="AJ41" s="9">
        <v>579.55731629127547</v>
      </c>
      <c r="AK41" s="9">
        <v>0</v>
      </c>
      <c r="AL41" s="9">
        <v>0</v>
      </c>
      <c r="AM41" s="9">
        <v>0</v>
      </c>
      <c r="AN41" s="9">
        <v>0</v>
      </c>
      <c r="AO41" s="9">
        <v>0</v>
      </c>
      <c r="AP41" s="9">
        <v>579.55731629127547</v>
      </c>
      <c r="AQ41" s="9">
        <v>773.99999935093081</v>
      </c>
      <c r="AR41" s="9">
        <v>166.715238</v>
      </c>
      <c r="AS41" s="9">
        <v>284.89646756692349</v>
      </c>
      <c r="AT41" s="9">
        <v>246.8233759064681</v>
      </c>
    </row>
    <row r="42" spans="1:46" x14ac:dyDescent="0.25">
      <c r="A42" s="8">
        <v>46022</v>
      </c>
      <c r="B42" s="7" t="s">
        <v>108</v>
      </c>
      <c r="C42" s="7" t="s">
        <v>109</v>
      </c>
      <c r="D42" s="7" t="s">
        <v>60</v>
      </c>
      <c r="E42" s="9">
        <v>634.32000700000003</v>
      </c>
      <c r="F42" s="10">
        <v>1.95</v>
      </c>
      <c r="G42" s="9">
        <v>97.014854</v>
      </c>
      <c r="H42" s="9">
        <v>12</v>
      </c>
      <c r="I42" s="9">
        <v>100</v>
      </c>
      <c r="J42" s="9">
        <v>12</v>
      </c>
      <c r="K42" s="11">
        <v>100</v>
      </c>
      <c r="L42" s="9">
        <v>0</v>
      </c>
      <c r="M42" s="9">
        <v>0</v>
      </c>
      <c r="N42" s="9">
        <v>0</v>
      </c>
      <c r="O42" s="9">
        <v>142.4906388620187</v>
      </c>
      <c r="P42" s="9">
        <v>142.4906388620187</v>
      </c>
      <c r="Q42" s="9">
        <v>0</v>
      </c>
      <c r="R42" s="9">
        <v>0</v>
      </c>
      <c r="S42" s="9">
        <v>0</v>
      </c>
      <c r="T42" s="9">
        <v>0</v>
      </c>
      <c r="U42" s="9">
        <v>0</v>
      </c>
      <c r="V42" s="9">
        <v>142.4906388620187</v>
      </c>
      <c r="W42" s="9">
        <v>28.74689463899772</v>
      </c>
      <c r="X42" s="9">
        <v>250.63674179250069</v>
      </c>
      <c r="Y42" s="9">
        <v>421.87427529351709</v>
      </c>
      <c r="Z42" s="9">
        <v>0</v>
      </c>
      <c r="AA42" s="9">
        <v>421.87427529351709</v>
      </c>
      <c r="AB42" s="9">
        <v>0</v>
      </c>
      <c r="AC42" s="9">
        <v>17.526682857328819</v>
      </c>
      <c r="AD42" s="9">
        <v>0</v>
      </c>
      <c r="AE42" s="9">
        <v>0</v>
      </c>
      <c r="AF42" s="9">
        <v>439.4009581508459</v>
      </c>
      <c r="AG42" s="9">
        <v>9.1138736627677606</v>
      </c>
      <c r="AH42" s="9">
        <v>0</v>
      </c>
      <c r="AI42" s="9">
        <v>16.825616165617081</v>
      </c>
      <c r="AJ42" s="9">
        <v>447.81376512190189</v>
      </c>
      <c r="AK42" s="9">
        <v>0</v>
      </c>
      <c r="AL42" s="9">
        <v>0</v>
      </c>
      <c r="AM42" s="9">
        <v>0</v>
      </c>
      <c r="AN42" s="9">
        <v>0</v>
      </c>
      <c r="AO42" s="9">
        <v>0</v>
      </c>
      <c r="AP42" s="9">
        <v>447.81376512190189</v>
      </c>
      <c r="AQ42" s="9">
        <v>773.99999935093092</v>
      </c>
      <c r="AR42" s="9">
        <v>204.765344</v>
      </c>
      <c r="AS42" s="9">
        <v>352.12572405741378</v>
      </c>
      <c r="AT42" s="9">
        <v>352.12572405741378</v>
      </c>
    </row>
    <row r="43" spans="1:46" x14ac:dyDescent="0.25">
      <c r="A43" s="8">
        <v>46022</v>
      </c>
      <c r="B43" s="7" t="s">
        <v>110</v>
      </c>
      <c r="C43" s="7" t="s">
        <v>111</v>
      </c>
      <c r="D43" s="7" t="s">
        <v>54</v>
      </c>
      <c r="E43" s="9">
        <v>1988</v>
      </c>
      <c r="F43" s="10">
        <v>1.55</v>
      </c>
      <c r="G43" s="9">
        <v>87.5</v>
      </c>
      <c r="H43" s="9">
        <v>26.962250000000001</v>
      </c>
      <c r="I43" s="9">
        <v>100</v>
      </c>
      <c r="J43" s="9">
        <v>26.962250000000001</v>
      </c>
      <c r="K43" s="11">
        <v>100</v>
      </c>
      <c r="L43" s="9">
        <v>31.594058770138449</v>
      </c>
      <c r="M43" s="9">
        <v>20.65838079914116</v>
      </c>
      <c r="N43" s="9">
        <v>1.6325402560955979</v>
      </c>
      <c r="O43" s="9">
        <v>33.304757363714003</v>
      </c>
      <c r="P43" s="9">
        <v>87.189737189089215</v>
      </c>
      <c r="Q43" s="9">
        <v>37.636475686983012</v>
      </c>
      <c r="R43" s="9">
        <v>171.20576385466561</v>
      </c>
      <c r="S43" s="9">
        <v>185.20795369618881</v>
      </c>
      <c r="T43" s="9">
        <v>50.083762843621933</v>
      </c>
      <c r="U43" s="9">
        <v>444.13395608145942</v>
      </c>
      <c r="V43" s="9">
        <v>531.32369327054857</v>
      </c>
      <c r="W43" s="9">
        <v>7.7514206255027354</v>
      </c>
      <c r="X43" s="9">
        <v>0</v>
      </c>
      <c r="Y43" s="9">
        <v>539.07511389605133</v>
      </c>
      <c r="Z43" s="9">
        <v>15.479999102225269</v>
      </c>
      <c r="AA43" s="9">
        <v>554.55511299827663</v>
      </c>
      <c r="AB43" s="9">
        <v>0</v>
      </c>
      <c r="AC43" s="9">
        <v>207.38092289495179</v>
      </c>
      <c r="AD43" s="9">
        <v>0</v>
      </c>
      <c r="AE43" s="9">
        <v>0</v>
      </c>
      <c r="AF43" s="9">
        <v>761.93603589322845</v>
      </c>
      <c r="AG43" s="9">
        <v>22.3154421704158</v>
      </c>
      <c r="AH43" s="9">
        <v>0</v>
      </c>
      <c r="AI43" s="9">
        <v>128.15740760934821</v>
      </c>
      <c r="AJ43" s="9">
        <v>705.02796277804055</v>
      </c>
      <c r="AK43" s="9">
        <v>437.40422770899301</v>
      </c>
      <c r="AL43" s="9">
        <v>0</v>
      </c>
      <c r="AM43" s="9">
        <v>0</v>
      </c>
      <c r="AN43" s="9">
        <v>0</v>
      </c>
      <c r="AO43" s="9">
        <v>0</v>
      </c>
      <c r="AP43" s="9">
        <v>1142.4321904870339</v>
      </c>
      <c r="AQ43" s="9">
        <v>773.99999935093081</v>
      </c>
      <c r="AR43" s="9">
        <v>460.07785000000001</v>
      </c>
      <c r="AS43" s="9">
        <v>234.9248854548795</v>
      </c>
      <c r="AT43" s="9">
        <v>219.44488635265421</v>
      </c>
    </row>
    <row r="44" spans="1:46" x14ac:dyDescent="0.25">
      <c r="A44" s="8">
        <v>46022</v>
      </c>
      <c r="B44" s="7" t="s">
        <v>175</v>
      </c>
      <c r="C44" s="7" t="s">
        <v>176</v>
      </c>
      <c r="D44" s="7" t="s">
        <v>68</v>
      </c>
      <c r="E44" s="9">
        <v>4200</v>
      </c>
      <c r="F44" s="10">
        <v>1.1204000000000001</v>
      </c>
      <c r="G44" s="9">
        <v>85</v>
      </c>
      <c r="H44" s="9">
        <v>40</v>
      </c>
      <c r="I44" s="9">
        <v>95</v>
      </c>
      <c r="J44" s="9">
        <v>38</v>
      </c>
      <c r="K44" s="11">
        <v>36.550395814428647</v>
      </c>
      <c r="L44" s="9">
        <v>79.205375903645773</v>
      </c>
      <c r="M44" s="9">
        <v>21.115635478669802</v>
      </c>
      <c r="N44" s="9">
        <v>18.01350134490465</v>
      </c>
      <c r="O44" s="9">
        <v>157.64629424466929</v>
      </c>
      <c r="P44" s="9">
        <v>275.98080697188948</v>
      </c>
      <c r="Q44" s="9">
        <v>28.075498178117481</v>
      </c>
      <c r="R44" s="9">
        <v>19.80404822389113</v>
      </c>
      <c r="S44" s="9">
        <v>21.462727260066941</v>
      </c>
      <c r="T44" s="9">
        <v>23.857255601665369</v>
      </c>
      <c r="U44" s="9">
        <v>93.199529263740914</v>
      </c>
      <c r="V44" s="9">
        <v>369.18033623563042</v>
      </c>
      <c r="W44" s="9">
        <v>4.8848789035937186</v>
      </c>
      <c r="X44" s="9">
        <v>182.2379313822795</v>
      </c>
      <c r="Y44" s="9">
        <v>556.30314652150355</v>
      </c>
      <c r="Z44" s="9">
        <v>0</v>
      </c>
      <c r="AA44" s="9">
        <v>556.30314652150355</v>
      </c>
      <c r="AB44" s="9">
        <v>0</v>
      </c>
      <c r="AC44" s="9">
        <v>81.909418706502336</v>
      </c>
      <c r="AD44" s="9">
        <v>0</v>
      </c>
      <c r="AE44" s="9">
        <v>0</v>
      </c>
      <c r="AF44" s="9">
        <v>638.21256522800604</v>
      </c>
      <c r="AG44" s="9">
        <v>9.0680072576960455</v>
      </c>
      <c r="AH44" s="9">
        <v>0</v>
      </c>
      <c r="AI44" s="9">
        <v>70.430439401601774</v>
      </c>
      <c r="AJ44" s="9">
        <v>635.80159318080155</v>
      </c>
      <c r="AK44" s="9">
        <v>0</v>
      </c>
      <c r="AL44" s="9">
        <v>0</v>
      </c>
      <c r="AM44" s="9">
        <v>0</v>
      </c>
      <c r="AN44" s="9">
        <v>0</v>
      </c>
      <c r="AO44" s="9">
        <v>0</v>
      </c>
      <c r="AP44" s="9">
        <v>635.80159318080155</v>
      </c>
      <c r="AQ44" s="9">
        <v>773.99999935093092</v>
      </c>
      <c r="AR44" s="9">
        <v>1561.407234</v>
      </c>
      <c r="AS44" s="9">
        <v>217.6968528294272</v>
      </c>
      <c r="AT44" s="9">
        <v>217.6968528294272</v>
      </c>
    </row>
    <row r="45" spans="1:46" x14ac:dyDescent="0.25">
      <c r="A45" s="8">
        <v>46022</v>
      </c>
      <c r="B45" s="7" t="s">
        <v>99</v>
      </c>
      <c r="C45" s="7" t="s">
        <v>100</v>
      </c>
      <c r="D45" s="7" t="s">
        <v>54</v>
      </c>
      <c r="E45" s="9">
        <v>2500</v>
      </c>
      <c r="F45" s="10">
        <v>1.0900000000000001</v>
      </c>
      <c r="G45" s="9">
        <v>85</v>
      </c>
      <c r="H45" s="9">
        <v>23.161999999999999</v>
      </c>
      <c r="I45" s="9">
        <v>100</v>
      </c>
      <c r="J45" s="9">
        <v>23.162500000000001</v>
      </c>
      <c r="K45" s="11">
        <v>92.785536841109817</v>
      </c>
      <c r="L45" s="9">
        <v>2.8781019522351161</v>
      </c>
      <c r="M45" s="9">
        <v>0.72661869434555804</v>
      </c>
      <c r="N45" s="9">
        <v>0.20168508864982329</v>
      </c>
      <c r="O45" s="9">
        <v>3.3367141927134489</v>
      </c>
      <c r="P45" s="9">
        <v>7.1431199279439461</v>
      </c>
      <c r="Q45" s="9">
        <v>4.742104804703545</v>
      </c>
      <c r="R45" s="9">
        <v>129.76969343614491</v>
      </c>
      <c r="S45" s="9">
        <v>15.58011518056826</v>
      </c>
      <c r="T45" s="9">
        <v>71.62205490680995</v>
      </c>
      <c r="U45" s="9">
        <v>221.7139683282266</v>
      </c>
      <c r="V45" s="9">
        <v>228.85708825617061</v>
      </c>
      <c r="W45" s="9">
        <v>3.8671491688439539</v>
      </c>
      <c r="X45" s="9">
        <v>146.21719364355999</v>
      </c>
      <c r="Y45" s="9">
        <v>378.9414310685745</v>
      </c>
      <c r="Z45" s="9">
        <v>41.989875853309393</v>
      </c>
      <c r="AA45" s="9">
        <v>420.9313069218839</v>
      </c>
      <c r="AB45" s="9">
        <v>0</v>
      </c>
      <c r="AC45" s="9">
        <v>80.596939144143704</v>
      </c>
      <c r="AD45" s="9">
        <v>0</v>
      </c>
      <c r="AE45" s="9">
        <v>0</v>
      </c>
      <c r="AF45" s="9">
        <v>501.52824606602758</v>
      </c>
      <c r="AG45" s="9">
        <v>2.7255355568795232</v>
      </c>
      <c r="AH45" s="9">
        <v>0</v>
      </c>
      <c r="AI45" s="9">
        <v>34.328565509705221</v>
      </c>
      <c r="AJ45" s="9">
        <v>457.98540798846869</v>
      </c>
      <c r="AK45" s="9">
        <v>0</v>
      </c>
      <c r="AL45" s="9">
        <v>0</v>
      </c>
      <c r="AM45" s="9">
        <v>0</v>
      </c>
      <c r="AN45" s="9">
        <v>0</v>
      </c>
      <c r="AO45" s="9">
        <v>0</v>
      </c>
      <c r="AP45" s="9">
        <v>457.98540798846869</v>
      </c>
      <c r="AQ45" s="9">
        <v>773.99999935093081</v>
      </c>
      <c r="AR45" s="9">
        <v>420.165797</v>
      </c>
      <c r="AS45" s="9">
        <v>395.0585682823563</v>
      </c>
      <c r="AT45" s="9">
        <v>353.06869242904691</v>
      </c>
    </row>
    <row r="46" spans="1:46" x14ac:dyDescent="0.25">
      <c r="A46" s="8">
        <v>46022</v>
      </c>
      <c r="B46" s="7" t="s">
        <v>177</v>
      </c>
      <c r="C46" s="7" t="s">
        <v>178</v>
      </c>
      <c r="D46" s="7" t="s">
        <v>65</v>
      </c>
      <c r="E46" s="9">
        <v>5600</v>
      </c>
      <c r="F46" s="10">
        <v>0.12</v>
      </c>
      <c r="G46" s="9">
        <v>19.940000000000001</v>
      </c>
      <c r="H46" s="9">
        <v>1.34</v>
      </c>
      <c r="I46" s="9">
        <v>95</v>
      </c>
      <c r="J46" s="9">
        <v>1.2729999999999999</v>
      </c>
      <c r="K46" s="11">
        <v>7.3109061232573396</v>
      </c>
      <c r="L46" s="9">
        <v>6.704294257795266</v>
      </c>
      <c r="M46" s="9">
        <v>105.8105078362764</v>
      </c>
      <c r="N46" s="9">
        <v>7.5967445315542914</v>
      </c>
      <c r="O46" s="9">
        <v>110.8473487048589</v>
      </c>
      <c r="P46" s="9">
        <v>230.95889533048481</v>
      </c>
      <c r="Q46" s="9">
        <v>2.927337920616444</v>
      </c>
      <c r="R46" s="9">
        <v>42.829654667138549</v>
      </c>
      <c r="S46" s="9">
        <v>256.08960380102019</v>
      </c>
      <c r="T46" s="9">
        <v>87.245086530597433</v>
      </c>
      <c r="U46" s="9">
        <v>389.09168291937272</v>
      </c>
      <c r="V46" s="9">
        <v>620.05057824985749</v>
      </c>
      <c r="W46" s="9">
        <v>2.7993900320252232</v>
      </c>
      <c r="X46" s="9">
        <v>83.764617000000015</v>
      </c>
      <c r="Y46" s="9">
        <v>706.61458528188268</v>
      </c>
      <c r="Z46" s="9">
        <v>2.0403234956110179</v>
      </c>
      <c r="AA46" s="9">
        <v>708.65490877749369</v>
      </c>
      <c r="AB46" s="9">
        <v>0</v>
      </c>
      <c r="AC46" s="9">
        <v>145.0465236404084</v>
      </c>
      <c r="AD46" s="9">
        <v>0</v>
      </c>
      <c r="AE46" s="9">
        <v>0</v>
      </c>
      <c r="AF46" s="9">
        <v>853.70143241790208</v>
      </c>
      <c r="AG46" s="9">
        <v>50.892704062934847</v>
      </c>
      <c r="AH46" s="9">
        <v>0</v>
      </c>
      <c r="AI46" s="9">
        <v>12.50509622722339</v>
      </c>
      <c r="AJ46" s="9">
        <v>772.0527090676519</v>
      </c>
      <c r="AK46" s="9">
        <v>0</v>
      </c>
      <c r="AL46" s="9">
        <v>0</v>
      </c>
      <c r="AM46" s="9">
        <v>0</v>
      </c>
      <c r="AN46" s="9">
        <v>0</v>
      </c>
      <c r="AO46" s="9">
        <v>0</v>
      </c>
      <c r="AP46" s="9">
        <v>772.0527090676519</v>
      </c>
      <c r="AQ46" s="9">
        <v>773.99999935093092</v>
      </c>
      <c r="AR46" s="9">
        <v>291.53248200000002</v>
      </c>
      <c r="AS46" s="9">
        <v>67.385414069048224</v>
      </c>
      <c r="AT46" s="9">
        <v>65.345090573437204</v>
      </c>
    </row>
    <row r="47" spans="1:46" x14ac:dyDescent="0.25">
      <c r="A47" s="8">
        <v>46022</v>
      </c>
      <c r="B47" s="7" t="s">
        <v>179</v>
      </c>
      <c r="C47" s="7" t="s">
        <v>180</v>
      </c>
      <c r="D47" s="7" t="s">
        <v>65</v>
      </c>
      <c r="E47" s="9">
        <v>8488</v>
      </c>
      <c r="F47" s="10">
        <v>0.01</v>
      </c>
      <c r="G47" s="9">
        <v>13</v>
      </c>
      <c r="H47" s="9">
        <v>0.11</v>
      </c>
      <c r="I47" s="9">
        <v>98</v>
      </c>
      <c r="J47" s="9">
        <v>0.108137</v>
      </c>
      <c r="K47" s="11">
        <v>3.2770856035536662</v>
      </c>
      <c r="L47" s="9">
        <v>0</v>
      </c>
      <c r="M47" s="9">
        <v>0</v>
      </c>
      <c r="N47" s="9">
        <v>0</v>
      </c>
      <c r="O47" s="9">
        <v>0</v>
      </c>
      <c r="P47" s="9">
        <v>0</v>
      </c>
      <c r="Q47" s="9">
        <v>26.513290338360871</v>
      </c>
      <c r="R47" s="9">
        <v>66.016327622245811</v>
      </c>
      <c r="S47" s="9">
        <v>269.5210018725669</v>
      </c>
      <c r="T47" s="9">
        <v>38.326584917053431</v>
      </c>
      <c r="U47" s="9">
        <v>400.37720475022701</v>
      </c>
      <c r="V47" s="9">
        <v>400.37720475022701</v>
      </c>
      <c r="W47" s="9">
        <v>0.1790309633959275</v>
      </c>
      <c r="X47" s="9">
        <v>143.27958553104989</v>
      </c>
      <c r="Y47" s="9">
        <v>543.83582124467296</v>
      </c>
      <c r="Z47" s="9">
        <v>0</v>
      </c>
      <c r="AA47" s="9">
        <v>543.83582124467296</v>
      </c>
      <c r="AB47" s="9">
        <v>0</v>
      </c>
      <c r="AC47" s="9">
        <v>40.966631302484018</v>
      </c>
      <c r="AD47" s="9">
        <v>0</v>
      </c>
      <c r="AE47" s="9">
        <v>0</v>
      </c>
      <c r="AF47" s="9">
        <v>584.80245254715692</v>
      </c>
      <c r="AG47" s="9">
        <v>5.9427004264434666</v>
      </c>
      <c r="AH47" s="9">
        <v>0</v>
      </c>
      <c r="AI47" s="9">
        <v>17.665220439888088</v>
      </c>
      <c r="AJ47" s="9">
        <v>567.44374211100455</v>
      </c>
      <c r="AK47" s="9">
        <v>0</v>
      </c>
      <c r="AL47" s="9">
        <v>0</v>
      </c>
      <c r="AM47" s="9">
        <v>0</v>
      </c>
      <c r="AN47" s="9">
        <v>0</v>
      </c>
      <c r="AO47" s="9">
        <v>0</v>
      </c>
      <c r="AP47" s="9">
        <v>567.44374211100455</v>
      </c>
      <c r="AQ47" s="9">
        <v>773.73516862716394</v>
      </c>
      <c r="AR47" s="9">
        <v>50.636485999999998</v>
      </c>
      <c r="AS47" s="9">
        <v>229.8993473824911</v>
      </c>
      <c r="AT47" s="9">
        <v>229.8993473824911</v>
      </c>
    </row>
    <row r="48" spans="1:46" x14ac:dyDescent="0.25">
      <c r="A48" s="8">
        <v>46022</v>
      </c>
      <c r="B48" s="7" t="s">
        <v>117</v>
      </c>
      <c r="C48" s="7" t="s">
        <v>118</v>
      </c>
      <c r="D48" s="7" t="s">
        <v>65</v>
      </c>
      <c r="E48" s="9">
        <v>445</v>
      </c>
      <c r="F48" s="10">
        <v>0.32</v>
      </c>
      <c r="G48" s="9">
        <v>71.900000000000006</v>
      </c>
      <c r="H48" s="9">
        <v>1.024</v>
      </c>
      <c r="I48" s="9">
        <v>82</v>
      </c>
      <c r="J48" s="9">
        <v>0.83956200000000003</v>
      </c>
      <c r="K48" s="11">
        <v>13.330863440949475</v>
      </c>
      <c r="L48" s="9">
        <v>81.391761868353598</v>
      </c>
      <c r="M48" s="9">
        <v>2.6082996418025779</v>
      </c>
      <c r="N48" s="9">
        <v>22.79072546900078</v>
      </c>
      <c r="O48" s="9">
        <v>287.68584247050262</v>
      </c>
      <c r="P48" s="9">
        <v>394.47662944965958</v>
      </c>
      <c r="Q48" s="9">
        <v>25.884073411390229</v>
      </c>
      <c r="R48" s="9">
        <v>5.5265731595881009</v>
      </c>
      <c r="S48" s="9">
        <v>19.08992616240802</v>
      </c>
      <c r="T48" s="9">
        <v>32.136834451580746</v>
      </c>
      <c r="U48" s="9">
        <v>82.637407184967117</v>
      </c>
      <c r="V48" s="9">
        <v>477.1140366346267</v>
      </c>
      <c r="W48" s="9">
        <v>5.0069575884815354</v>
      </c>
      <c r="X48" s="9">
        <v>275.04668813504458</v>
      </c>
      <c r="Y48" s="9">
        <v>757.16768235815277</v>
      </c>
      <c r="Z48" s="9">
        <v>29.347461066140362</v>
      </c>
      <c r="AA48" s="9">
        <v>786.51514342429311</v>
      </c>
      <c r="AB48" s="9">
        <v>0.79102230687817499</v>
      </c>
      <c r="AC48" s="9">
        <v>189.6692984888779</v>
      </c>
      <c r="AD48" s="9">
        <v>0</v>
      </c>
      <c r="AE48" s="9">
        <v>0</v>
      </c>
      <c r="AF48" s="9">
        <v>976.97546422004928</v>
      </c>
      <c r="AG48" s="9">
        <v>23.855700389470631</v>
      </c>
      <c r="AH48" s="9">
        <v>0</v>
      </c>
      <c r="AI48" s="9">
        <v>158.45061361286031</v>
      </c>
      <c r="AJ48" s="9">
        <v>969.61247973350225</v>
      </c>
      <c r="AK48" s="9">
        <v>2304.736210825336</v>
      </c>
      <c r="AL48" s="9">
        <v>0</v>
      </c>
      <c r="AM48" s="9">
        <v>0</v>
      </c>
      <c r="AN48" s="9">
        <v>0</v>
      </c>
      <c r="AO48" s="9">
        <v>0</v>
      </c>
      <c r="AP48" s="9">
        <v>3274.3486905588379</v>
      </c>
      <c r="AQ48" s="9">
        <v>774.03503190358958</v>
      </c>
      <c r="AR48" s="9">
        <v>81.494870000000006</v>
      </c>
      <c r="AS48" s="9">
        <v>16.867349545436859</v>
      </c>
      <c r="AT48" s="9">
        <v>-12.480111520703501</v>
      </c>
    </row>
    <row r="49" spans="1:46" x14ac:dyDescent="0.25">
      <c r="A49" s="8">
        <v>46022</v>
      </c>
      <c r="B49" s="7" t="s">
        <v>119</v>
      </c>
      <c r="C49" s="7" t="s">
        <v>120</v>
      </c>
      <c r="D49" s="7" t="s">
        <v>121</v>
      </c>
      <c r="E49" s="9">
        <v>1350</v>
      </c>
      <c r="F49" s="10">
        <v>1.8</v>
      </c>
      <c r="G49" s="9">
        <v>85</v>
      </c>
      <c r="H49" s="9">
        <v>20.655000000000001</v>
      </c>
      <c r="I49" s="9">
        <v>100</v>
      </c>
      <c r="J49" s="9">
        <v>20.655000000000001</v>
      </c>
      <c r="K49" s="11">
        <v>99.999999884281038</v>
      </c>
      <c r="L49" s="9">
        <v>70.173633062064553</v>
      </c>
      <c r="M49" s="9">
        <v>210.55726365680789</v>
      </c>
      <c r="N49" s="9">
        <v>8.8011742958219091E-2</v>
      </c>
      <c r="O49" s="9">
        <v>11.481306338905849</v>
      </c>
      <c r="P49" s="9">
        <v>292.30021480073651</v>
      </c>
      <c r="Q49" s="9">
        <v>30.11715773275867</v>
      </c>
      <c r="R49" s="9">
        <v>44.725704781530482</v>
      </c>
      <c r="S49" s="9">
        <v>34.932494327106419</v>
      </c>
      <c r="T49" s="9">
        <v>33.996994158608111</v>
      </c>
      <c r="U49" s="9">
        <v>143.77235100000371</v>
      </c>
      <c r="V49" s="9">
        <v>436.07256580074022</v>
      </c>
      <c r="W49" s="9">
        <v>0</v>
      </c>
      <c r="X49" s="9">
        <v>165.83410699999999</v>
      </c>
      <c r="Y49" s="9">
        <v>601.90667280074024</v>
      </c>
      <c r="Z49" s="9">
        <v>15.05992721901049</v>
      </c>
      <c r="AA49" s="9">
        <v>616.96660001975067</v>
      </c>
      <c r="AB49" s="9">
        <v>0</v>
      </c>
      <c r="AC49" s="9">
        <v>115.02698703740219</v>
      </c>
      <c r="AD49" s="9">
        <v>0</v>
      </c>
      <c r="AE49" s="9">
        <v>0</v>
      </c>
      <c r="AF49" s="9">
        <v>731.99358705715292</v>
      </c>
      <c r="AG49" s="9">
        <v>24.730638652969411</v>
      </c>
      <c r="AH49" s="9">
        <v>0</v>
      </c>
      <c r="AI49" s="9">
        <v>54.526990958924813</v>
      </c>
      <c r="AJ49" s="9">
        <v>696.2242296316449</v>
      </c>
      <c r="AK49" s="9">
        <v>0</v>
      </c>
      <c r="AL49" s="9">
        <v>0</v>
      </c>
      <c r="AM49" s="9">
        <v>0</v>
      </c>
      <c r="AN49" s="9">
        <v>0</v>
      </c>
      <c r="AO49" s="9">
        <v>0</v>
      </c>
      <c r="AP49" s="9">
        <v>696.2242296316449</v>
      </c>
      <c r="AQ49" s="9">
        <v>773.99999935093081</v>
      </c>
      <c r="AR49" s="9">
        <v>352.45235700000001</v>
      </c>
      <c r="AS49" s="9">
        <v>172.0933265501906</v>
      </c>
      <c r="AT49" s="9">
        <v>157.03339933118011</v>
      </c>
    </row>
    <row r="50" spans="1:46" x14ac:dyDescent="0.25">
      <c r="A50" s="8">
        <v>46022</v>
      </c>
      <c r="B50" s="7" t="s">
        <v>112</v>
      </c>
      <c r="C50" s="7" t="s">
        <v>113</v>
      </c>
      <c r="D50" s="7" t="s">
        <v>68</v>
      </c>
      <c r="E50" s="9">
        <v>1350</v>
      </c>
      <c r="F50" s="10">
        <v>3</v>
      </c>
      <c r="G50" s="9">
        <v>90</v>
      </c>
      <c r="H50" s="9">
        <v>36.450000000000003</v>
      </c>
      <c r="I50" s="9">
        <v>98</v>
      </c>
      <c r="J50" s="9">
        <v>35.720999999999997</v>
      </c>
      <c r="K50" s="11">
        <v>75.383895575052307</v>
      </c>
      <c r="L50" s="9">
        <v>112.2751210878082</v>
      </c>
      <c r="M50" s="9">
        <v>8.9773162526367543</v>
      </c>
      <c r="N50" s="9">
        <v>15.3143921592245</v>
      </c>
      <c r="O50" s="9">
        <v>214.57966762290991</v>
      </c>
      <c r="P50" s="9">
        <v>351.14649712257938</v>
      </c>
      <c r="Q50" s="9">
        <v>13.23548574925182</v>
      </c>
      <c r="R50" s="9">
        <v>12.209460559399259</v>
      </c>
      <c r="S50" s="9">
        <v>8.381261509071777</v>
      </c>
      <c r="T50" s="9">
        <v>35.316916507709948</v>
      </c>
      <c r="U50" s="9">
        <v>69.143124325432808</v>
      </c>
      <c r="V50" s="9">
        <v>420.28962144801221</v>
      </c>
      <c r="W50" s="9">
        <v>38.867526319875822</v>
      </c>
      <c r="X50" s="9">
        <v>101.6358620962129</v>
      </c>
      <c r="Y50" s="9">
        <v>560.7930098641009</v>
      </c>
      <c r="Z50" s="9">
        <v>30.48106908531318</v>
      </c>
      <c r="AA50" s="9">
        <v>591.27407894941405</v>
      </c>
      <c r="AB50" s="9">
        <v>0</v>
      </c>
      <c r="AC50" s="9">
        <v>165.115524977788</v>
      </c>
      <c r="AD50" s="9">
        <v>0</v>
      </c>
      <c r="AE50" s="9">
        <v>0</v>
      </c>
      <c r="AF50" s="9">
        <v>756.38960392720207</v>
      </c>
      <c r="AG50" s="9">
        <v>2.0696550231626771</v>
      </c>
      <c r="AH50" s="9">
        <v>0</v>
      </c>
      <c r="AI50" s="9">
        <v>43.497074396810604</v>
      </c>
      <c r="AJ50" s="9">
        <v>636.84080836938745</v>
      </c>
      <c r="AK50" s="9">
        <v>0</v>
      </c>
      <c r="AL50" s="9">
        <v>0</v>
      </c>
      <c r="AM50" s="9">
        <v>0</v>
      </c>
      <c r="AN50" s="9">
        <v>0</v>
      </c>
      <c r="AO50" s="9">
        <v>0</v>
      </c>
      <c r="AP50" s="9">
        <v>636.84080836938745</v>
      </c>
      <c r="AQ50" s="9">
        <v>773.99999935093092</v>
      </c>
      <c r="AR50" s="9">
        <v>800.76637200000005</v>
      </c>
      <c r="AS50" s="9">
        <v>213.20698948683</v>
      </c>
      <c r="AT50" s="9">
        <v>182.72592040151679</v>
      </c>
    </row>
    <row r="51" spans="1:46" x14ac:dyDescent="0.25">
      <c r="A51" s="8">
        <v>46022</v>
      </c>
      <c r="B51" s="7" t="s">
        <v>83</v>
      </c>
      <c r="C51" s="7" t="s">
        <v>84</v>
      </c>
      <c r="D51" s="7" t="s">
        <v>85</v>
      </c>
      <c r="E51" s="9">
        <v>3450</v>
      </c>
      <c r="F51" s="10">
        <v>1</v>
      </c>
      <c r="G51" s="9">
        <v>88</v>
      </c>
      <c r="H51" s="9">
        <v>30.36</v>
      </c>
      <c r="I51" s="9">
        <v>100</v>
      </c>
      <c r="J51" s="9">
        <v>30.36</v>
      </c>
      <c r="K51" s="11">
        <v>90.295698333423104</v>
      </c>
      <c r="L51" s="9">
        <v>30.102131157986339</v>
      </c>
      <c r="M51" s="9">
        <v>21.662683132413431</v>
      </c>
      <c r="N51" s="9">
        <v>1.214676654083586</v>
      </c>
      <c r="O51" s="9">
        <v>42.76273670673897</v>
      </c>
      <c r="P51" s="9">
        <v>95.742227651222322</v>
      </c>
      <c r="Q51" s="9">
        <v>26.345109858665641</v>
      </c>
      <c r="R51" s="9">
        <v>33.433236971595981</v>
      </c>
      <c r="S51" s="9">
        <v>137.9644797428968</v>
      </c>
      <c r="T51" s="9">
        <v>58.06292824049072</v>
      </c>
      <c r="U51" s="9">
        <v>255.80575481364909</v>
      </c>
      <c r="V51" s="9">
        <v>351.54798246487138</v>
      </c>
      <c r="W51" s="9">
        <v>3.6756698554245322</v>
      </c>
      <c r="X51" s="9">
        <v>193.36687599999999</v>
      </c>
      <c r="Y51" s="9">
        <v>548.59052832029602</v>
      </c>
      <c r="Z51" s="9">
        <v>14.0218415608256</v>
      </c>
      <c r="AA51" s="9">
        <v>562.61236988112159</v>
      </c>
      <c r="AB51" s="9">
        <v>0.4839028428208475</v>
      </c>
      <c r="AC51" s="9">
        <v>116.0453006436866</v>
      </c>
      <c r="AD51" s="9">
        <v>0</v>
      </c>
      <c r="AE51" s="9">
        <v>0</v>
      </c>
      <c r="AF51" s="9">
        <v>679.14157336762901</v>
      </c>
      <c r="AG51" s="9">
        <v>24.687785673858581</v>
      </c>
      <c r="AH51" s="9">
        <v>0</v>
      </c>
      <c r="AI51" s="9">
        <v>10.5226644248184</v>
      </c>
      <c r="AJ51" s="9">
        <v>598.30672282261935</v>
      </c>
      <c r="AK51" s="9">
        <v>0</v>
      </c>
      <c r="AL51" s="9">
        <v>0</v>
      </c>
      <c r="AM51" s="9">
        <v>0</v>
      </c>
      <c r="AN51" s="9">
        <v>0</v>
      </c>
      <c r="AO51" s="9">
        <v>0</v>
      </c>
      <c r="AP51" s="9">
        <v>598.30672282261935</v>
      </c>
      <c r="AQ51" s="9">
        <v>773.99999935093092</v>
      </c>
      <c r="AR51" s="9">
        <v>593.93245000000002</v>
      </c>
      <c r="AS51" s="9">
        <v>225.4094710306349</v>
      </c>
      <c r="AT51" s="9">
        <v>211.3876294698093</v>
      </c>
    </row>
    <row r="52" spans="1:46" x14ac:dyDescent="0.25">
      <c r="A52" s="8">
        <v>46022</v>
      </c>
      <c r="B52" s="7" t="s">
        <v>114</v>
      </c>
      <c r="C52" s="7" t="s">
        <v>115</v>
      </c>
      <c r="D52" s="7" t="s">
        <v>116</v>
      </c>
      <c r="E52" s="9">
        <v>2211</v>
      </c>
      <c r="F52" s="10">
        <v>1.1000000000000001</v>
      </c>
      <c r="G52" s="9">
        <v>90.456810000000004</v>
      </c>
      <c r="H52" s="9">
        <v>22</v>
      </c>
      <c r="I52" s="9">
        <v>100</v>
      </c>
      <c r="J52" s="9">
        <v>22</v>
      </c>
      <c r="K52" s="11">
        <v>90.505399599750291</v>
      </c>
      <c r="L52" s="9">
        <v>17.593911185740659</v>
      </c>
      <c r="M52" s="9">
        <v>8.6209744554783807</v>
      </c>
      <c r="N52" s="9">
        <v>1.2812697220315279</v>
      </c>
      <c r="O52" s="9">
        <v>39.559333818312858</v>
      </c>
      <c r="P52" s="9">
        <v>67.055489181563445</v>
      </c>
      <c r="Q52" s="9">
        <v>21.410758970056971</v>
      </c>
      <c r="R52" s="9">
        <v>126.99936725506841</v>
      </c>
      <c r="S52" s="9">
        <v>20.61630036468269</v>
      </c>
      <c r="T52" s="9">
        <v>55.617861079353517</v>
      </c>
      <c r="U52" s="9">
        <v>224.6442876691616</v>
      </c>
      <c r="V52" s="9">
        <v>291.69977685072502</v>
      </c>
      <c r="W52" s="9">
        <v>2.8808816027498931</v>
      </c>
      <c r="X52" s="9">
        <v>245.93606600000001</v>
      </c>
      <c r="Y52" s="9">
        <v>540.51672445347492</v>
      </c>
      <c r="Z52" s="9">
        <v>0</v>
      </c>
      <c r="AA52" s="9">
        <v>540.51672445347492</v>
      </c>
      <c r="AB52" s="9">
        <v>0</v>
      </c>
      <c r="AC52" s="9">
        <v>69.383287846661304</v>
      </c>
      <c r="AD52" s="9">
        <v>0</v>
      </c>
      <c r="AE52" s="9">
        <v>0</v>
      </c>
      <c r="AF52" s="9">
        <v>609.90001230013615</v>
      </c>
      <c r="AG52" s="9">
        <v>10.78496603438003</v>
      </c>
      <c r="AH52" s="9">
        <v>0</v>
      </c>
      <c r="AI52" s="9">
        <v>35.949890755527051</v>
      </c>
      <c r="AJ52" s="9">
        <v>587.25158124338202</v>
      </c>
      <c r="AK52" s="9">
        <v>0</v>
      </c>
      <c r="AL52" s="9">
        <v>0</v>
      </c>
      <c r="AM52" s="9">
        <v>0</v>
      </c>
      <c r="AN52" s="9">
        <v>0</v>
      </c>
      <c r="AO52" s="9">
        <v>0</v>
      </c>
      <c r="AP52" s="9">
        <v>587.25158124338202</v>
      </c>
      <c r="AQ52" s="9">
        <v>773.99999935093092</v>
      </c>
      <c r="AR52" s="9">
        <v>415.28477800000002</v>
      </c>
      <c r="AS52" s="9">
        <v>233.483274897456</v>
      </c>
      <c r="AT52" s="9">
        <v>233.483274897456</v>
      </c>
    </row>
    <row r="53" spans="1:46" x14ac:dyDescent="0.25">
      <c r="A53" s="8">
        <v>46022</v>
      </c>
      <c r="B53" s="7" t="s">
        <v>122</v>
      </c>
      <c r="C53" s="7" t="s">
        <v>123</v>
      </c>
      <c r="D53" s="7" t="s">
        <v>65</v>
      </c>
      <c r="E53" s="9">
        <v>7200</v>
      </c>
      <c r="F53" s="10">
        <v>4.1000000000000002E-2</v>
      </c>
      <c r="G53" s="9">
        <v>71.14</v>
      </c>
      <c r="H53" s="9">
        <v>2.1</v>
      </c>
      <c r="I53" s="9">
        <v>100</v>
      </c>
      <c r="J53" s="9">
        <v>2.1</v>
      </c>
      <c r="K53" s="11">
        <v>3.125047600070753</v>
      </c>
      <c r="L53" s="9">
        <v>134.4745525898463</v>
      </c>
      <c r="M53" s="9">
        <v>0.88775534915810883</v>
      </c>
      <c r="N53" s="9">
        <v>35.488416900964758</v>
      </c>
      <c r="O53" s="9">
        <v>215.25114285777011</v>
      </c>
      <c r="P53" s="9">
        <v>386.10186769773929</v>
      </c>
      <c r="Q53" s="9">
        <v>53.959434766384348</v>
      </c>
      <c r="R53" s="9">
        <v>8.4266871481085914</v>
      </c>
      <c r="S53" s="9">
        <v>67.682930296679231</v>
      </c>
      <c r="T53" s="9">
        <v>21.316591943165658</v>
      </c>
      <c r="U53" s="9">
        <v>151.3856441543378</v>
      </c>
      <c r="V53" s="9">
        <v>537.48751185207709</v>
      </c>
      <c r="W53" s="9">
        <v>0.57007709423917574</v>
      </c>
      <c r="X53" s="9">
        <v>232.04025100000001</v>
      </c>
      <c r="Y53" s="9">
        <v>770.0978399463163</v>
      </c>
      <c r="Z53" s="9">
        <v>2.9712275067242429</v>
      </c>
      <c r="AA53" s="9">
        <v>773.06906745304047</v>
      </c>
      <c r="AB53" s="9">
        <v>0</v>
      </c>
      <c r="AC53" s="9">
        <v>76.072166344305998</v>
      </c>
      <c r="AD53" s="9">
        <v>0</v>
      </c>
      <c r="AE53" s="9">
        <v>0</v>
      </c>
      <c r="AF53" s="9">
        <v>849.14123379734644</v>
      </c>
      <c r="AG53" s="9">
        <v>30.690326346204259</v>
      </c>
      <c r="AH53" s="9">
        <v>0.57285700960203101</v>
      </c>
      <c r="AI53" s="9">
        <v>71.099271587348497</v>
      </c>
      <c r="AJ53" s="9">
        <v>875.43152239619531</v>
      </c>
      <c r="AK53" s="9">
        <v>0</v>
      </c>
      <c r="AL53" s="9">
        <v>0</v>
      </c>
      <c r="AM53" s="9">
        <v>0</v>
      </c>
      <c r="AN53" s="9">
        <v>0</v>
      </c>
      <c r="AO53" s="9">
        <v>0</v>
      </c>
      <c r="AP53" s="9">
        <v>875.43152239619531</v>
      </c>
      <c r="AQ53" s="9">
        <v>773.99999935093081</v>
      </c>
      <c r="AR53" s="9">
        <v>876.31293300000004</v>
      </c>
      <c r="AS53" s="9">
        <v>3.9021594046145669</v>
      </c>
      <c r="AT53" s="9">
        <v>0.93093189789032404</v>
      </c>
    </row>
    <row r="54" spans="1:46" x14ac:dyDescent="0.25">
      <c r="A54" s="8">
        <v>46022</v>
      </c>
      <c r="B54" s="7" t="s">
        <v>148</v>
      </c>
      <c r="C54" s="7" t="s">
        <v>149</v>
      </c>
      <c r="D54" s="7" t="s">
        <v>54</v>
      </c>
      <c r="E54" s="9">
        <v>6600</v>
      </c>
      <c r="F54" s="10">
        <v>0.3</v>
      </c>
      <c r="G54" s="9">
        <v>80.8</v>
      </c>
      <c r="H54" s="9">
        <v>15.997999999999999</v>
      </c>
      <c r="I54" s="9">
        <v>85</v>
      </c>
      <c r="J54" s="9">
        <v>13.59864</v>
      </c>
      <c r="K54" s="11">
        <v>80.201597790524332</v>
      </c>
      <c r="L54" s="9">
        <v>24.47876643713569</v>
      </c>
      <c r="M54" s="9">
        <v>34.956996754686386</v>
      </c>
      <c r="N54" s="9">
        <v>1.9741749442943479</v>
      </c>
      <c r="O54" s="9">
        <v>53.93460355270701</v>
      </c>
      <c r="P54" s="9">
        <v>115.3445416888234</v>
      </c>
      <c r="Q54" s="9">
        <v>11.04962023587122</v>
      </c>
      <c r="R54" s="9">
        <v>28.70521911923117</v>
      </c>
      <c r="S54" s="9">
        <v>30.23163285196231</v>
      </c>
      <c r="T54" s="9">
        <v>56.845175021262172</v>
      </c>
      <c r="U54" s="9">
        <v>126.8316472283269</v>
      </c>
      <c r="V54" s="9">
        <v>242.17618891715031</v>
      </c>
      <c r="W54" s="9">
        <v>7.8058348153277359</v>
      </c>
      <c r="X54" s="9">
        <v>116.0197837302113</v>
      </c>
      <c r="Y54" s="9">
        <v>366.00180746268933</v>
      </c>
      <c r="Z54" s="9">
        <v>40.514313536399008</v>
      </c>
      <c r="AA54" s="9">
        <v>406.51612099908829</v>
      </c>
      <c r="AB54" s="9">
        <v>2.6751790208989918</v>
      </c>
      <c r="AC54" s="9">
        <v>189.53087634199721</v>
      </c>
      <c r="AD54" s="9">
        <v>0</v>
      </c>
      <c r="AE54" s="9">
        <v>0</v>
      </c>
      <c r="AF54" s="9">
        <v>598.72217636198445</v>
      </c>
      <c r="AG54" s="9">
        <v>20.063869141041231</v>
      </c>
      <c r="AH54" s="9">
        <v>0</v>
      </c>
      <c r="AI54" s="9">
        <v>96.870472035620296</v>
      </c>
      <c r="AJ54" s="9">
        <v>526.12564119664876</v>
      </c>
      <c r="AK54" s="9">
        <v>0</v>
      </c>
      <c r="AL54" s="9">
        <v>0</v>
      </c>
      <c r="AM54" s="9">
        <v>0</v>
      </c>
      <c r="AN54" s="9">
        <v>0</v>
      </c>
      <c r="AO54" s="9">
        <v>0</v>
      </c>
      <c r="AP54" s="9">
        <v>526.12564119664876</v>
      </c>
      <c r="AQ54" s="9">
        <v>773.99772265267472</v>
      </c>
      <c r="AR54" s="9">
        <v>285.59869200000003</v>
      </c>
      <c r="AS54" s="9">
        <v>407.9959151899854</v>
      </c>
      <c r="AT54" s="9">
        <v>367.48160165358638</v>
      </c>
    </row>
    <row r="55" spans="1:46" x14ac:dyDescent="0.25">
      <c r="A55" s="8">
        <v>46022</v>
      </c>
      <c r="B55" s="7" t="s">
        <v>124</v>
      </c>
      <c r="C55" s="7" t="s">
        <v>125</v>
      </c>
      <c r="D55" s="7" t="s">
        <v>126</v>
      </c>
      <c r="E55" s="9">
        <v>2400</v>
      </c>
      <c r="F55" s="10">
        <v>2.35</v>
      </c>
      <c r="G55" s="9">
        <v>83.12</v>
      </c>
      <c r="H55" s="9">
        <v>46.881</v>
      </c>
      <c r="I55" s="9">
        <v>100</v>
      </c>
      <c r="J55" s="9">
        <v>46.880823999999997</v>
      </c>
      <c r="K55" s="11">
        <v>100</v>
      </c>
      <c r="L55" s="9">
        <v>33.383524400466442</v>
      </c>
      <c r="M55" s="9">
        <v>35.419806493263721</v>
      </c>
      <c r="N55" s="9">
        <v>22.39456792873516</v>
      </c>
      <c r="O55" s="9">
        <v>30.75836901723417</v>
      </c>
      <c r="P55" s="9">
        <v>121.95626783969951</v>
      </c>
      <c r="Q55" s="9">
        <v>13.80486398555475</v>
      </c>
      <c r="R55" s="9">
        <v>70.652602077600577</v>
      </c>
      <c r="S55" s="9">
        <v>108.52528145195321</v>
      </c>
      <c r="T55" s="9">
        <v>28.822989350268291</v>
      </c>
      <c r="U55" s="9">
        <v>221.80573686537679</v>
      </c>
      <c r="V55" s="9">
        <v>343.76200470507632</v>
      </c>
      <c r="W55" s="9">
        <v>18.754581247688499</v>
      </c>
      <c r="X55" s="9">
        <v>335.42452828388849</v>
      </c>
      <c r="Y55" s="9">
        <v>697.94111423665345</v>
      </c>
      <c r="Z55" s="9">
        <v>3.036548817171135</v>
      </c>
      <c r="AA55" s="9">
        <v>700.97766305382447</v>
      </c>
      <c r="AB55" s="9">
        <v>0</v>
      </c>
      <c r="AC55" s="9">
        <v>30.226433325767751</v>
      </c>
      <c r="AD55" s="9">
        <v>0</v>
      </c>
      <c r="AE55" s="9">
        <v>0</v>
      </c>
      <c r="AF55" s="9">
        <v>731.20409637959233</v>
      </c>
      <c r="AG55" s="9">
        <v>22.277699500528652</v>
      </c>
      <c r="AH55" s="9">
        <v>0</v>
      </c>
      <c r="AI55" s="9">
        <v>17.35288104518013</v>
      </c>
      <c r="AJ55" s="9">
        <v>740.60824359953335</v>
      </c>
      <c r="AK55" s="9">
        <v>0</v>
      </c>
      <c r="AL55" s="9">
        <v>0</v>
      </c>
      <c r="AM55" s="9">
        <v>0</v>
      </c>
      <c r="AN55" s="9">
        <v>0</v>
      </c>
      <c r="AO55" s="9">
        <v>0</v>
      </c>
      <c r="AP55" s="9">
        <v>740.60824359953335</v>
      </c>
      <c r="AQ55" s="9">
        <v>773.99960311216205</v>
      </c>
      <c r="AR55" s="9">
        <v>799.96361400000001</v>
      </c>
      <c r="AS55" s="9">
        <v>76.058488875508687</v>
      </c>
      <c r="AT55" s="9">
        <v>73.021940058337563</v>
      </c>
    </row>
    <row r="56" spans="1:46" x14ac:dyDescent="0.25">
      <c r="A56" s="8">
        <v>46022</v>
      </c>
      <c r="B56" s="7" t="s">
        <v>127</v>
      </c>
      <c r="C56" s="7" t="s">
        <v>128</v>
      </c>
      <c r="D56" s="7" t="s">
        <v>121</v>
      </c>
      <c r="E56" s="9">
        <v>5400</v>
      </c>
      <c r="F56" s="10">
        <v>1.7</v>
      </c>
      <c r="G56" s="9">
        <v>88</v>
      </c>
      <c r="H56" s="9">
        <v>80.783996999999999</v>
      </c>
      <c r="I56" s="9">
        <v>91.75</v>
      </c>
      <c r="J56" s="9">
        <v>74.119324000000006</v>
      </c>
      <c r="K56" s="11">
        <v>99.999995965780926</v>
      </c>
      <c r="L56" s="9">
        <v>25.376156631639361</v>
      </c>
      <c r="M56" s="9">
        <v>22.17522134954628</v>
      </c>
      <c r="N56" s="9">
        <v>0.32052338055305168</v>
      </c>
      <c r="O56" s="9">
        <v>25.215624974782571</v>
      </c>
      <c r="P56" s="9">
        <v>73.087526336521265</v>
      </c>
      <c r="Q56" s="9">
        <v>28.283086894211198</v>
      </c>
      <c r="R56" s="9">
        <v>68.334804689297542</v>
      </c>
      <c r="S56" s="9">
        <v>25.144782568044072</v>
      </c>
      <c r="T56" s="9">
        <v>187.4504057041303</v>
      </c>
      <c r="U56" s="9">
        <v>309.21307985568308</v>
      </c>
      <c r="V56" s="9">
        <v>382.30060619220438</v>
      </c>
      <c r="W56" s="9">
        <v>0.6338186792041266</v>
      </c>
      <c r="X56" s="9">
        <v>164.14334099999999</v>
      </c>
      <c r="Y56" s="9">
        <v>547.07776587140847</v>
      </c>
      <c r="Z56" s="9">
        <v>39.706738498895113</v>
      </c>
      <c r="AA56" s="9">
        <v>586.78450437030358</v>
      </c>
      <c r="AB56" s="9">
        <v>1.375124005770932</v>
      </c>
      <c r="AC56" s="9">
        <v>86.570348449050641</v>
      </c>
      <c r="AD56" s="9">
        <v>0</v>
      </c>
      <c r="AE56" s="9">
        <v>0</v>
      </c>
      <c r="AF56" s="9">
        <v>674.72997682512505</v>
      </c>
      <c r="AG56" s="9">
        <v>3.142121971219793</v>
      </c>
      <c r="AH56" s="9">
        <v>0</v>
      </c>
      <c r="AI56" s="9">
        <v>52.934621463649783</v>
      </c>
      <c r="AJ56" s="9">
        <v>644.23637181094409</v>
      </c>
      <c r="AK56" s="9">
        <v>0</v>
      </c>
      <c r="AL56" s="9">
        <v>0</v>
      </c>
      <c r="AM56" s="9">
        <v>0</v>
      </c>
      <c r="AN56" s="9">
        <v>0</v>
      </c>
      <c r="AO56" s="9">
        <v>0</v>
      </c>
      <c r="AP56" s="9">
        <v>644.23637181094409</v>
      </c>
      <c r="AQ56" s="9">
        <v>773.99999935093081</v>
      </c>
      <c r="AR56" s="9">
        <v>1264.7558100000001</v>
      </c>
      <c r="AS56" s="9">
        <v>226.9222334795223</v>
      </c>
      <c r="AT56" s="9">
        <v>187.2154949806272</v>
      </c>
    </row>
    <row r="57" spans="1:46" x14ac:dyDescent="0.25">
      <c r="A57" s="8">
        <v>46022</v>
      </c>
      <c r="B57" s="7" t="s">
        <v>129</v>
      </c>
      <c r="C57" s="7" t="s">
        <v>130</v>
      </c>
      <c r="D57" s="7" t="s">
        <v>57</v>
      </c>
      <c r="E57" s="9">
        <v>713.73717699999997</v>
      </c>
      <c r="F57" s="10">
        <v>0.06</v>
      </c>
      <c r="G57" s="9">
        <v>92</v>
      </c>
      <c r="H57" s="9">
        <v>0.39400000000000002</v>
      </c>
      <c r="I57" s="9">
        <v>100</v>
      </c>
      <c r="J57" s="9">
        <v>0.39398300000000003</v>
      </c>
      <c r="K57" s="11">
        <v>0.948100279856535</v>
      </c>
      <c r="L57" s="9">
        <v>90.192838041339954</v>
      </c>
      <c r="M57" s="9">
        <v>11.702298401071831</v>
      </c>
      <c r="N57" s="9">
        <v>14.95041570664287</v>
      </c>
      <c r="O57" s="9">
        <v>97.493955887390825</v>
      </c>
      <c r="P57" s="9">
        <v>214.33950803644549</v>
      </c>
      <c r="Q57" s="9">
        <v>18.841415580228531</v>
      </c>
      <c r="R57" s="9">
        <v>15.225557952796841</v>
      </c>
      <c r="S57" s="9">
        <v>17.78419370753166</v>
      </c>
      <c r="T57" s="9">
        <v>21.91321588452443</v>
      </c>
      <c r="U57" s="9">
        <v>73.764383125081466</v>
      </c>
      <c r="V57" s="9">
        <v>288.10389116152692</v>
      </c>
      <c r="W57" s="9">
        <v>0</v>
      </c>
      <c r="X57" s="9">
        <v>465.13055657507323</v>
      </c>
      <c r="Y57" s="9">
        <v>753.23444773660015</v>
      </c>
      <c r="Z57" s="9">
        <v>0</v>
      </c>
      <c r="AA57" s="9">
        <v>753.23444773660015</v>
      </c>
      <c r="AB57" s="9">
        <v>0</v>
      </c>
      <c r="AC57" s="9">
        <v>34.662873811921301</v>
      </c>
      <c r="AD57" s="9">
        <v>0</v>
      </c>
      <c r="AE57" s="9">
        <v>0</v>
      </c>
      <c r="AF57" s="9">
        <v>787.89732154852152</v>
      </c>
      <c r="AG57" s="9">
        <v>21.13958224084092</v>
      </c>
      <c r="AH57" s="9">
        <v>4.1874202936955172</v>
      </c>
      <c r="AI57" s="9">
        <v>78.779258875933266</v>
      </c>
      <c r="AJ57" s="9">
        <v>857.3407091470699</v>
      </c>
      <c r="AK57" s="9">
        <v>14.907459691799369</v>
      </c>
      <c r="AL57" s="9">
        <v>0</v>
      </c>
      <c r="AM57" s="9">
        <v>0</v>
      </c>
      <c r="AN57" s="9">
        <v>0</v>
      </c>
      <c r="AO57" s="9">
        <v>0</v>
      </c>
      <c r="AP57" s="9">
        <v>872.24816883886933</v>
      </c>
      <c r="AQ57" s="9">
        <v>774.03339673099276</v>
      </c>
      <c r="AR57" s="9">
        <v>299.036406</v>
      </c>
      <c r="AS57" s="9">
        <v>20.798948994392632</v>
      </c>
      <c r="AT57" s="9">
        <v>20.798948994392632</v>
      </c>
    </row>
    <row r="58" spans="1:46" x14ac:dyDescent="0.25">
      <c r="A58" s="8">
        <v>46022</v>
      </c>
      <c r="B58" s="7" t="s">
        <v>181</v>
      </c>
      <c r="C58" s="7" t="s">
        <v>182</v>
      </c>
      <c r="D58" s="7" t="s">
        <v>68</v>
      </c>
      <c r="E58" s="9">
        <v>1000</v>
      </c>
      <c r="F58" s="10">
        <v>1.1499999999999999</v>
      </c>
      <c r="G58" s="9">
        <v>80</v>
      </c>
      <c r="H58" s="9">
        <v>9.1999999999999993</v>
      </c>
      <c r="I58" s="9">
        <v>98</v>
      </c>
      <c r="J58" s="9">
        <v>9.016</v>
      </c>
      <c r="K58" s="11">
        <v>54.24049660138801</v>
      </c>
      <c r="L58" s="9">
        <v>185.796356542344</v>
      </c>
      <c r="M58" s="9">
        <v>27.272446321722029</v>
      </c>
      <c r="N58" s="9">
        <v>26.321497616553089</v>
      </c>
      <c r="O58" s="9">
        <v>316.04448104789083</v>
      </c>
      <c r="P58" s="9">
        <v>555.43478152850992</v>
      </c>
      <c r="Q58" s="9">
        <v>11.820017639981341</v>
      </c>
      <c r="R58" s="9">
        <v>21.296196668337409</v>
      </c>
      <c r="S58" s="9">
        <v>8.5911587062556904</v>
      </c>
      <c r="T58" s="9">
        <v>33.277086657947933</v>
      </c>
      <c r="U58" s="9">
        <v>74.984459672522377</v>
      </c>
      <c r="V58" s="9">
        <v>630.41924120103226</v>
      </c>
      <c r="W58" s="9">
        <v>38.019762648644949</v>
      </c>
      <c r="X58" s="9">
        <v>127.465319255662</v>
      </c>
      <c r="Y58" s="9">
        <v>795.90432310533924</v>
      </c>
      <c r="Z58" s="9">
        <v>0</v>
      </c>
      <c r="AA58" s="9">
        <v>795.90432310533924</v>
      </c>
      <c r="AB58" s="9">
        <v>0</v>
      </c>
      <c r="AC58" s="9">
        <v>301.49645279489579</v>
      </c>
      <c r="AD58" s="9">
        <v>0</v>
      </c>
      <c r="AE58" s="9">
        <v>0</v>
      </c>
      <c r="AF58" s="9">
        <v>1097.400775900235</v>
      </c>
      <c r="AG58" s="9">
        <v>2.830816320949205</v>
      </c>
      <c r="AH58" s="9">
        <v>0</v>
      </c>
      <c r="AI58" s="9">
        <v>113.3395626969028</v>
      </c>
      <c r="AJ58" s="9">
        <v>912.07470212319117</v>
      </c>
      <c r="AK58" s="9">
        <v>545.76476050134272</v>
      </c>
      <c r="AL58" s="9">
        <v>0</v>
      </c>
      <c r="AM58" s="9">
        <v>0</v>
      </c>
      <c r="AN58" s="9">
        <v>0</v>
      </c>
      <c r="AO58" s="9">
        <v>0</v>
      </c>
      <c r="AP58" s="9">
        <v>1457.839462624534</v>
      </c>
      <c r="AQ58" s="9">
        <v>773.99999935093092</v>
      </c>
      <c r="AR58" s="9">
        <v>268.049848</v>
      </c>
      <c r="AS58" s="9">
        <v>-21.904323754408331</v>
      </c>
      <c r="AT58" s="9">
        <v>-21.904323754408331</v>
      </c>
    </row>
    <row r="59" spans="1:46" x14ac:dyDescent="0.25">
      <c r="A59" s="8">
        <v>46022</v>
      </c>
      <c r="B59" s="7" t="s">
        <v>183</v>
      </c>
      <c r="C59" s="7" t="s">
        <v>184</v>
      </c>
      <c r="D59" s="7" t="s">
        <v>185</v>
      </c>
      <c r="E59" s="9">
        <v>1740</v>
      </c>
      <c r="F59" s="10">
        <v>0.41</v>
      </c>
      <c r="G59" s="9">
        <v>46.26</v>
      </c>
      <c r="H59" s="9">
        <v>3.3</v>
      </c>
      <c r="I59" s="9">
        <v>72</v>
      </c>
      <c r="J59" s="9">
        <v>2.3759999999999999</v>
      </c>
      <c r="K59" s="11">
        <v>80.328028167081868</v>
      </c>
      <c r="L59" s="9">
        <v>8.4654414415826196</v>
      </c>
      <c r="M59" s="9">
        <v>31.228787979444672</v>
      </c>
      <c r="N59" s="9">
        <v>12.900993455160551</v>
      </c>
      <c r="O59" s="9">
        <v>134.29315406623519</v>
      </c>
      <c r="P59" s="9">
        <v>186.88837694242309</v>
      </c>
      <c r="Q59" s="9">
        <v>19.907084891469761</v>
      </c>
      <c r="R59" s="9">
        <v>22.267815400804839</v>
      </c>
      <c r="S59" s="9">
        <v>34.1043147963154</v>
      </c>
      <c r="T59" s="9">
        <v>165.6561845286121</v>
      </c>
      <c r="U59" s="9">
        <v>241.93539961720211</v>
      </c>
      <c r="V59" s="9">
        <v>428.82377655962517</v>
      </c>
      <c r="W59" s="9">
        <v>5.0605806501134714</v>
      </c>
      <c r="X59" s="9">
        <v>155.54689375187451</v>
      </c>
      <c r="Y59" s="9">
        <v>589.43125096161316</v>
      </c>
      <c r="Z59" s="9">
        <v>49.674335940094288</v>
      </c>
      <c r="AA59" s="9">
        <v>639.10558690170751</v>
      </c>
      <c r="AB59" s="9">
        <v>8.7520442062765727E-3</v>
      </c>
      <c r="AC59" s="9">
        <v>270.92184983165089</v>
      </c>
      <c r="AD59" s="9">
        <v>0</v>
      </c>
      <c r="AE59" s="9">
        <v>0</v>
      </c>
      <c r="AF59" s="9">
        <v>910.03618877756469</v>
      </c>
      <c r="AG59" s="9">
        <v>30.670178084754419</v>
      </c>
      <c r="AH59" s="9">
        <v>0</v>
      </c>
      <c r="AI59" s="9">
        <v>98.221256990265474</v>
      </c>
      <c r="AJ59" s="9">
        <v>768.00577402093359</v>
      </c>
      <c r="AK59" s="9">
        <v>30.670178084754419</v>
      </c>
      <c r="AL59" s="9">
        <v>0</v>
      </c>
      <c r="AM59" s="9">
        <v>0</v>
      </c>
      <c r="AN59" s="9">
        <v>0</v>
      </c>
      <c r="AO59" s="9">
        <v>0</v>
      </c>
      <c r="AP59" s="9">
        <v>798.67595210568811</v>
      </c>
      <c r="AQ59" s="9">
        <v>773.99999935093092</v>
      </c>
      <c r="AR59" s="9">
        <v>50.932510000000001</v>
      </c>
      <c r="AS59" s="9">
        <v>184.5687483893177</v>
      </c>
      <c r="AT59" s="9">
        <v>134.89441244922341</v>
      </c>
    </row>
    <row r="60" spans="1:46" x14ac:dyDescent="0.25">
      <c r="A60" s="8">
        <v>46022</v>
      </c>
      <c r="B60" s="7" t="s">
        <v>157</v>
      </c>
      <c r="C60" s="7" t="s">
        <v>158</v>
      </c>
      <c r="D60" s="7" t="s">
        <v>116</v>
      </c>
      <c r="E60" s="9">
        <v>3350</v>
      </c>
      <c r="F60" s="10">
        <v>1</v>
      </c>
      <c r="G60" s="9">
        <v>84.9</v>
      </c>
      <c r="H60" s="9">
        <v>28.44</v>
      </c>
      <c r="I60" s="9">
        <v>100</v>
      </c>
      <c r="J60" s="9">
        <v>28.44</v>
      </c>
      <c r="K60" s="11">
        <v>78.16301416657204</v>
      </c>
      <c r="L60" s="9">
        <v>4.6759934336666573E-2</v>
      </c>
      <c r="M60" s="9">
        <v>5.5235629750777839</v>
      </c>
      <c r="N60" s="9">
        <v>3.677015820576874E-2</v>
      </c>
      <c r="O60" s="9">
        <v>9.6339210191799616</v>
      </c>
      <c r="P60" s="9">
        <v>15.241014086800179</v>
      </c>
      <c r="Q60" s="9">
        <v>19.5525844930647</v>
      </c>
      <c r="R60" s="9">
        <v>75.477368684167104</v>
      </c>
      <c r="S60" s="9">
        <v>18.6109952255804</v>
      </c>
      <c r="T60" s="9">
        <v>61.848328105149811</v>
      </c>
      <c r="U60" s="9">
        <v>175.48927650796199</v>
      </c>
      <c r="V60" s="9">
        <v>190.73029059476221</v>
      </c>
      <c r="W60" s="9">
        <v>2.8003189776257691</v>
      </c>
      <c r="X60" s="9">
        <v>193.36687599999999</v>
      </c>
      <c r="Y60" s="9">
        <v>386.89748557238801</v>
      </c>
      <c r="Z60" s="9">
        <v>27.504991799679608</v>
      </c>
      <c r="AA60" s="9">
        <v>414.40247737206761</v>
      </c>
      <c r="AB60" s="9">
        <v>0</v>
      </c>
      <c r="AC60" s="9">
        <v>99.144599012782663</v>
      </c>
      <c r="AD60" s="9">
        <v>0</v>
      </c>
      <c r="AE60" s="9">
        <v>0</v>
      </c>
      <c r="AF60" s="9">
        <v>513.54707638485036</v>
      </c>
      <c r="AG60" s="9">
        <v>9.4687429045346541</v>
      </c>
      <c r="AH60" s="9">
        <v>0</v>
      </c>
      <c r="AI60" s="9">
        <v>25.249979668968489</v>
      </c>
      <c r="AJ60" s="9">
        <v>449.12119994557071</v>
      </c>
      <c r="AK60" s="9">
        <v>0</v>
      </c>
      <c r="AL60" s="9">
        <v>0</v>
      </c>
      <c r="AM60" s="9">
        <v>0</v>
      </c>
      <c r="AN60" s="9">
        <v>0</v>
      </c>
      <c r="AO60" s="9">
        <v>0</v>
      </c>
      <c r="AP60" s="9">
        <v>449.12119994557071</v>
      </c>
      <c r="AQ60" s="9">
        <v>773.99999935093081</v>
      </c>
      <c r="AR60" s="9">
        <v>603.31677500000001</v>
      </c>
      <c r="AS60" s="9">
        <v>387.1025137785428</v>
      </c>
      <c r="AT60" s="9">
        <v>359.5975219788632</v>
      </c>
    </row>
    <row r="61" spans="1:46" x14ac:dyDescent="0.25">
      <c r="A61" s="8">
        <v>46022</v>
      </c>
      <c r="B61" s="7" t="s">
        <v>159</v>
      </c>
      <c r="C61" s="7" t="s">
        <v>160</v>
      </c>
      <c r="D61" s="7" t="s">
        <v>161</v>
      </c>
      <c r="E61" s="9">
        <v>18000</v>
      </c>
      <c r="F61" s="10">
        <v>0.23</v>
      </c>
      <c r="G61" s="9">
        <v>72.463768000000002</v>
      </c>
      <c r="H61" s="9">
        <v>30</v>
      </c>
      <c r="I61" s="9">
        <v>97</v>
      </c>
      <c r="J61" s="9">
        <v>29.1</v>
      </c>
      <c r="K61" s="11">
        <v>78.574584533351896</v>
      </c>
      <c r="L61" s="9">
        <v>35.623532737833251</v>
      </c>
      <c r="M61" s="9">
        <v>22.927093210986669</v>
      </c>
      <c r="N61" s="9">
        <v>3.6343056673108172</v>
      </c>
      <c r="O61" s="9">
        <v>59.544758452601108</v>
      </c>
      <c r="P61" s="9">
        <v>121.7296900687319</v>
      </c>
      <c r="Q61" s="9">
        <v>43.635502508673461</v>
      </c>
      <c r="R61" s="9">
        <v>267.93267128046591</v>
      </c>
      <c r="S61" s="9">
        <v>34.058749899590246</v>
      </c>
      <c r="T61" s="9">
        <v>82.400199164847706</v>
      </c>
      <c r="U61" s="9">
        <v>428.02712285357728</v>
      </c>
      <c r="V61" s="9">
        <v>549.75681292230911</v>
      </c>
      <c r="W61" s="9">
        <v>4.6288810864476257</v>
      </c>
      <c r="X61" s="9">
        <v>66.574557807191312</v>
      </c>
      <c r="Y61" s="9">
        <v>620.96025181594803</v>
      </c>
      <c r="Z61" s="9">
        <v>0</v>
      </c>
      <c r="AA61" s="9">
        <v>620.96025181594803</v>
      </c>
      <c r="AB61" s="9">
        <v>0</v>
      </c>
      <c r="AC61" s="9">
        <v>150.3170653303678</v>
      </c>
      <c r="AD61" s="9">
        <v>0</v>
      </c>
      <c r="AE61" s="9">
        <v>0</v>
      </c>
      <c r="AF61" s="9">
        <v>771.2773171463158</v>
      </c>
      <c r="AG61" s="9">
        <v>25.318141661565502</v>
      </c>
      <c r="AH61" s="9">
        <v>6.3295411119738194</v>
      </c>
      <c r="AI61" s="9">
        <v>93.05595284772113</v>
      </c>
      <c r="AJ61" s="9">
        <v>745.66388743720847</v>
      </c>
      <c r="AK61" s="9">
        <v>0</v>
      </c>
      <c r="AL61" s="9">
        <v>0</v>
      </c>
      <c r="AM61" s="9">
        <v>0</v>
      </c>
      <c r="AN61" s="9">
        <v>0</v>
      </c>
      <c r="AO61" s="9">
        <v>0</v>
      </c>
      <c r="AP61" s="9">
        <v>745.66388743720847</v>
      </c>
      <c r="AQ61" s="9">
        <v>773.99999935093081</v>
      </c>
      <c r="AR61" s="9">
        <v>659.75013200000001</v>
      </c>
      <c r="AS61" s="9">
        <v>153.03974753498281</v>
      </c>
      <c r="AT61" s="9">
        <v>153.03974753498281</v>
      </c>
    </row>
    <row r="62" spans="1:46" x14ac:dyDescent="0.25">
      <c r="A62" s="8">
        <v>46022</v>
      </c>
      <c r="B62" s="7" t="s">
        <v>150</v>
      </c>
      <c r="C62" s="7" t="s">
        <v>151</v>
      </c>
      <c r="D62" s="7" t="s">
        <v>152</v>
      </c>
      <c r="E62" s="9">
        <v>3000</v>
      </c>
      <c r="F62" s="10">
        <v>1.05</v>
      </c>
      <c r="G62" s="9">
        <v>74.2</v>
      </c>
      <c r="H62" s="9">
        <v>23.373000000000001</v>
      </c>
      <c r="I62" s="9">
        <v>75</v>
      </c>
      <c r="J62" s="9">
        <v>17.52975</v>
      </c>
      <c r="K62" s="11">
        <v>100</v>
      </c>
      <c r="L62" s="9">
        <v>113.1990420477424</v>
      </c>
      <c r="M62" s="9">
        <v>79.529481835706491</v>
      </c>
      <c r="N62" s="9">
        <v>1.2950233912632521</v>
      </c>
      <c r="O62" s="9">
        <v>25.961645448470801</v>
      </c>
      <c r="P62" s="9">
        <v>219.98519272318299</v>
      </c>
      <c r="Q62" s="9">
        <v>47.079080415061988</v>
      </c>
      <c r="R62" s="9">
        <v>6.8142914126960168</v>
      </c>
      <c r="S62" s="9">
        <v>10.949273069988619</v>
      </c>
      <c r="T62" s="9">
        <v>16.911681022689429</v>
      </c>
      <c r="U62" s="9">
        <v>81.75432592043606</v>
      </c>
      <c r="V62" s="9">
        <v>301.73951864361902</v>
      </c>
      <c r="W62" s="9">
        <v>210.5350118327942</v>
      </c>
      <c r="X62" s="9">
        <v>227.72352940088891</v>
      </c>
      <c r="Y62" s="9">
        <v>739.99805987730213</v>
      </c>
      <c r="Z62" s="9">
        <v>38.70024239418624</v>
      </c>
      <c r="AA62" s="9">
        <v>778.69830227148827</v>
      </c>
      <c r="AB62" s="9">
        <v>1.681914996462414</v>
      </c>
      <c r="AC62" s="9">
        <v>134.20675163633419</v>
      </c>
      <c r="AD62" s="9">
        <v>0</v>
      </c>
      <c r="AE62" s="9">
        <v>0</v>
      </c>
      <c r="AF62" s="9">
        <v>914.58696890428496</v>
      </c>
      <c r="AG62" s="9">
        <v>18.104369100322248</v>
      </c>
      <c r="AH62" s="9">
        <v>0</v>
      </c>
      <c r="AI62" s="9">
        <v>75.434873838900259</v>
      </c>
      <c r="AJ62" s="9">
        <v>873.91946020717319</v>
      </c>
      <c r="AK62" s="9">
        <v>0</v>
      </c>
      <c r="AL62" s="9">
        <v>0</v>
      </c>
      <c r="AM62" s="9">
        <v>0</v>
      </c>
      <c r="AN62" s="9">
        <v>0</v>
      </c>
      <c r="AO62" s="9">
        <v>0</v>
      </c>
      <c r="AP62" s="9">
        <v>873.91946020717319</v>
      </c>
      <c r="AQ62" s="9">
        <v>774.00220702645208</v>
      </c>
      <c r="AR62" s="9">
        <v>299.12463400000001</v>
      </c>
      <c r="AS62" s="9">
        <v>34.004147149149972</v>
      </c>
      <c r="AT62" s="9">
        <v>-4.6960952450362656</v>
      </c>
    </row>
    <row r="63" spans="1:46" x14ac:dyDescent="0.25">
      <c r="A63" s="8">
        <v>46022</v>
      </c>
      <c r="B63" s="7" t="s">
        <v>131</v>
      </c>
      <c r="C63" s="7" t="s">
        <v>132</v>
      </c>
      <c r="D63" s="7" t="s">
        <v>51</v>
      </c>
      <c r="E63" s="9">
        <v>705</v>
      </c>
      <c r="F63" s="10">
        <v>0.33</v>
      </c>
      <c r="G63" s="9">
        <v>90</v>
      </c>
      <c r="H63" s="9">
        <v>2.0939999999999999</v>
      </c>
      <c r="I63" s="9">
        <v>95</v>
      </c>
      <c r="J63" s="9">
        <v>1.9891570000000001</v>
      </c>
      <c r="K63" s="11">
        <v>66.763072020585582</v>
      </c>
      <c r="L63" s="9">
        <v>61.305778260224123</v>
      </c>
      <c r="M63" s="9">
        <v>12.4343694892111</v>
      </c>
      <c r="N63" s="9">
        <v>7.2990896798603462</v>
      </c>
      <c r="O63" s="9">
        <v>38.948738664535192</v>
      </c>
      <c r="P63" s="9">
        <v>119.9879760938308</v>
      </c>
      <c r="Q63" s="9">
        <v>16.265962518496831</v>
      </c>
      <c r="R63" s="9">
        <v>17.261836898566091</v>
      </c>
      <c r="S63" s="9">
        <v>34.083630539437493</v>
      </c>
      <c r="T63" s="9">
        <v>29.20338885026872</v>
      </c>
      <c r="U63" s="9">
        <v>96.814818806769125</v>
      </c>
      <c r="V63" s="9">
        <v>216.80279490059991</v>
      </c>
      <c r="W63" s="9">
        <v>22.659964520780481</v>
      </c>
      <c r="X63" s="9">
        <v>187.98343859770381</v>
      </c>
      <c r="Y63" s="9">
        <v>427.44619801908408</v>
      </c>
      <c r="Z63" s="9">
        <v>15.536250924383801</v>
      </c>
      <c r="AA63" s="9">
        <v>442.98244894346789</v>
      </c>
      <c r="AB63" s="9">
        <v>0</v>
      </c>
      <c r="AC63" s="9">
        <v>3.3321639488923211</v>
      </c>
      <c r="AD63" s="9">
        <v>0</v>
      </c>
      <c r="AE63" s="9">
        <v>0</v>
      </c>
      <c r="AF63" s="9">
        <v>446.31461289236017</v>
      </c>
      <c r="AG63" s="9">
        <v>34.422268184831893</v>
      </c>
      <c r="AH63" s="9">
        <v>0</v>
      </c>
      <c r="AI63" s="9">
        <v>26.084329096150132</v>
      </c>
      <c r="AJ63" s="9">
        <v>503.48904622444991</v>
      </c>
      <c r="AK63" s="9">
        <v>0</v>
      </c>
      <c r="AL63" s="9">
        <v>0</v>
      </c>
      <c r="AM63" s="9">
        <v>0</v>
      </c>
      <c r="AN63" s="9">
        <v>0</v>
      </c>
      <c r="AO63" s="9">
        <v>0</v>
      </c>
      <c r="AP63" s="9">
        <v>503.48904622444991</v>
      </c>
      <c r="AQ63" s="9">
        <v>774.01673106188775</v>
      </c>
      <c r="AR63" s="9">
        <v>49.326742000000003</v>
      </c>
      <c r="AS63" s="9">
        <v>346.57053304280367</v>
      </c>
      <c r="AT63" s="9">
        <v>331.03428211841992</v>
      </c>
    </row>
    <row r="64" spans="1:46" x14ac:dyDescent="0.25">
      <c r="A64" s="8">
        <v>46022</v>
      </c>
      <c r="B64" s="7" t="s">
        <v>186</v>
      </c>
      <c r="C64" s="7" t="s">
        <v>187</v>
      </c>
      <c r="D64" s="7" t="s">
        <v>65</v>
      </c>
      <c r="E64" s="9">
        <v>5040</v>
      </c>
      <c r="F64" s="10">
        <v>0.03</v>
      </c>
      <c r="G64" s="9">
        <v>70.11</v>
      </c>
      <c r="H64" s="9">
        <v>1.06</v>
      </c>
      <c r="I64" s="9">
        <v>90</v>
      </c>
      <c r="J64" s="9">
        <v>0.95399999999999996</v>
      </c>
      <c r="K64" s="11">
        <v>2.176754860330357</v>
      </c>
      <c r="L64" s="9">
        <v>152.20350683744019</v>
      </c>
      <c r="M64" s="9">
        <v>29.666677325621951</v>
      </c>
      <c r="N64" s="9">
        <v>25.943284683953209</v>
      </c>
      <c r="O64" s="9">
        <v>120.135372498498</v>
      </c>
      <c r="P64" s="9">
        <v>327.94884134551342</v>
      </c>
      <c r="Q64" s="9">
        <v>16.669835336328561</v>
      </c>
      <c r="R64" s="9">
        <v>6.8619249943496543</v>
      </c>
      <c r="S64" s="9">
        <v>19.95136564627348</v>
      </c>
      <c r="T64" s="9">
        <v>11.95807507430427</v>
      </c>
      <c r="U64" s="9">
        <v>55.441201051255959</v>
      </c>
      <c r="V64" s="9">
        <v>383.39004239676939</v>
      </c>
      <c r="W64" s="9">
        <v>1.9974588283418859</v>
      </c>
      <c r="X64" s="9">
        <v>126</v>
      </c>
      <c r="Y64" s="9">
        <v>511.38750122511129</v>
      </c>
      <c r="Z64" s="9">
        <v>0</v>
      </c>
      <c r="AA64" s="9">
        <v>511.38750122511129</v>
      </c>
      <c r="AB64" s="9">
        <v>0</v>
      </c>
      <c r="AC64" s="9">
        <v>223.3094419121434</v>
      </c>
      <c r="AD64" s="9">
        <v>0</v>
      </c>
      <c r="AE64" s="9">
        <v>0</v>
      </c>
      <c r="AF64" s="9">
        <v>734.69694313725461</v>
      </c>
      <c r="AG64" s="9">
        <v>7.2447760219760173</v>
      </c>
      <c r="AH64" s="9">
        <v>0.99347431766938055</v>
      </c>
      <c r="AI64" s="9">
        <v>205.81454372849731</v>
      </c>
      <c r="AJ64" s="9">
        <v>725.44029529325405</v>
      </c>
      <c r="AK64" s="9">
        <v>0</v>
      </c>
      <c r="AL64" s="9">
        <v>0</v>
      </c>
      <c r="AM64" s="9">
        <v>0</v>
      </c>
      <c r="AN64" s="9">
        <v>0</v>
      </c>
      <c r="AO64" s="9">
        <v>0</v>
      </c>
      <c r="AP64" s="9">
        <v>725.44029529325405</v>
      </c>
      <c r="AQ64" s="9">
        <v>773.99999935093092</v>
      </c>
      <c r="AR64" s="9">
        <v>660.98124299999995</v>
      </c>
      <c r="AS64" s="9">
        <v>262.61249812581963</v>
      </c>
      <c r="AT64" s="9">
        <v>262.61249812581963</v>
      </c>
    </row>
    <row r="65" spans="1:46" x14ac:dyDescent="0.25">
      <c r="A65" s="8">
        <v>46022</v>
      </c>
      <c r="B65" s="7" t="s">
        <v>153</v>
      </c>
      <c r="C65" s="7" t="s">
        <v>154</v>
      </c>
      <c r="D65" s="7" t="s">
        <v>65</v>
      </c>
      <c r="E65" s="9">
        <v>3238.355</v>
      </c>
      <c r="F65" s="10">
        <v>0.02</v>
      </c>
      <c r="G65" s="9">
        <v>70</v>
      </c>
      <c r="H65" s="9">
        <v>0.45300000000000001</v>
      </c>
      <c r="I65" s="9">
        <v>98</v>
      </c>
      <c r="J65" s="9">
        <v>0.44430199999999997</v>
      </c>
      <c r="K65" s="11">
        <v>0.81953936742453404</v>
      </c>
      <c r="L65" s="9">
        <v>153.02714540304879</v>
      </c>
      <c r="M65" s="9">
        <v>1.110900439023677</v>
      </c>
      <c r="N65" s="9">
        <v>14.57465746513215</v>
      </c>
      <c r="O65" s="9">
        <v>24.20546468548789</v>
      </c>
      <c r="P65" s="9">
        <v>192.9181679926925</v>
      </c>
      <c r="Q65" s="9">
        <v>8.9234118943479626</v>
      </c>
      <c r="R65" s="9">
        <v>3.6083908698468981</v>
      </c>
      <c r="S65" s="9">
        <v>11.9070413443271</v>
      </c>
      <c r="T65" s="9">
        <v>2.9269393177371401</v>
      </c>
      <c r="U65" s="9">
        <v>27.3657834262591</v>
      </c>
      <c r="V65" s="9">
        <v>220.2839514189516</v>
      </c>
      <c r="W65" s="9">
        <v>0.26417165055686298</v>
      </c>
      <c r="X65" s="9">
        <v>348.59576080908931</v>
      </c>
      <c r="Y65" s="9">
        <v>569.14388387859776</v>
      </c>
      <c r="Z65" s="9">
        <v>0.77943007133261166</v>
      </c>
      <c r="AA65" s="9">
        <v>569.92331394993039</v>
      </c>
      <c r="AB65" s="9">
        <v>0</v>
      </c>
      <c r="AC65" s="9">
        <v>12.33059329353134</v>
      </c>
      <c r="AD65" s="9">
        <v>0</v>
      </c>
      <c r="AE65" s="9">
        <v>0</v>
      </c>
      <c r="AF65" s="9">
        <v>582.25390724346175</v>
      </c>
      <c r="AG65" s="9">
        <v>9.7567762013658914</v>
      </c>
      <c r="AH65" s="9">
        <v>0</v>
      </c>
      <c r="AI65" s="9">
        <v>5.5072798522618926</v>
      </c>
      <c r="AJ65" s="9">
        <v>585.18737000355816</v>
      </c>
      <c r="AK65" s="9">
        <v>4.3839287458216232</v>
      </c>
      <c r="AL65" s="9">
        <v>0</v>
      </c>
      <c r="AM65" s="9">
        <v>0</v>
      </c>
      <c r="AN65" s="9">
        <v>0</v>
      </c>
      <c r="AO65" s="9">
        <v>0</v>
      </c>
      <c r="AP65" s="9">
        <v>589.57129874937993</v>
      </c>
      <c r="AQ65" s="9">
        <v>773.9965152342744</v>
      </c>
      <c r="AR65" s="9">
        <v>549.262068</v>
      </c>
      <c r="AS65" s="9">
        <v>204.85263135567661</v>
      </c>
      <c r="AT65" s="9">
        <v>204.07320128434401</v>
      </c>
    </row>
    <row r="66" spans="1:46" x14ac:dyDescent="0.25">
      <c r="A66" s="8">
        <v>46022</v>
      </c>
      <c r="B66" s="7" t="s">
        <v>162</v>
      </c>
      <c r="C66" s="7" t="s">
        <v>163</v>
      </c>
      <c r="D66" s="7" t="s">
        <v>105</v>
      </c>
      <c r="E66" s="9">
        <v>2150.8266050000002</v>
      </c>
      <c r="F66" s="10">
        <v>0.35239999999999999</v>
      </c>
      <c r="G66" s="9">
        <v>40</v>
      </c>
      <c r="H66" s="9">
        <v>3.032</v>
      </c>
      <c r="I66" s="9">
        <v>100</v>
      </c>
      <c r="J66" s="9">
        <v>3.0318580000000002</v>
      </c>
      <c r="K66" s="11">
        <v>11.392778235653315</v>
      </c>
      <c r="L66" s="9">
        <v>92.512609861604716</v>
      </c>
      <c r="M66" s="9">
        <v>10.668710447255661</v>
      </c>
      <c r="N66" s="9">
        <v>33.403711473857179</v>
      </c>
      <c r="O66" s="9">
        <v>64.623105517558216</v>
      </c>
      <c r="P66" s="9">
        <v>201.20813730027581</v>
      </c>
      <c r="Q66" s="9">
        <v>23.652643691945521</v>
      </c>
      <c r="R66" s="9">
        <v>18.628620486300711</v>
      </c>
      <c r="S66" s="9">
        <v>68.47529326194983</v>
      </c>
      <c r="T66" s="9">
        <v>18.238969156703721</v>
      </c>
      <c r="U66" s="9">
        <v>128.99552659689979</v>
      </c>
      <c r="V66" s="9">
        <v>330.20366389717549</v>
      </c>
      <c r="W66" s="9">
        <v>6.3667635665437459</v>
      </c>
      <c r="X66" s="9">
        <v>282.34189531622928</v>
      </c>
      <c r="Y66" s="9">
        <v>618.91232277994857</v>
      </c>
      <c r="Z66" s="9">
        <v>13.69506297413856</v>
      </c>
      <c r="AA66" s="9">
        <v>632.60738575408709</v>
      </c>
      <c r="AB66" s="9">
        <v>0</v>
      </c>
      <c r="AC66" s="9">
        <v>91.907988221942247</v>
      </c>
      <c r="AD66" s="9">
        <v>0</v>
      </c>
      <c r="AE66" s="9">
        <v>0</v>
      </c>
      <c r="AF66" s="9">
        <v>724.51537397602942</v>
      </c>
      <c r="AG66" s="9">
        <v>14.083306638909949</v>
      </c>
      <c r="AH66" s="9">
        <v>0</v>
      </c>
      <c r="AI66" s="9">
        <v>60.693506612209859</v>
      </c>
      <c r="AJ66" s="9">
        <v>707.38419900520705</v>
      </c>
      <c r="AK66" s="9">
        <v>11.10999732345598</v>
      </c>
      <c r="AL66" s="9">
        <v>0</v>
      </c>
      <c r="AM66" s="9">
        <v>0</v>
      </c>
      <c r="AN66" s="9">
        <v>0</v>
      </c>
      <c r="AO66" s="9">
        <v>0</v>
      </c>
      <c r="AP66" s="9">
        <v>718.49419632866295</v>
      </c>
      <c r="AQ66" s="9">
        <v>774.0107214889639</v>
      </c>
      <c r="AR66" s="9">
        <v>333.31674099999998</v>
      </c>
      <c r="AS66" s="9">
        <v>155.0983987090153</v>
      </c>
      <c r="AT66" s="9">
        <v>141.4033357348768</v>
      </c>
    </row>
    <row r="67" spans="1:46" x14ac:dyDescent="0.25">
      <c r="A67" s="8">
        <v>46022</v>
      </c>
      <c r="B67" s="7" t="s">
        <v>188</v>
      </c>
      <c r="C67" s="7" t="s">
        <v>189</v>
      </c>
      <c r="D67" s="7" t="s">
        <v>68</v>
      </c>
      <c r="E67" s="9">
        <v>2100</v>
      </c>
      <c r="F67" s="10">
        <v>1.86</v>
      </c>
      <c r="G67" s="9">
        <v>60.5</v>
      </c>
      <c r="H67" s="9">
        <v>23.631</v>
      </c>
      <c r="I67" s="9">
        <v>95</v>
      </c>
      <c r="J67" s="9">
        <v>22.449735</v>
      </c>
      <c r="K67" s="11">
        <v>65.293230729855196</v>
      </c>
      <c r="L67" s="9">
        <v>158.09543503296021</v>
      </c>
      <c r="M67" s="9">
        <v>81.511852578900076</v>
      </c>
      <c r="N67" s="9">
        <v>48.756982059050557</v>
      </c>
      <c r="O67" s="9">
        <v>436.5231314725599</v>
      </c>
      <c r="P67" s="9">
        <v>724.88740114347081</v>
      </c>
      <c r="Q67" s="9">
        <v>47.471445960886363</v>
      </c>
      <c r="R67" s="9">
        <v>31.21276556901315</v>
      </c>
      <c r="S67" s="9">
        <v>31.323332104706932</v>
      </c>
      <c r="T67" s="9">
        <v>56.42827122042732</v>
      </c>
      <c r="U67" s="9">
        <v>166.43581485503381</v>
      </c>
      <c r="V67" s="9">
        <v>891.32321599850445</v>
      </c>
      <c r="W67" s="9">
        <v>0</v>
      </c>
      <c r="X67" s="9">
        <v>154.92876845971679</v>
      </c>
      <c r="Y67" s="9">
        <v>1046.2519844582209</v>
      </c>
      <c r="Z67" s="9">
        <v>21.12452039366454</v>
      </c>
      <c r="AA67" s="9">
        <v>1067.376504851886</v>
      </c>
      <c r="AB67" s="9">
        <v>0</v>
      </c>
      <c r="AC67" s="9">
        <v>427.62129373595349</v>
      </c>
      <c r="AD67" s="9">
        <v>0</v>
      </c>
      <c r="AE67" s="9">
        <v>0</v>
      </c>
      <c r="AF67" s="9">
        <v>1494.997798587839</v>
      </c>
      <c r="AG67" s="9">
        <v>13.61063302419865</v>
      </c>
      <c r="AH67" s="9">
        <v>0</v>
      </c>
      <c r="AI67" s="9">
        <v>55.612606752361323</v>
      </c>
      <c r="AJ67" s="9">
        <v>1136.5997446284459</v>
      </c>
      <c r="AK67" s="9">
        <v>68.600302005225075</v>
      </c>
      <c r="AL67" s="9">
        <v>0</v>
      </c>
      <c r="AM67" s="9">
        <v>0</v>
      </c>
      <c r="AN67" s="9">
        <v>0</v>
      </c>
      <c r="AO67" s="9">
        <v>0</v>
      </c>
      <c r="AP67" s="9">
        <v>1205.200046633671</v>
      </c>
      <c r="AQ67" s="9">
        <v>773.99879265517347</v>
      </c>
      <c r="AR67" s="9">
        <v>571.87619299999994</v>
      </c>
      <c r="AS67" s="9">
        <v>-272.2531918030478</v>
      </c>
      <c r="AT67" s="9">
        <v>-293.37771219671231</v>
      </c>
    </row>
    <row r="68" spans="1:46" x14ac:dyDescent="0.25">
      <c r="A68" s="8">
        <v>46022</v>
      </c>
      <c r="B68" s="7" t="s">
        <v>155</v>
      </c>
      <c r="C68" s="7" t="s">
        <v>156</v>
      </c>
      <c r="D68" s="7" t="s">
        <v>121</v>
      </c>
      <c r="E68" s="9">
        <v>2222.2222219999999</v>
      </c>
      <c r="F68" s="10">
        <v>1.8</v>
      </c>
      <c r="G68" s="9">
        <v>80</v>
      </c>
      <c r="H68" s="9">
        <v>32</v>
      </c>
      <c r="I68" s="9">
        <v>100</v>
      </c>
      <c r="J68" s="9">
        <v>32</v>
      </c>
      <c r="K68" s="11">
        <v>22.64420634468615</v>
      </c>
      <c r="L68" s="9">
        <v>20.394407900532439</v>
      </c>
      <c r="M68" s="9">
        <v>12.952477032225479</v>
      </c>
      <c r="N68" s="9">
        <v>5.3510114684112429</v>
      </c>
      <c r="O68" s="9">
        <v>73.310415915210896</v>
      </c>
      <c r="P68" s="9">
        <v>112.0083123163801</v>
      </c>
      <c r="Q68" s="9">
        <v>9.0663932828852278</v>
      </c>
      <c r="R68" s="9">
        <v>15.198021601946611</v>
      </c>
      <c r="S68" s="9">
        <v>2.6098787177511791</v>
      </c>
      <c r="T68" s="9">
        <v>45.796454465920007</v>
      </c>
      <c r="U68" s="9">
        <v>72.67074806850303</v>
      </c>
      <c r="V68" s="9">
        <v>184.67906038488309</v>
      </c>
      <c r="W68" s="9">
        <v>5.8407252435801498</v>
      </c>
      <c r="X68" s="9">
        <v>290.49777499999999</v>
      </c>
      <c r="Y68" s="9">
        <v>481.01756062846317</v>
      </c>
      <c r="Z68" s="9">
        <v>8.7592146727263174</v>
      </c>
      <c r="AA68" s="9">
        <v>489.7767753011895</v>
      </c>
      <c r="AB68" s="9">
        <v>0</v>
      </c>
      <c r="AC68" s="9">
        <v>8.4706643290723473</v>
      </c>
      <c r="AD68" s="9">
        <v>0</v>
      </c>
      <c r="AE68" s="9">
        <v>0</v>
      </c>
      <c r="AF68" s="9">
        <v>498.24743963026191</v>
      </c>
      <c r="AG68" s="9">
        <v>5.8590037902752812</v>
      </c>
      <c r="AH68" s="9">
        <v>0</v>
      </c>
      <c r="AI68" s="9">
        <v>4.0130161777928848</v>
      </c>
      <c r="AJ68" s="9">
        <v>499.64879526925768</v>
      </c>
      <c r="AK68" s="9">
        <v>0</v>
      </c>
      <c r="AL68" s="9">
        <v>0</v>
      </c>
      <c r="AM68" s="9">
        <v>0</v>
      </c>
      <c r="AN68" s="9">
        <v>0</v>
      </c>
      <c r="AO68" s="9">
        <v>0</v>
      </c>
      <c r="AP68" s="9">
        <v>499.64879526925768</v>
      </c>
      <c r="AQ68" s="9">
        <v>773.99999935093092</v>
      </c>
      <c r="AR68" s="9">
        <v>1697.2129299999999</v>
      </c>
      <c r="AS68" s="9">
        <v>292.98243872246758</v>
      </c>
      <c r="AT68" s="9">
        <v>284.2232240497413</v>
      </c>
    </row>
    <row r="69" spans="1:46" x14ac:dyDescent="0.25">
      <c r="A69" s="8">
        <v>46022</v>
      </c>
      <c r="B69" s="7" t="s">
        <v>190</v>
      </c>
      <c r="C69" s="7" t="s">
        <v>191</v>
      </c>
      <c r="D69" s="7" t="s">
        <v>65</v>
      </c>
      <c r="E69" s="9">
        <v>5400</v>
      </c>
      <c r="F69" s="10">
        <v>0.1676</v>
      </c>
      <c r="G69" s="9">
        <v>10</v>
      </c>
      <c r="H69" s="9">
        <v>0.90500000000000003</v>
      </c>
      <c r="I69" s="9">
        <v>100</v>
      </c>
      <c r="J69" s="9">
        <v>0.90510000000000002</v>
      </c>
      <c r="K69" s="11">
        <v>14.000650531253976</v>
      </c>
      <c r="L69" s="9">
        <v>34.037464894530871</v>
      </c>
      <c r="M69" s="9">
        <v>5.8670847351626536</v>
      </c>
      <c r="N69" s="9">
        <v>12.592730271738199</v>
      </c>
      <c r="O69" s="9">
        <v>98.336773153990052</v>
      </c>
      <c r="P69" s="9">
        <v>150.8340530554218</v>
      </c>
      <c r="Q69" s="9">
        <v>70.775872652676895</v>
      </c>
      <c r="R69" s="9">
        <v>31.998856601502609</v>
      </c>
      <c r="S69" s="9">
        <v>95.854335150999276</v>
      </c>
      <c r="T69" s="9">
        <v>65.428433168678296</v>
      </c>
      <c r="U69" s="9">
        <v>264.05749757385712</v>
      </c>
      <c r="V69" s="9">
        <v>414.89155062927881</v>
      </c>
      <c r="W69" s="9">
        <v>28.416619638108411</v>
      </c>
      <c r="X69" s="9">
        <v>154.693501</v>
      </c>
      <c r="Y69" s="9">
        <v>598.00167126738734</v>
      </c>
      <c r="Z69" s="9">
        <v>3.1290098810684381</v>
      </c>
      <c r="AA69" s="9">
        <v>601.13068114845566</v>
      </c>
      <c r="AB69" s="9">
        <v>0</v>
      </c>
      <c r="AC69" s="9">
        <v>52.94815693306515</v>
      </c>
      <c r="AD69" s="9">
        <v>0</v>
      </c>
      <c r="AE69" s="9">
        <v>0</v>
      </c>
      <c r="AF69" s="9">
        <v>654.07883808152076</v>
      </c>
      <c r="AG69" s="9">
        <v>24.557566915894121</v>
      </c>
      <c r="AH69" s="9">
        <v>0.83810083527153967</v>
      </c>
      <c r="AI69" s="9">
        <v>16.595646869640682</v>
      </c>
      <c r="AJ69" s="9">
        <v>643.12199576926196</v>
      </c>
      <c r="AK69" s="9">
        <v>0</v>
      </c>
      <c r="AL69" s="9">
        <v>0</v>
      </c>
      <c r="AM69" s="9">
        <v>0</v>
      </c>
      <c r="AN69" s="9">
        <v>0</v>
      </c>
      <c r="AO69" s="9">
        <v>0</v>
      </c>
      <c r="AP69" s="9">
        <v>643.12199576926196</v>
      </c>
      <c r="AQ69" s="9">
        <v>773.99999935093081</v>
      </c>
      <c r="AR69" s="9">
        <v>96.506888000000004</v>
      </c>
      <c r="AS69" s="9">
        <v>175.99832808354361</v>
      </c>
      <c r="AT69" s="9">
        <v>172.8693182024752</v>
      </c>
    </row>
    <row r="70" spans="1:46" x14ac:dyDescent="0.25">
      <c r="A70" s="8">
        <v>46022</v>
      </c>
      <c r="B70" s="7" t="s">
        <v>166</v>
      </c>
      <c r="C70" s="7" t="s">
        <v>167</v>
      </c>
      <c r="D70" s="7" t="s">
        <v>105</v>
      </c>
      <c r="E70" s="9">
        <v>7560</v>
      </c>
      <c r="F70" s="10">
        <v>0.10340000000000001</v>
      </c>
      <c r="G70" s="9">
        <v>70</v>
      </c>
      <c r="H70" s="9">
        <v>5.4740000000000002</v>
      </c>
      <c r="I70" s="9">
        <v>100</v>
      </c>
      <c r="J70" s="9">
        <v>5.4738150000000001</v>
      </c>
      <c r="K70" s="11">
        <v>8.8055329596166363</v>
      </c>
      <c r="L70" s="9">
        <v>57.961808360589409</v>
      </c>
      <c r="M70" s="9">
        <v>2.6895373085005181</v>
      </c>
      <c r="N70" s="9">
        <v>3.2443789103396732</v>
      </c>
      <c r="O70" s="9">
        <v>188.5421831929518</v>
      </c>
      <c r="P70" s="9">
        <v>252.43790777238141</v>
      </c>
      <c r="Q70" s="9">
        <v>17.069467628102259</v>
      </c>
      <c r="R70" s="9">
        <v>3.6438300002311719</v>
      </c>
      <c r="S70" s="9">
        <v>25.51312624061071</v>
      </c>
      <c r="T70" s="9">
        <v>32.588858494684999</v>
      </c>
      <c r="U70" s="9">
        <v>78.815282363629152</v>
      </c>
      <c r="V70" s="9">
        <v>331.25319013601057</v>
      </c>
      <c r="W70" s="9">
        <v>0</v>
      </c>
      <c r="X70" s="9">
        <v>174.33389795449821</v>
      </c>
      <c r="Y70" s="9">
        <v>505.58708809050881</v>
      </c>
      <c r="Z70" s="9">
        <v>22.35937550406943</v>
      </c>
      <c r="AA70" s="9">
        <v>527.94646359457818</v>
      </c>
      <c r="AB70" s="9">
        <v>0</v>
      </c>
      <c r="AC70" s="9">
        <v>133.13889844997021</v>
      </c>
      <c r="AD70" s="9">
        <v>0</v>
      </c>
      <c r="AE70" s="9">
        <v>0</v>
      </c>
      <c r="AF70" s="9">
        <v>661.08536204454845</v>
      </c>
      <c r="AG70" s="9">
        <v>33.298550004610441</v>
      </c>
      <c r="AH70" s="9">
        <v>0</v>
      </c>
      <c r="AI70" s="9">
        <v>89.383789969609751</v>
      </c>
      <c r="AJ70" s="9">
        <v>650.62880356879839</v>
      </c>
      <c r="AK70" s="9">
        <v>72.967802082582551</v>
      </c>
      <c r="AL70" s="9">
        <v>0</v>
      </c>
      <c r="AM70" s="9">
        <v>0</v>
      </c>
      <c r="AN70" s="9">
        <v>0</v>
      </c>
      <c r="AO70" s="9">
        <v>0</v>
      </c>
      <c r="AP70" s="9">
        <v>723.59660565138097</v>
      </c>
      <c r="AQ70" s="9">
        <v>773.99787834392009</v>
      </c>
      <c r="AR70" s="9">
        <v>931.56297400000005</v>
      </c>
      <c r="AS70" s="9">
        <v>268.41079025341128</v>
      </c>
      <c r="AT70" s="9">
        <v>246.05141474934189</v>
      </c>
    </row>
    <row r="71" spans="1:46" x14ac:dyDescent="0.25">
      <c r="A71" s="8">
        <v>46022</v>
      </c>
      <c r="B71" s="7" t="s">
        <v>164</v>
      </c>
      <c r="C71" s="7" t="s">
        <v>165</v>
      </c>
      <c r="D71" s="7" t="s">
        <v>65</v>
      </c>
      <c r="E71" s="9">
        <v>2247.8809999999999</v>
      </c>
      <c r="F71" s="10">
        <v>0.1426</v>
      </c>
      <c r="G71" s="9">
        <v>55.12</v>
      </c>
      <c r="H71" s="9">
        <v>1.7669999999999999</v>
      </c>
      <c r="I71" s="9">
        <v>90</v>
      </c>
      <c r="J71" s="9">
        <v>1.590117</v>
      </c>
      <c r="K71" s="11">
        <v>5.3050481045094262</v>
      </c>
      <c r="L71" s="9">
        <v>59.017258507446932</v>
      </c>
      <c r="M71" s="9">
        <v>2.3120101474732402</v>
      </c>
      <c r="N71" s="9">
        <v>15.65694300550757</v>
      </c>
      <c r="O71" s="9">
        <v>9.2157139897036924</v>
      </c>
      <c r="P71" s="9">
        <v>86.201925650131429</v>
      </c>
      <c r="Q71" s="9">
        <v>13.472742499443489</v>
      </c>
      <c r="R71" s="9">
        <v>3.1633736680213951</v>
      </c>
      <c r="S71" s="9">
        <v>24.08872248328688</v>
      </c>
      <c r="T71" s="9">
        <v>4.2122311828017276</v>
      </c>
      <c r="U71" s="9">
        <v>44.937069833553501</v>
      </c>
      <c r="V71" s="9">
        <v>131.13899548368491</v>
      </c>
      <c r="W71" s="9">
        <v>1.827074042750596</v>
      </c>
      <c r="X71" s="9">
        <v>84.143825172130946</v>
      </c>
      <c r="Y71" s="9">
        <v>217.10989469856651</v>
      </c>
      <c r="Z71" s="9">
        <v>6.1845612079720214</v>
      </c>
      <c r="AA71" s="9">
        <v>223.2944559065385</v>
      </c>
      <c r="AB71" s="9">
        <v>0</v>
      </c>
      <c r="AC71" s="9">
        <v>18.916292964988511</v>
      </c>
      <c r="AD71" s="9">
        <v>0</v>
      </c>
      <c r="AE71" s="9">
        <v>0</v>
      </c>
      <c r="AF71" s="9">
        <v>242.21074887152699</v>
      </c>
      <c r="AG71" s="9">
        <v>21.75401261961213</v>
      </c>
      <c r="AH71" s="9">
        <v>0</v>
      </c>
      <c r="AI71" s="9">
        <v>57.916392007052181</v>
      </c>
      <c r="AJ71" s="9">
        <v>302.9648605332028</v>
      </c>
      <c r="AK71" s="9">
        <v>136.37173419852709</v>
      </c>
      <c r="AL71" s="9">
        <v>0</v>
      </c>
      <c r="AM71" s="9">
        <v>0</v>
      </c>
      <c r="AN71" s="9">
        <v>0</v>
      </c>
      <c r="AO71" s="9">
        <v>0</v>
      </c>
      <c r="AP71" s="9">
        <v>439.33659473172992</v>
      </c>
      <c r="AQ71" s="9">
        <v>773.99172448814465</v>
      </c>
      <c r="AR71" s="9">
        <v>567.336005</v>
      </c>
      <c r="AS71" s="9">
        <v>556.88182978957821</v>
      </c>
      <c r="AT71" s="9">
        <v>550.69726858160618</v>
      </c>
    </row>
  </sheetData>
  <mergeCells count="47">
    <mergeCell ref="AS6:AS9"/>
    <mergeCell ref="AT6:AT9"/>
    <mergeCell ref="AN6:AN9"/>
    <mergeCell ref="AO6:AO9"/>
    <mergeCell ref="AP6:AP9"/>
    <mergeCell ref="AQ6:AQ9"/>
    <mergeCell ref="AR6:AR9"/>
    <mergeCell ref="AI6:AI9"/>
    <mergeCell ref="AJ6:AJ9"/>
    <mergeCell ref="AK6:AK9"/>
    <mergeCell ref="AL6:AL9"/>
    <mergeCell ref="AM6:AM9"/>
    <mergeCell ref="AD6:AD9"/>
    <mergeCell ref="AE6:AE9"/>
    <mergeCell ref="AF6:AF9"/>
    <mergeCell ref="AG6:AG9"/>
    <mergeCell ref="AH6:AH9"/>
    <mergeCell ref="Y6:Y9"/>
    <mergeCell ref="Z6:Z9"/>
    <mergeCell ref="AA6:AA9"/>
    <mergeCell ref="AB6:AB9"/>
    <mergeCell ref="AC6:AC9"/>
    <mergeCell ref="T6:T9"/>
    <mergeCell ref="U6:U9"/>
    <mergeCell ref="V6:V9"/>
    <mergeCell ref="W6:W9"/>
    <mergeCell ref="X6:X9"/>
    <mergeCell ref="O6:O9"/>
    <mergeCell ref="P6:P9"/>
    <mergeCell ref="Q6:Q9"/>
    <mergeCell ref="R6:R9"/>
    <mergeCell ref="S6:S9"/>
    <mergeCell ref="J6:J9"/>
    <mergeCell ref="K6:K9"/>
    <mergeCell ref="L6:L9"/>
    <mergeCell ref="M6:M9"/>
    <mergeCell ref="N6:N9"/>
    <mergeCell ref="E6:E9"/>
    <mergeCell ref="F6:F9"/>
    <mergeCell ref="G6:G9"/>
    <mergeCell ref="H6:H9"/>
    <mergeCell ref="I6:I9"/>
    <mergeCell ref="A1:D1"/>
    <mergeCell ref="A6:A9"/>
    <mergeCell ref="B6:B9"/>
    <mergeCell ref="C6:C9"/>
    <mergeCell ref="D6:D9"/>
  </mergeCells>
  <pageMargins left="0.7" right="0.7" top="0.75" bottom="0.75" header="0.3" footer="0.3"/>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U71"/>
  <sheetViews>
    <sheetView workbookViewId="0"/>
  </sheetViews>
  <sheetFormatPr defaultRowHeight="15" x14ac:dyDescent="0.25"/>
  <cols>
    <col min="1" max="1" width="48.5703125" customWidth="1"/>
    <col min="2" max="2" width="24" customWidth="1"/>
    <col min="3" max="3" width="16.140625" customWidth="1"/>
    <col min="4" max="4" width="20.85546875" customWidth="1"/>
    <col min="5" max="5" width="23.5703125" customWidth="1"/>
    <col min="6" max="6" width="16.140625" customWidth="1"/>
    <col min="7" max="9" width="17.5703125" customWidth="1"/>
    <col min="10" max="10" width="19.5703125" customWidth="1"/>
    <col min="11" max="11" width="21.140625" customWidth="1"/>
    <col min="12" max="12" width="23.85546875" customWidth="1"/>
    <col min="13" max="13" width="22.42578125" customWidth="1"/>
    <col min="14" max="15" width="23.85546875" customWidth="1"/>
    <col min="16" max="22" width="21.140625" customWidth="1"/>
    <col min="23" max="23" width="22.42578125" customWidth="1"/>
    <col min="24" max="24" width="21.140625" customWidth="1"/>
    <col min="25" max="26" width="22" customWidth="1"/>
    <col min="27" max="27" width="21.140625" customWidth="1"/>
    <col min="28" max="28" width="22" customWidth="1"/>
    <col min="29" max="29" width="23.85546875" customWidth="1"/>
    <col min="30" max="30" width="21.140625" customWidth="1"/>
    <col min="31" max="32" width="16.140625" customWidth="1"/>
    <col min="33" max="33" width="22" customWidth="1"/>
    <col min="34" max="36" width="21.140625" customWidth="1"/>
    <col min="37" max="37" width="22" customWidth="1"/>
    <col min="38" max="39" width="21.140625" customWidth="1"/>
    <col min="40" max="41" width="16.140625" customWidth="1"/>
    <col min="42" max="42" width="29.42578125" customWidth="1"/>
    <col min="43" max="43" width="22" customWidth="1"/>
    <col min="44" max="44" width="21.140625" customWidth="1"/>
    <col min="45" max="45" width="21.5703125" customWidth="1"/>
    <col min="46" max="47" width="22" customWidth="1"/>
  </cols>
  <sheetData>
    <row r="1" spans="1:47" ht="39.950000000000003" customHeight="1" x14ac:dyDescent="0.25">
      <c r="A1" s="3"/>
      <c r="B1" s="3"/>
      <c r="C1" s="3"/>
      <c r="D1" s="3"/>
    </row>
    <row r="2" spans="1:47" ht="30" customHeight="1" x14ac:dyDescent="0.3">
      <c r="A2" s="4" t="s">
        <v>236</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row>
    <row r="3" spans="1:47" x14ac:dyDescent="0.25">
      <c r="A3" s="6" t="s">
        <v>0</v>
      </c>
    </row>
    <row r="4" spans="1:47" x14ac:dyDescent="0.25">
      <c r="A4" s="6" t="s">
        <v>1</v>
      </c>
    </row>
    <row r="5" spans="1:47" x14ac:dyDescent="0.25">
      <c r="A5" s="7"/>
    </row>
    <row r="6" spans="1:47" x14ac:dyDescent="0.25">
      <c r="A6" s="2" t="s">
        <v>3</v>
      </c>
      <c r="B6" s="2" t="s">
        <v>4</v>
      </c>
      <c r="C6" s="2" t="s">
        <v>5</v>
      </c>
      <c r="D6" s="2" t="s">
        <v>6</v>
      </c>
      <c r="E6" s="1" t="s">
        <v>14</v>
      </c>
      <c r="F6" s="1" t="s">
        <v>193</v>
      </c>
      <c r="G6" s="1" t="s">
        <v>194</v>
      </c>
      <c r="H6" s="1" t="s">
        <v>195</v>
      </c>
      <c r="I6" s="1" t="s">
        <v>196</v>
      </c>
      <c r="J6" s="1" t="s">
        <v>197</v>
      </c>
      <c r="K6" s="1" t="s">
        <v>198</v>
      </c>
      <c r="L6" s="1" t="s">
        <v>199</v>
      </c>
      <c r="M6" s="1" t="s">
        <v>200</v>
      </c>
      <c r="N6" s="1" t="s">
        <v>201</v>
      </c>
      <c r="O6" s="1" t="s">
        <v>202</v>
      </c>
      <c r="P6" s="1" t="s">
        <v>203</v>
      </c>
      <c r="Q6" s="1" t="s">
        <v>204</v>
      </c>
      <c r="R6" s="1" t="s">
        <v>205</v>
      </c>
      <c r="S6" s="1" t="s">
        <v>206</v>
      </c>
      <c r="T6" s="1" t="s">
        <v>207</v>
      </c>
      <c r="U6" s="1" t="s">
        <v>208</v>
      </c>
      <c r="V6" s="1" t="s">
        <v>209</v>
      </c>
      <c r="W6" s="1" t="s">
        <v>210</v>
      </c>
      <c r="X6" s="1" t="s">
        <v>211</v>
      </c>
      <c r="Y6" s="1" t="s">
        <v>235</v>
      </c>
      <c r="Z6" s="1" t="s">
        <v>212</v>
      </c>
      <c r="AA6" s="1" t="s">
        <v>213</v>
      </c>
      <c r="AB6" s="1" t="s">
        <v>214</v>
      </c>
      <c r="AC6" s="1" t="s">
        <v>215</v>
      </c>
      <c r="AD6" s="1" t="s">
        <v>216</v>
      </c>
      <c r="AE6" s="1" t="s">
        <v>217</v>
      </c>
      <c r="AF6" s="1" t="s">
        <v>218</v>
      </c>
      <c r="AG6" s="1" t="s">
        <v>219</v>
      </c>
      <c r="AH6" s="1" t="s">
        <v>220</v>
      </c>
      <c r="AI6" s="1" t="s">
        <v>221</v>
      </c>
      <c r="AJ6" s="1" t="s">
        <v>222</v>
      </c>
      <c r="AK6" s="1" t="s">
        <v>223</v>
      </c>
      <c r="AL6" s="1" t="s">
        <v>224</v>
      </c>
      <c r="AM6" s="1" t="s">
        <v>225</v>
      </c>
      <c r="AN6" s="1" t="s">
        <v>226</v>
      </c>
      <c r="AO6" s="1" t="s">
        <v>227</v>
      </c>
      <c r="AP6" s="1" t="s">
        <v>228</v>
      </c>
      <c r="AQ6" s="1" t="s">
        <v>229</v>
      </c>
      <c r="AR6" s="1" t="s">
        <v>230</v>
      </c>
      <c r="AS6" s="1" t="s">
        <v>231</v>
      </c>
      <c r="AT6" s="1" t="s">
        <v>232</v>
      </c>
      <c r="AU6" s="1" t="s">
        <v>233</v>
      </c>
    </row>
    <row r="7" spans="1:47" x14ac:dyDescent="0.25">
      <c r="A7" s="2"/>
      <c r="B7" s="2"/>
      <c r="C7" s="2"/>
      <c r="D7" s="2"/>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row>
    <row r="8" spans="1:47" x14ac:dyDescent="0.25">
      <c r="A8" s="2"/>
      <c r="B8" s="2"/>
      <c r="C8" s="2"/>
      <c r="D8" s="2"/>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row>
    <row r="9" spans="1:47" x14ac:dyDescent="0.25">
      <c r="A9" s="2"/>
      <c r="B9" s="2"/>
      <c r="C9" s="2"/>
      <c r="D9" s="2"/>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row>
    <row r="10" spans="1:47" x14ac:dyDescent="0.25">
      <c r="A10" s="8">
        <v>46022</v>
      </c>
      <c r="B10" s="7" t="s">
        <v>49</v>
      </c>
      <c r="C10" s="7" t="s">
        <v>50</v>
      </c>
      <c r="D10" s="7" t="s">
        <v>51</v>
      </c>
      <c r="E10" s="9">
        <v>165</v>
      </c>
      <c r="F10" s="10">
        <v>0.2</v>
      </c>
      <c r="G10" s="9">
        <v>90</v>
      </c>
      <c r="H10" s="9">
        <v>0.29699999999999999</v>
      </c>
      <c r="I10" s="9">
        <v>95</v>
      </c>
      <c r="J10" s="9">
        <v>0.28215000000000001</v>
      </c>
      <c r="K10" s="11">
        <v>48.776000000000003</v>
      </c>
      <c r="L10" s="9">
        <v>85.123611060071923</v>
      </c>
      <c r="M10" s="9">
        <v>0</v>
      </c>
      <c r="N10" s="9">
        <v>22.33523313510468</v>
      </c>
      <c r="O10" s="9">
        <v>143.0100613364275</v>
      </c>
      <c r="P10" s="9">
        <v>250.46890553160409</v>
      </c>
      <c r="Q10" s="9">
        <v>92.148589733109944</v>
      </c>
      <c r="R10" s="9">
        <v>47.305360474256723</v>
      </c>
      <c r="S10" s="9">
        <v>74.552335829721628</v>
      </c>
      <c r="T10" s="9">
        <v>66.268359808302918</v>
      </c>
      <c r="U10" s="9">
        <v>280.27464584539121</v>
      </c>
      <c r="V10" s="9">
        <v>530.74355137699536</v>
      </c>
      <c r="W10" s="9">
        <v>121.3435920592334</v>
      </c>
      <c r="X10" s="9">
        <v>311.65578938521008</v>
      </c>
      <c r="Y10" s="9">
        <v>-473.63249328222992</v>
      </c>
      <c r="Z10" s="9">
        <v>490.11043953920893</v>
      </c>
      <c r="AA10" s="9">
        <v>198.29217142124071</v>
      </c>
      <c r="AB10" s="9">
        <v>688.40261096044958</v>
      </c>
      <c r="AC10" s="9">
        <v>0</v>
      </c>
      <c r="AD10" s="9">
        <v>103.9645648681316</v>
      </c>
      <c r="AE10" s="9">
        <v>0</v>
      </c>
      <c r="AF10" s="9">
        <v>0</v>
      </c>
      <c r="AG10" s="9">
        <v>792.36717582858125</v>
      </c>
      <c r="AH10" s="9">
        <v>59.621268673453208</v>
      </c>
      <c r="AI10" s="9">
        <v>0</v>
      </c>
      <c r="AJ10" s="9">
        <v>28.69274135163333</v>
      </c>
      <c r="AK10" s="9">
        <v>776.71662098553611</v>
      </c>
      <c r="AL10" s="9">
        <v>0</v>
      </c>
      <c r="AM10" s="9">
        <v>0</v>
      </c>
      <c r="AN10" s="9">
        <v>0</v>
      </c>
      <c r="AO10" s="9">
        <v>0</v>
      </c>
      <c r="AP10" s="9">
        <v>0</v>
      </c>
      <c r="AQ10" s="9">
        <v>776.71662098553611</v>
      </c>
      <c r="AR10" s="9">
        <v>774.13716043534532</v>
      </c>
      <c r="AS10" s="9">
        <v>8.148695</v>
      </c>
      <c r="AT10" s="9">
        <v>284.0267208961364</v>
      </c>
      <c r="AU10" s="9">
        <v>85.734549474895715</v>
      </c>
    </row>
    <row r="11" spans="1:47" x14ac:dyDescent="0.25">
      <c r="A11" s="8">
        <v>46022</v>
      </c>
      <c r="B11" s="7" t="s">
        <v>86</v>
      </c>
      <c r="C11" s="7" t="s">
        <v>87</v>
      </c>
      <c r="D11" s="7" t="s">
        <v>65</v>
      </c>
      <c r="E11" s="9">
        <v>2893.0366789999998</v>
      </c>
      <c r="F11" s="10">
        <v>2.5999999999999999E-2</v>
      </c>
      <c r="G11" s="9">
        <v>61.71</v>
      </c>
      <c r="H11" s="9">
        <v>0.46400000000000002</v>
      </c>
      <c r="I11" s="9">
        <v>100</v>
      </c>
      <c r="J11" s="9">
        <v>0.46416499999999999</v>
      </c>
      <c r="K11" s="11">
        <v>1.099</v>
      </c>
      <c r="L11" s="9">
        <v>26016.786604831941</v>
      </c>
      <c r="M11" s="9">
        <v>2097.6707578914561</v>
      </c>
      <c r="N11" s="9">
        <v>3023.6933445568952</v>
      </c>
      <c r="O11" s="9">
        <v>2900.060540366082</v>
      </c>
      <c r="P11" s="9">
        <v>34038.211247646374</v>
      </c>
      <c r="Q11" s="9">
        <v>7023.5924215049781</v>
      </c>
      <c r="R11" s="9">
        <v>1389.9782860616319</v>
      </c>
      <c r="S11" s="9">
        <v>6089.3756527279638</v>
      </c>
      <c r="T11" s="9">
        <v>698.17264384738326</v>
      </c>
      <c r="U11" s="9">
        <v>15201.11900414196</v>
      </c>
      <c r="V11" s="9">
        <v>49239.330251788328</v>
      </c>
      <c r="W11" s="9">
        <v>61.616468707215951</v>
      </c>
      <c r="X11" s="9">
        <v>268.34998726655391</v>
      </c>
      <c r="Y11" s="9">
        <v>-47448.088139036132</v>
      </c>
      <c r="Z11" s="9">
        <v>2121.2085687259641</v>
      </c>
      <c r="AA11" s="9">
        <v>629.98740942729455</v>
      </c>
      <c r="AB11" s="9">
        <v>2751.1959781532591</v>
      </c>
      <c r="AC11" s="9">
        <v>0</v>
      </c>
      <c r="AD11" s="9">
        <v>8580.5882343104895</v>
      </c>
      <c r="AE11" s="9">
        <v>0</v>
      </c>
      <c r="AF11" s="9">
        <v>0</v>
      </c>
      <c r="AG11" s="9">
        <v>11331.78421246375</v>
      </c>
      <c r="AH11" s="9">
        <v>1253.0788454587371</v>
      </c>
      <c r="AI11" s="9">
        <v>206.80386570889269</v>
      </c>
      <c r="AJ11" s="9">
        <v>7030.2243261410986</v>
      </c>
      <c r="AK11" s="9">
        <v>11241.30301546199</v>
      </c>
      <c r="AL11" s="9">
        <v>0</v>
      </c>
      <c r="AM11" s="9">
        <v>0</v>
      </c>
      <c r="AN11" s="9">
        <v>0</v>
      </c>
      <c r="AO11" s="9">
        <v>0</v>
      </c>
      <c r="AP11" s="9">
        <v>0</v>
      </c>
      <c r="AQ11" s="9">
        <v>11241.30301546199</v>
      </c>
      <c r="AR11" s="9">
        <v>774.05836221753498</v>
      </c>
      <c r="AS11" s="9">
        <v>671.15455799999995</v>
      </c>
      <c r="AT11" s="9">
        <v>-1347.1502065084289</v>
      </c>
      <c r="AU11" s="9">
        <v>-1977.1376159357239</v>
      </c>
    </row>
    <row r="12" spans="1:47" x14ac:dyDescent="0.25">
      <c r="A12" s="8">
        <v>46022</v>
      </c>
      <c r="B12" s="7" t="s">
        <v>88</v>
      </c>
      <c r="C12" s="7" t="s">
        <v>89</v>
      </c>
      <c r="D12" s="7" t="s">
        <v>90</v>
      </c>
      <c r="E12" s="9">
        <v>3045.8785459999999</v>
      </c>
      <c r="F12" s="10">
        <v>1.03</v>
      </c>
      <c r="G12" s="9">
        <v>85</v>
      </c>
      <c r="H12" s="9">
        <v>26.667000000000002</v>
      </c>
      <c r="I12" s="9">
        <v>100</v>
      </c>
      <c r="J12" s="9">
        <v>26.666667</v>
      </c>
      <c r="K12" s="11">
        <v>85.936000000000007</v>
      </c>
      <c r="L12" s="9">
        <v>45.017998203910992</v>
      </c>
      <c r="M12" s="9">
        <v>4.4949785787353962</v>
      </c>
      <c r="N12" s="9">
        <v>47.84888602435845</v>
      </c>
      <c r="O12" s="9">
        <v>358.56491429846722</v>
      </c>
      <c r="P12" s="9">
        <v>455.92677710547201</v>
      </c>
      <c r="Q12" s="9">
        <v>47.435254344222983</v>
      </c>
      <c r="R12" s="9">
        <v>81.570460412155796</v>
      </c>
      <c r="S12" s="9">
        <v>44.642114941444859</v>
      </c>
      <c r="T12" s="9">
        <v>135.9210062372193</v>
      </c>
      <c r="U12" s="9">
        <v>309.5688359350429</v>
      </c>
      <c r="V12" s="9">
        <v>765.49561304051497</v>
      </c>
      <c r="W12" s="9">
        <v>42.420022799819868</v>
      </c>
      <c r="X12" s="9">
        <v>90.972315578099796</v>
      </c>
      <c r="Y12" s="9">
        <v>-93.647040628110517</v>
      </c>
      <c r="Z12" s="9">
        <v>805.24091079032405</v>
      </c>
      <c r="AA12" s="9">
        <v>13.733579089529959</v>
      </c>
      <c r="AB12" s="9">
        <v>818.9744898798541</v>
      </c>
      <c r="AC12" s="9">
        <v>0</v>
      </c>
      <c r="AD12" s="9">
        <v>435.4486698150784</v>
      </c>
      <c r="AE12" s="9">
        <v>0</v>
      </c>
      <c r="AF12" s="9">
        <v>0</v>
      </c>
      <c r="AG12" s="9">
        <v>1254.423159694933</v>
      </c>
      <c r="AH12" s="9">
        <v>75.510870538166913</v>
      </c>
      <c r="AI12" s="9">
        <v>15.308739707710259</v>
      </c>
      <c r="AJ12" s="9">
        <v>136.077709317212</v>
      </c>
      <c r="AK12" s="9">
        <v>1045.871809442943</v>
      </c>
      <c r="AL12" s="9">
        <v>0</v>
      </c>
      <c r="AM12" s="9">
        <v>13.457067394366581</v>
      </c>
      <c r="AN12" s="9">
        <v>0</v>
      </c>
      <c r="AO12" s="9">
        <v>0</v>
      </c>
      <c r="AP12" s="9">
        <v>0</v>
      </c>
      <c r="AQ12" s="9">
        <v>1059.32887683731</v>
      </c>
      <c r="AR12" s="9">
        <v>774.00095717591807</v>
      </c>
      <c r="AS12" s="9">
        <v>525.86245099999996</v>
      </c>
      <c r="AT12" s="9">
        <v>-31.239953614406051</v>
      </c>
      <c r="AU12" s="9">
        <v>-44.973532703936009</v>
      </c>
    </row>
    <row r="13" spans="1:47" x14ac:dyDescent="0.25">
      <c r="A13" s="8">
        <v>46022</v>
      </c>
      <c r="B13" s="7" t="s">
        <v>133</v>
      </c>
      <c r="C13" s="7" t="s">
        <v>134</v>
      </c>
      <c r="D13" s="7" t="s">
        <v>54</v>
      </c>
      <c r="E13" s="9">
        <v>2480.4</v>
      </c>
      <c r="F13" s="10">
        <v>1.41</v>
      </c>
      <c r="G13" s="9">
        <v>88.4</v>
      </c>
      <c r="H13" s="9">
        <v>30.917000000000002</v>
      </c>
      <c r="I13" s="9">
        <v>100</v>
      </c>
      <c r="J13" s="9">
        <v>30.916698</v>
      </c>
      <c r="K13" s="11">
        <v>100</v>
      </c>
      <c r="L13" s="9">
        <v>53.600171206324418</v>
      </c>
      <c r="M13" s="9">
        <v>11.6183279175349</v>
      </c>
      <c r="N13" s="9">
        <v>1.3021839004644851</v>
      </c>
      <c r="O13" s="9">
        <v>15.36371466005148</v>
      </c>
      <c r="P13" s="9">
        <v>81.884397684375287</v>
      </c>
      <c r="Q13" s="9">
        <v>104.2621669627967</v>
      </c>
      <c r="R13" s="9">
        <v>179.7391157632195</v>
      </c>
      <c r="S13" s="9">
        <v>47.243149373993262</v>
      </c>
      <c r="T13" s="9">
        <v>128.58584836679719</v>
      </c>
      <c r="U13" s="9">
        <v>459.8302804668067</v>
      </c>
      <c r="V13" s="9">
        <v>541.71467815118206</v>
      </c>
      <c r="W13" s="9">
        <v>10.54200550815203</v>
      </c>
      <c r="X13" s="9">
        <v>0</v>
      </c>
      <c r="Y13" s="9">
        <v>2.9483504049999998E-15</v>
      </c>
      <c r="Z13" s="9">
        <v>552.25668365933404</v>
      </c>
      <c r="AA13" s="9">
        <v>15.48003377408506</v>
      </c>
      <c r="AB13" s="9">
        <v>567.73671743341913</v>
      </c>
      <c r="AC13" s="9">
        <v>0</v>
      </c>
      <c r="AD13" s="9">
        <v>139.91513688171389</v>
      </c>
      <c r="AE13" s="9">
        <v>0</v>
      </c>
      <c r="AF13" s="9">
        <v>0</v>
      </c>
      <c r="AG13" s="9">
        <v>707.65185431513305</v>
      </c>
      <c r="AH13" s="9">
        <v>31.774628544735151</v>
      </c>
      <c r="AI13" s="9">
        <v>0</v>
      </c>
      <c r="AJ13" s="9">
        <v>38.652406030311738</v>
      </c>
      <c r="AK13" s="9">
        <v>638.16375200846596</v>
      </c>
      <c r="AL13" s="9">
        <v>0</v>
      </c>
      <c r="AM13" s="9">
        <v>0</v>
      </c>
      <c r="AN13" s="9">
        <v>0</v>
      </c>
      <c r="AO13" s="9">
        <v>0</v>
      </c>
      <c r="AP13" s="9">
        <v>0</v>
      </c>
      <c r="AQ13" s="9">
        <v>638.16375200846596</v>
      </c>
      <c r="AR13" s="9">
        <v>774.00004942096086</v>
      </c>
      <c r="AS13" s="9">
        <v>527.55573900000002</v>
      </c>
      <c r="AT13" s="9">
        <v>221.7433657616269</v>
      </c>
      <c r="AU13" s="9">
        <v>206.26333198754179</v>
      </c>
    </row>
    <row r="14" spans="1:47" x14ac:dyDescent="0.25">
      <c r="A14" s="8">
        <v>46022</v>
      </c>
      <c r="B14" s="7" t="s">
        <v>69</v>
      </c>
      <c r="C14" s="7" t="s">
        <v>70</v>
      </c>
      <c r="D14" s="7" t="s">
        <v>71</v>
      </c>
      <c r="E14" s="9">
        <v>390.44117599999998</v>
      </c>
      <c r="F14" s="10">
        <v>1</v>
      </c>
      <c r="G14" s="9">
        <v>68</v>
      </c>
      <c r="H14" s="9">
        <v>2.6549999999999998</v>
      </c>
      <c r="I14" s="9">
        <v>100</v>
      </c>
      <c r="J14" s="9">
        <v>2.6549999999999998</v>
      </c>
      <c r="K14" s="11">
        <v>100</v>
      </c>
      <c r="L14" s="9">
        <v>142.84604274059481</v>
      </c>
      <c r="M14" s="9">
        <v>44.299298305533718</v>
      </c>
      <c r="N14" s="9">
        <v>28.318151842102569</v>
      </c>
      <c r="O14" s="9">
        <v>96.242995483939879</v>
      </c>
      <c r="P14" s="9">
        <v>311.7064883721709</v>
      </c>
      <c r="Q14" s="9">
        <v>75.405128793155924</v>
      </c>
      <c r="R14" s="9">
        <v>12.0228259580648</v>
      </c>
      <c r="S14" s="9">
        <v>12.74663931114388</v>
      </c>
      <c r="T14" s="9">
        <v>81.250246804975532</v>
      </c>
      <c r="U14" s="9">
        <v>181.42484086734009</v>
      </c>
      <c r="V14" s="9">
        <v>493.1313292395111</v>
      </c>
      <c r="W14" s="9">
        <v>47.764532407075073</v>
      </c>
      <c r="X14" s="9">
        <v>232.04025100000001</v>
      </c>
      <c r="Y14" s="9">
        <v>-4.5359237000000001E-16</v>
      </c>
      <c r="Z14" s="9">
        <v>772.93611264658625</v>
      </c>
      <c r="AA14" s="9">
        <v>36.644768793362637</v>
      </c>
      <c r="AB14" s="9">
        <v>809.58088143994883</v>
      </c>
      <c r="AC14" s="9">
        <v>0</v>
      </c>
      <c r="AD14" s="9">
        <v>185.60750282225729</v>
      </c>
      <c r="AE14" s="9">
        <v>0</v>
      </c>
      <c r="AF14" s="9">
        <v>0</v>
      </c>
      <c r="AG14" s="9">
        <v>995.18838426220611</v>
      </c>
      <c r="AH14" s="9">
        <v>25.626688142715199</v>
      </c>
      <c r="AI14" s="9">
        <v>0</v>
      </c>
      <c r="AJ14" s="9">
        <v>34.16891974711227</v>
      </c>
      <c r="AK14" s="9">
        <v>869.37648932977629</v>
      </c>
      <c r="AL14" s="9">
        <v>256.26687475667592</v>
      </c>
      <c r="AM14" s="9">
        <v>0</v>
      </c>
      <c r="AN14" s="9">
        <v>0</v>
      </c>
      <c r="AO14" s="9">
        <v>0</v>
      </c>
      <c r="AP14" s="9">
        <v>0</v>
      </c>
      <c r="AQ14" s="9">
        <v>1125.643364086452</v>
      </c>
      <c r="AR14" s="9">
        <v>773.99999935093092</v>
      </c>
      <c r="AS14" s="9">
        <v>45.304333</v>
      </c>
      <c r="AT14" s="9">
        <v>1.063886704344766</v>
      </c>
      <c r="AU14" s="9">
        <v>-35.580882089017877</v>
      </c>
    </row>
    <row r="15" spans="1:47" x14ac:dyDescent="0.25">
      <c r="A15" s="8">
        <v>46022</v>
      </c>
      <c r="B15" s="7" t="s">
        <v>135</v>
      </c>
      <c r="C15" s="7" t="s">
        <v>136</v>
      </c>
      <c r="D15" s="7" t="s">
        <v>65</v>
      </c>
      <c r="E15" s="9">
        <v>3539.702448</v>
      </c>
      <c r="F15" s="10">
        <v>4.53E-2</v>
      </c>
      <c r="G15" s="9">
        <v>35</v>
      </c>
      <c r="H15" s="9">
        <v>0.56100000000000005</v>
      </c>
      <c r="I15" s="9">
        <v>100</v>
      </c>
      <c r="J15" s="9">
        <v>0.56138399999999999</v>
      </c>
      <c r="K15" s="11">
        <v>1.81</v>
      </c>
      <c r="L15" s="9">
        <v>4154.0182538551444</v>
      </c>
      <c r="M15" s="9">
        <v>268.5202254222927</v>
      </c>
      <c r="N15" s="9">
        <v>113.21309372076441</v>
      </c>
      <c r="O15" s="9">
        <v>560.21095533138407</v>
      </c>
      <c r="P15" s="9">
        <v>5095.9625283295863</v>
      </c>
      <c r="Q15" s="9">
        <v>1455.087100700149</v>
      </c>
      <c r="R15" s="9">
        <v>239.23186610276761</v>
      </c>
      <c r="S15" s="9">
        <v>900.68976471631834</v>
      </c>
      <c r="T15" s="9">
        <v>755.52274610756535</v>
      </c>
      <c r="U15" s="9">
        <v>3350.531477626801</v>
      </c>
      <c r="V15" s="9">
        <v>8446.4940059563869</v>
      </c>
      <c r="W15" s="9">
        <v>174.3698248396459</v>
      </c>
      <c r="X15" s="9">
        <v>361.71250714197799</v>
      </c>
      <c r="Y15" s="9">
        <v>-29948.61388018959</v>
      </c>
      <c r="Z15" s="9">
        <v>-20966.037542251579</v>
      </c>
      <c r="AA15" s="9">
        <v>792.49839197017741</v>
      </c>
      <c r="AB15" s="9">
        <v>-20173.539150281402</v>
      </c>
      <c r="AC15" s="9">
        <v>0</v>
      </c>
      <c r="AD15" s="9">
        <v>5786.9212274945266</v>
      </c>
      <c r="AE15" s="9">
        <v>0</v>
      </c>
      <c r="AF15" s="9">
        <v>0</v>
      </c>
      <c r="AG15" s="9">
        <v>-14386.617922786871</v>
      </c>
      <c r="AH15" s="9">
        <v>73.923386725611422</v>
      </c>
      <c r="AI15" s="9">
        <v>0</v>
      </c>
      <c r="AJ15" s="9">
        <v>2678.0902191746682</v>
      </c>
      <c r="AK15" s="9">
        <v>-17421.525544381118</v>
      </c>
      <c r="AL15" s="9">
        <v>0</v>
      </c>
      <c r="AM15" s="9">
        <v>0</v>
      </c>
      <c r="AN15" s="9">
        <v>0</v>
      </c>
      <c r="AO15" s="9">
        <v>0</v>
      </c>
      <c r="AP15" s="9">
        <v>0</v>
      </c>
      <c r="AQ15" s="9">
        <v>-17421.525544381118</v>
      </c>
      <c r="AR15" s="9">
        <v>774.02205911748933</v>
      </c>
      <c r="AS15" s="9">
        <v>478.31796200000002</v>
      </c>
      <c r="AT15" s="9">
        <v>21740.059601369059</v>
      </c>
      <c r="AU15" s="9">
        <v>20947.561209398889</v>
      </c>
    </row>
    <row r="16" spans="1:47" x14ac:dyDescent="0.25">
      <c r="A16" s="8">
        <v>46022</v>
      </c>
      <c r="B16" s="7" t="s">
        <v>91</v>
      </c>
      <c r="C16" s="7" t="s">
        <v>92</v>
      </c>
      <c r="D16" s="7" t="s">
        <v>65</v>
      </c>
      <c r="E16" s="9">
        <v>3321.8980000000001</v>
      </c>
      <c r="F16" s="10">
        <v>8.4699999999999998E-2</v>
      </c>
      <c r="G16" s="9">
        <v>31.12</v>
      </c>
      <c r="H16" s="9">
        <v>0.876</v>
      </c>
      <c r="I16" s="9">
        <v>100</v>
      </c>
      <c r="J16" s="9">
        <v>0.87570499999999996</v>
      </c>
      <c r="K16" s="11">
        <v>2.6909999999999998</v>
      </c>
      <c r="L16" s="9">
        <v>3209.8026373907519</v>
      </c>
      <c r="M16" s="9">
        <v>227.47045820982709</v>
      </c>
      <c r="N16" s="9">
        <v>156.421105938491</v>
      </c>
      <c r="O16" s="9">
        <v>4501.2304353031031</v>
      </c>
      <c r="P16" s="9">
        <v>8094.9246368421727</v>
      </c>
      <c r="Q16" s="9">
        <v>1144.345211531697</v>
      </c>
      <c r="R16" s="9">
        <v>145.58905645302789</v>
      </c>
      <c r="S16" s="9">
        <v>532.29217348353529</v>
      </c>
      <c r="T16" s="9">
        <v>228.281919861749</v>
      </c>
      <c r="U16" s="9">
        <v>2050.5083613300089</v>
      </c>
      <c r="V16" s="9">
        <v>10145.43299817218</v>
      </c>
      <c r="W16" s="9">
        <v>182.82791688982991</v>
      </c>
      <c r="X16" s="9">
        <v>260.60823752831641</v>
      </c>
      <c r="Y16" s="9">
        <v>-16618.73676395007</v>
      </c>
      <c r="Z16" s="9">
        <v>-6029.8676113597421</v>
      </c>
      <c r="AA16" s="9">
        <v>517.76595795317519</v>
      </c>
      <c r="AB16" s="9">
        <v>-5512.1016534065666</v>
      </c>
      <c r="AC16" s="9">
        <v>0</v>
      </c>
      <c r="AD16" s="9">
        <v>1804.5239822500589</v>
      </c>
      <c r="AE16" s="9">
        <v>0</v>
      </c>
      <c r="AF16" s="9">
        <v>0</v>
      </c>
      <c r="AG16" s="9">
        <v>-3707.5776711565081</v>
      </c>
      <c r="AH16" s="9">
        <v>10.2723198939232</v>
      </c>
      <c r="AI16" s="9">
        <v>0</v>
      </c>
      <c r="AJ16" s="9">
        <v>1012.103460380035</v>
      </c>
      <c r="AK16" s="9">
        <v>-4489.7258731326092</v>
      </c>
      <c r="AL16" s="9">
        <v>20.178484063654292</v>
      </c>
      <c r="AM16" s="9">
        <v>0</v>
      </c>
      <c r="AN16" s="9">
        <v>0</v>
      </c>
      <c r="AO16" s="9">
        <v>0</v>
      </c>
      <c r="AP16" s="9">
        <v>0</v>
      </c>
      <c r="AQ16" s="9">
        <v>-4469.5473890689555</v>
      </c>
      <c r="AR16" s="9">
        <v>773.99558005448205</v>
      </c>
      <c r="AS16" s="9">
        <v>503.95921600000003</v>
      </c>
      <c r="AT16" s="9">
        <v>6803.8631914142243</v>
      </c>
      <c r="AU16" s="9">
        <v>6286.0972334610487</v>
      </c>
    </row>
    <row r="17" spans="1:47" x14ac:dyDescent="0.25">
      <c r="A17" s="8">
        <v>46022</v>
      </c>
      <c r="B17" s="7" t="s">
        <v>137</v>
      </c>
      <c r="C17" s="7" t="s">
        <v>138</v>
      </c>
      <c r="D17" s="7" t="s">
        <v>139</v>
      </c>
      <c r="E17" s="9">
        <v>2740.6443869999998</v>
      </c>
      <c r="F17" s="10">
        <v>1.4379999999999999</v>
      </c>
      <c r="G17" s="9">
        <v>87.85</v>
      </c>
      <c r="H17" s="9">
        <v>34.621000000000002</v>
      </c>
      <c r="I17" s="9">
        <v>100</v>
      </c>
      <c r="J17" s="9">
        <v>34.620772000000002</v>
      </c>
      <c r="K17" s="11">
        <v>100</v>
      </c>
      <c r="L17" s="9">
        <v>71.050489912713189</v>
      </c>
      <c r="M17" s="9">
        <v>8.3820932774724284</v>
      </c>
      <c r="N17" s="9">
        <v>0.47113852221628277</v>
      </c>
      <c r="O17" s="9">
        <v>25.91488805766296</v>
      </c>
      <c r="P17" s="9">
        <v>105.8186097700649</v>
      </c>
      <c r="Q17" s="9">
        <v>80.826303651321496</v>
      </c>
      <c r="R17" s="9">
        <v>89.201764866828114</v>
      </c>
      <c r="S17" s="9">
        <v>138.89496853858819</v>
      </c>
      <c r="T17" s="9">
        <v>6.234651720982721</v>
      </c>
      <c r="U17" s="9">
        <v>315.15768877772058</v>
      </c>
      <c r="V17" s="9">
        <v>420.9762985477854</v>
      </c>
      <c r="W17" s="9">
        <v>6.8531114134122673</v>
      </c>
      <c r="X17" s="9">
        <v>49.995919434817907</v>
      </c>
      <c r="Y17" s="9">
        <v>-1.81436948E-15</v>
      </c>
      <c r="Z17" s="9">
        <v>477.8253293960156</v>
      </c>
      <c r="AA17" s="9">
        <v>61.919974097119962</v>
      </c>
      <c r="AB17" s="9">
        <v>539.74530349313557</v>
      </c>
      <c r="AC17" s="9">
        <v>0</v>
      </c>
      <c r="AD17" s="9">
        <v>0</v>
      </c>
      <c r="AE17" s="9">
        <v>0</v>
      </c>
      <c r="AF17" s="9">
        <v>0</v>
      </c>
      <c r="AG17" s="9">
        <v>539.74530349313557</v>
      </c>
      <c r="AH17" s="9">
        <v>10.48139403549134</v>
      </c>
      <c r="AI17" s="9">
        <v>0</v>
      </c>
      <c r="AJ17" s="9">
        <v>24.89330634589048</v>
      </c>
      <c r="AK17" s="9">
        <v>575.12000387451735</v>
      </c>
      <c r="AL17" s="9">
        <v>3.9305218656289629</v>
      </c>
      <c r="AM17" s="9">
        <v>0</v>
      </c>
      <c r="AN17" s="9">
        <v>0</v>
      </c>
      <c r="AO17" s="9">
        <v>0</v>
      </c>
      <c r="AP17" s="9">
        <v>0</v>
      </c>
      <c r="AQ17" s="9">
        <v>579.05052574014644</v>
      </c>
      <c r="AR17" s="9">
        <v>774.00062533350513</v>
      </c>
      <c r="AS17" s="9">
        <v>590.76168299999995</v>
      </c>
      <c r="AT17" s="9">
        <v>296.17529593748952</v>
      </c>
      <c r="AU17" s="9">
        <v>234.25532184036959</v>
      </c>
    </row>
    <row r="18" spans="1:47" x14ac:dyDescent="0.25">
      <c r="A18" s="8">
        <v>46022</v>
      </c>
      <c r="B18" s="7" t="s">
        <v>52</v>
      </c>
      <c r="C18" s="7" t="s">
        <v>53</v>
      </c>
      <c r="D18" s="7" t="s">
        <v>54</v>
      </c>
      <c r="E18" s="9">
        <v>535.79999999999995</v>
      </c>
      <c r="F18" s="10">
        <v>1.39</v>
      </c>
      <c r="G18" s="9">
        <v>89.1</v>
      </c>
      <c r="H18" s="9">
        <v>6.6360000000000001</v>
      </c>
      <c r="I18" s="9">
        <v>100</v>
      </c>
      <c r="J18" s="9">
        <v>6.6358290000000002</v>
      </c>
      <c r="K18" s="11">
        <v>100</v>
      </c>
      <c r="L18" s="9">
        <v>0.79251673864356786</v>
      </c>
      <c r="M18" s="9">
        <v>0.21805939350937151</v>
      </c>
      <c r="N18" s="9">
        <v>2.5611604810477751E-2</v>
      </c>
      <c r="O18" s="9">
        <v>5.4801436118858661E-2</v>
      </c>
      <c r="P18" s="9">
        <v>1.0909891730822761</v>
      </c>
      <c r="Q18" s="9">
        <v>58.430343781836513</v>
      </c>
      <c r="R18" s="9">
        <v>50.251125976512867</v>
      </c>
      <c r="S18" s="9">
        <v>16.53800251644638</v>
      </c>
      <c r="T18" s="9">
        <v>52.963253188618538</v>
      </c>
      <c r="U18" s="9">
        <v>178.1827254634143</v>
      </c>
      <c r="V18" s="9">
        <v>179.27371463649661</v>
      </c>
      <c r="W18" s="9">
        <v>10.005338494089919</v>
      </c>
      <c r="X18" s="9">
        <v>0</v>
      </c>
      <c r="Y18" s="9">
        <v>0</v>
      </c>
      <c r="Z18" s="9">
        <v>189.2790531305865</v>
      </c>
      <c r="AA18" s="9">
        <v>15.47991772484658</v>
      </c>
      <c r="AB18" s="9">
        <v>204.75897085543309</v>
      </c>
      <c r="AC18" s="9">
        <v>0</v>
      </c>
      <c r="AD18" s="9">
        <v>59.247080389293423</v>
      </c>
      <c r="AE18" s="9">
        <v>0</v>
      </c>
      <c r="AF18" s="9">
        <v>0</v>
      </c>
      <c r="AG18" s="9">
        <v>264.00605124472651</v>
      </c>
      <c r="AH18" s="9">
        <v>23.946682024491778</v>
      </c>
      <c r="AI18" s="9">
        <v>0</v>
      </c>
      <c r="AJ18" s="9">
        <v>38.652409163759572</v>
      </c>
      <c r="AK18" s="9">
        <v>267.35806204368441</v>
      </c>
      <c r="AL18" s="9">
        <v>0</v>
      </c>
      <c r="AM18" s="9">
        <v>0</v>
      </c>
      <c r="AN18" s="9">
        <v>0</v>
      </c>
      <c r="AO18" s="9">
        <v>0</v>
      </c>
      <c r="AP18" s="9">
        <v>0</v>
      </c>
      <c r="AQ18" s="9">
        <v>267.35806204368441</v>
      </c>
      <c r="AR18" s="9">
        <v>773.99661680445763</v>
      </c>
      <c r="AS18" s="9">
        <v>113.231826</v>
      </c>
      <c r="AT18" s="9">
        <v>584.71756367387115</v>
      </c>
      <c r="AU18" s="9">
        <v>569.23764594902445</v>
      </c>
    </row>
    <row r="19" spans="1:47" x14ac:dyDescent="0.25">
      <c r="A19" s="8">
        <v>46022</v>
      </c>
      <c r="B19" s="7" t="s">
        <v>55</v>
      </c>
      <c r="C19" s="7" t="s">
        <v>56</v>
      </c>
      <c r="D19" s="7" t="s">
        <v>57</v>
      </c>
      <c r="E19" s="9">
        <v>684</v>
      </c>
      <c r="F19" s="10">
        <v>1.8</v>
      </c>
      <c r="G19" s="9">
        <v>80</v>
      </c>
      <c r="H19" s="9">
        <v>9.85</v>
      </c>
      <c r="I19" s="9">
        <v>92</v>
      </c>
      <c r="J19" s="9">
        <v>9.0616319999999995</v>
      </c>
      <c r="K19" s="11">
        <v>58.113999999999997</v>
      </c>
      <c r="L19" s="9">
        <v>99.02975984578562</v>
      </c>
      <c r="M19" s="9">
        <v>96.109550108728186</v>
      </c>
      <c r="N19" s="9">
        <v>27.320305329055401</v>
      </c>
      <c r="O19" s="9">
        <v>86.875079846425265</v>
      </c>
      <c r="P19" s="9">
        <v>309.33469512999449</v>
      </c>
      <c r="Q19" s="9">
        <v>45.220974869222978</v>
      </c>
      <c r="R19" s="9">
        <v>23.087543486009508</v>
      </c>
      <c r="S19" s="9">
        <v>39.828203952047097</v>
      </c>
      <c r="T19" s="9">
        <v>63.45868531602121</v>
      </c>
      <c r="U19" s="9">
        <v>171.59540762330079</v>
      </c>
      <c r="V19" s="9">
        <v>480.93010275329527</v>
      </c>
      <c r="W19" s="9">
        <v>14.963133495977679</v>
      </c>
      <c r="X19" s="9">
        <v>179.60677093787831</v>
      </c>
      <c r="Y19" s="9">
        <v>-441.42600910114038</v>
      </c>
      <c r="Z19" s="9">
        <v>234.07399808601079</v>
      </c>
      <c r="AA19" s="9">
        <v>49.368235930236899</v>
      </c>
      <c r="AB19" s="9">
        <v>283.44223401624771</v>
      </c>
      <c r="AC19" s="9">
        <v>0</v>
      </c>
      <c r="AD19" s="9">
        <v>304.01394843606232</v>
      </c>
      <c r="AE19" s="9">
        <v>0</v>
      </c>
      <c r="AF19" s="9">
        <v>0</v>
      </c>
      <c r="AG19" s="9">
        <v>587.45618245231003</v>
      </c>
      <c r="AH19" s="9">
        <v>46.667625697761402</v>
      </c>
      <c r="AI19" s="9">
        <v>0</v>
      </c>
      <c r="AJ19" s="9">
        <v>125.1409169272944</v>
      </c>
      <c r="AK19" s="9">
        <v>455.2507766413035</v>
      </c>
      <c r="AL19" s="9">
        <v>0</v>
      </c>
      <c r="AM19" s="9">
        <v>0</v>
      </c>
      <c r="AN19" s="9">
        <v>0</v>
      </c>
      <c r="AO19" s="9">
        <v>0</v>
      </c>
      <c r="AP19" s="9">
        <v>0</v>
      </c>
      <c r="AQ19" s="9">
        <v>455.2507766413035</v>
      </c>
      <c r="AR19" s="9">
        <v>773.99726606845161</v>
      </c>
      <c r="AS19" s="9">
        <v>249.118461</v>
      </c>
      <c r="AT19" s="9">
        <v>539.92326798244085</v>
      </c>
      <c r="AU19" s="9">
        <v>490.5550320522039</v>
      </c>
    </row>
    <row r="20" spans="1:47" x14ac:dyDescent="0.25">
      <c r="A20" s="8">
        <v>46022</v>
      </c>
      <c r="B20" s="7" t="s">
        <v>140</v>
      </c>
      <c r="C20" s="7" t="s">
        <v>141</v>
      </c>
      <c r="D20" s="7" t="s">
        <v>51</v>
      </c>
      <c r="E20" s="9">
        <v>1500</v>
      </c>
      <c r="F20" s="10">
        <v>0.49790000000000001</v>
      </c>
      <c r="G20" s="9">
        <v>85</v>
      </c>
      <c r="H20" s="9">
        <v>6.3479999999999999</v>
      </c>
      <c r="I20" s="9">
        <v>95</v>
      </c>
      <c r="J20" s="9">
        <v>6.0308979999999996</v>
      </c>
      <c r="K20" s="11">
        <v>69.081999999999994</v>
      </c>
      <c r="L20" s="9">
        <v>145.11825465712161</v>
      </c>
      <c r="M20" s="9">
        <v>26.925498404893428</v>
      </c>
      <c r="N20" s="9">
        <v>8.5954462659799589</v>
      </c>
      <c r="O20" s="9">
        <v>48.686872025528118</v>
      </c>
      <c r="P20" s="9">
        <v>229.3260713535231</v>
      </c>
      <c r="Q20" s="9">
        <v>38.772288997983217</v>
      </c>
      <c r="R20" s="9">
        <v>20.642904673842679</v>
      </c>
      <c r="S20" s="9">
        <v>27.137684847815201</v>
      </c>
      <c r="T20" s="9">
        <v>36.08644049453639</v>
      </c>
      <c r="U20" s="9">
        <v>122.6393190141775</v>
      </c>
      <c r="V20" s="9">
        <v>351.96539036770059</v>
      </c>
      <c r="W20" s="9">
        <v>70.912819529253539</v>
      </c>
      <c r="X20" s="9">
        <v>139.31237736295009</v>
      </c>
      <c r="Y20" s="9">
        <v>-291.69843477193962</v>
      </c>
      <c r="Z20" s="9">
        <v>270.49215248796457</v>
      </c>
      <c r="AA20" s="9">
        <v>67.720292039877449</v>
      </c>
      <c r="AB20" s="9">
        <v>338.21244452784202</v>
      </c>
      <c r="AC20" s="9">
        <v>0</v>
      </c>
      <c r="AD20" s="9">
        <v>46.372541586301658</v>
      </c>
      <c r="AE20" s="9">
        <v>0</v>
      </c>
      <c r="AF20" s="9">
        <v>0</v>
      </c>
      <c r="AG20" s="9">
        <v>384.5849861141437</v>
      </c>
      <c r="AH20" s="9">
        <v>25.35750963578019</v>
      </c>
      <c r="AI20" s="9">
        <v>15.88439128805088</v>
      </c>
      <c r="AJ20" s="9">
        <v>12.203303980093761</v>
      </c>
      <c r="AK20" s="9">
        <v>391.65764943176691</v>
      </c>
      <c r="AL20" s="9">
        <v>0</v>
      </c>
      <c r="AM20" s="9">
        <v>0</v>
      </c>
      <c r="AN20" s="9">
        <v>0</v>
      </c>
      <c r="AO20" s="9">
        <v>0</v>
      </c>
      <c r="AP20" s="9">
        <v>0</v>
      </c>
      <c r="AQ20" s="9">
        <v>391.65764943176691</v>
      </c>
      <c r="AR20" s="9">
        <v>774.00025602912365</v>
      </c>
      <c r="AS20" s="9">
        <v>150.065946</v>
      </c>
      <c r="AT20" s="9">
        <v>503.50810354115902</v>
      </c>
      <c r="AU20" s="9">
        <v>435.78781150128151</v>
      </c>
    </row>
    <row r="21" spans="1:47" x14ac:dyDescent="0.25">
      <c r="A21" s="8">
        <v>46022</v>
      </c>
      <c r="B21" s="7" t="s">
        <v>142</v>
      </c>
      <c r="C21" s="7" t="s">
        <v>143</v>
      </c>
      <c r="D21" s="7" t="s">
        <v>65</v>
      </c>
      <c r="E21" s="9">
        <v>2590.2488560000002</v>
      </c>
      <c r="F21" s="10">
        <v>1.35E-2</v>
      </c>
      <c r="G21" s="9">
        <v>35</v>
      </c>
      <c r="H21" s="9">
        <v>0.123</v>
      </c>
      <c r="I21" s="9">
        <v>100</v>
      </c>
      <c r="J21" s="9">
        <v>0.122584</v>
      </c>
      <c r="K21" s="11">
        <v>0.93</v>
      </c>
      <c r="L21" s="9">
        <v>16140.38268769258</v>
      </c>
      <c r="M21" s="9">
        <v>16124.3352122488</v>
      </c>
      <c r="N21" s="9">
        <v>6823.4329481045352</v>
      </c>
      <c r="O21" s="9">
        <v>11824.22329001827</v>
      </c>
      <c r="P21" s="9">
        <v>50912.374138064188</v>
      </c>
      <c r="Q21" s="9">
        <v>4818.8413183891716</v>
      </c>
      <c r="R21" s="9">
        <v>1437.4821094465699</v>
      </c>
      <c r="S21" s="9">
        <v>7058.7968797389012</v>
      </c>
      <c r="T21" s="9">
        <v>988.94256705962437</v>
      </c>
      <c r="U21" s="9">
        <v>14304.06287463427</v>
      </c>
      <c r="V21" s="9">
        <v>65216.437012698458</v>
      </c>
      <c r="W21" s="9">
        <v>137.4772409071922</v>
      </c>
      <c r="X21" s="9">
        <v>3157.325893528809</v>
      </c>
      <c r="Y21" s="9">
        <v>-40270.283176474972</v>
      </c>
      <c r="Z21" s="9">
        <v>28240.956970659488</v>
      </c>
      <c r="AA21" s="9">
        <v>326.70003370059322</v>
      </c>
      <c r="AB21" s="9">
        <v>28567.65700436008</v>
      </c>
      <c r="AC21" s="9">
        <v>0</v>
      </c>
      <c r="AD21" s="9">
        <v>11439.41167227193</v>
      </c>
      <c r="AE21" s="9">
        <v>0</v>
      </c>
      <c r="AF21" s="9">
        <v>0</v>
      </c>
      <c r="AG21" s="9">
        <v>40007.068676632007</v>
      </c>
      <c r="AH21" s="9">
        <v>706.76271605287025</v>
      </c>
      <c r="AI21" s="9">
        <v>0</v>
      </c>
      <c r="AJ21" s="9">
        <v>2077.8562192705972</v>
      </c>
      <c r="AK21" s="9">
        <v>31352.27593968355</v>
      </c>
      <c r="AL21" s="9">
        <v>33493.698802131723</v>
      </c>
      <c r="AM21" s="9">
        <v>0</v>
      </c>
      <c r="AN21" s="9">
        <v>0</v>
      </c>
      <c r="AO21" s="9">
        <v>0</v>
      </c>
      <c r="AP21" s="9">
        <v>0</v>
      </c>
      <c r="AQ21" s="9">
        <v>64845.974741815269</v>
      </c>
      <c r="AR21" s="9">
        <v>774.10102395438332</v>
      </c>
      <c r="AS21" s="9">
        <v>162.19894600000001</v>
      </c>
      <c r="AT21" s="9">
        <v>-27466.855946705102</v>
      </c>
      <c r="AU21" s="9">
        <v>-27793.555980405701</v>
      </c>
    </row>
    <row r="22" spans="1:47" x14ac:dyDescent="0.25">
      <c r="A22" s="8">
        <v>46022</v>
      </c>
      <c r="B22" s="7" t="s">
        <v>144</v>
      </c>
      <c r="C22" s="7" t="s">
        <v>145</v>
      </c>
      <c r="D22" s="7" t="s">
        <v>126</v>
      </c>
      <c r="E22" s="9">
        <v>2296.2963869999999</v>
      </c>
      <c r="F22" s="10">
        <v>1.5</v>
      </c>
      <c r="G22" s="9">
        <v>90</v>
      </c>
      <c r="H22" s="9">
        <v>31</v>
      </c>
      <c r="I22" s="9">
        <v>100</v>
      </c>
      <c r="J22" s="9">
        <v>31</v>
      </c>
      <c r="K22" s="11">
        <v>92.051330566406307</v>
      </c>
      <c r="L22" s="9">
        <v>43.862844493751602</v>
      </c>
      <c r="M22" s="9">
        <v>34.179627845348797</v>
      </c>
      <c r="N22" s="9">
        <v>12.89964147525021</v>
      </c>
      <c r="O22" s="9">
        <v>162.6874419810508</v>
      </c>
      <c r="P22" s="9">
        <v>253.62955579540139</v>
      </c>
      <c r="Q22" s="9">
        <v>44.612510462725787</v>
      </c>
      <c r="R22" s="9">
        <v>286.05707897190138</v>
      </c>
      <c r="S22" s="9">
        <v>70.502245267932025</v>
      </c>
      <c r="T22" s="9">
        <v>99.451876572311363</v>
      </c>
      <c r="U22" s="9">
        <v>500.62371127487057</v>
      </c>
      <c r="V22" s="9">
        <v>754.25326707027193</v>
      </c>
      <c r="W22" s="9">
        <v>3.5847082496924929</v>
      </c>
      <c r="X22" s="9">
        <v>196.74885599999999</v>
      </c>
      <c r="Y22" s="9">
        <v>-46.449515824252579</v>
      </c>
      <c r="Z22" s="9">
        <v>908.13731549571185</v>
      </c>
      <c r="AA22" s="9">
        <v>0</v>
      </c>
      <c r="AB22" s="9">
        <v>908.13731549571185</v>
      </c>
      <c r="AC22" s="9">
        <v>0</v>
      </c>
      <c r="AD22" s="9">
        <v>206.57151447668571</v>
      </c>
      <c r="AE22" s="9">
        <v>0</v>
      </c>
      <c r="AF22" s="9">
        <v>0</v>
      </c>
      <c r="AG22" s="9">
        <v>1114.708829972398</v>
      </c>
      <c r="AH22" s="9">
        <v>23.33957003157029</v>
      </c>
      <c r="AI22" s="9">
        <v>0</v>
      </c>
      <c r="AJ22" s="9">
        <v>105.547491600155</v>
      </c>
      <c r="AK22" s="9">
        <v>1037.024377127437</v>
      </c>
      <c r="AL22" s="9">
        <v>0</v>
      </c>
      <c r="AM22" s="9">
        <v>0</v>
      </c>
      <c r="AN22" s="9">
        <v>0</v>
      </c>
      <c r="AO22" s="9">
        <v>0</v>
      </c>
      <c r="AP22" s="9">
        <v>0</v>
      </c>
      <c r="AQ22" s="9">
        <v>1037.024377127437</v>
      </c>
      <c r="AR22" s="9">
        <v>773.99999935093092</v>
      </c>
      <c r="AS22" s="9">
        <v>576.45222899999999</v>
      </c>
      <c r="AT22" s="9">
        <v>-134.13731614478101</v>
      </c>
      <c r="AU22" s="9">
        <v>-134.13731614478101</v>
      </c>
    </row>
    <row r="23" spans="1:47" x14ac:dyDescent="0.25">
      <c r="A23" s="8">
        <v>46022</v>
      </c>
      <c r="B23" s="7" t="s">
        <v>58</v>
      </c>
      <c r="C23" s="7" t="s">
        <v>59</v>
      </c>
      <c r="D23" s="7" t="s">
        <v>60</v>
      </c>
      <c r="E23" s="9">
        <v>264.34047099999998</v>
      </c>
      <c r="F23" s="10">
        <v>1.95</v>
      </c>
      <c r="G23" s="9">
        <v>97</v>
      </c>
      <c r="H23" s="9">
        <v>5</v>
      </c>
      <c r="I23" s="9">
        <v>100</v>
      </c>
      <c r="J23" s="9">
        <v>5</v>
      </c>
      <c r="K23" s="11">
        <v>100</v>
      </c>
      <c r="L23" s="9">
        <v>51.425816218309052</v>
      </c>
      <c r="M23" s="9">
        <v>171.5460399445461</v>
      </c>
      <c r="N23" s="9">
        <v>0.54415497130900325</v>
      </c>
      <c r="O23" s="9">
        <v>31.423524548070581</v>
      </c>
      <c r="P23" s="9">
        <v>254.9395356822348</v>
      </c>
      <c r="Q23" s="9">
        <v>105.52323994249549</v>
      </c>
      <c r="R23" s="9">
        <v>178.48237256057789</v>
      </c>
      <c r="S23" s="9">
        <v>79.576343876747046</v>
      </c>
      <c r="T23" s="9">
        <v>188.45358465650239</v>
      </c>
      <c r="U23" s="9">
        <v>552.0355410363228</v>
      </c>
      <c r="V23" s="9">
        <v>806.9750767185576</v>
      </c>
      <c r="W23" s="9">
        <v>0</v>
      </c>
      <c r="X23" s="9">
        <v>38.673375</v>
      </c>
      <c r="Y23" s="9">
        <v>-4.6266421739999999E-15</v>
      </c>
      <c r="Z23" s="9">
        <v>845.64845171855745</v>
      </c>
      <c r="AA23" s="9">
        <v>0</v>
      </c>
      <c r="AB23" s="9">
        <v>845.64845171855745</v>
      </c>
      <c r="AC23" s="9">
        <v>0</v>
      </c>
      <c r="AD23" s="9">
        <v>89.518731334568614</v>
      </c>
      <c r="AE23" s="9">
        <v>0</v>
      </c>
      <c r="AF23" s="9">
        <v>0</v>
      </c>
      <c r="AG23" s="9">
        <v>935.16718305312622</v>
      </c>
      <c r="AH23" s="9">
        <v>122.2335205337903</v>
      </c>
      <c r="AI23" s="9">
        <v>0</v>
      </c>
      <c r="AJ23" s="9">
        <v>86.343975622071156</v>
      </c>
      <c r="AK23" s="9">
        <v>1054.225947874419</v>
      </c>
      <c r="AL23" s="9">
        <v>0</v>
      </c>
      <c r="AM23" s="9">
        <v>0</v>
      </c>
      <c r="AN23" s="9">
        <v>0</v>
      </c>
      <c r="AO23" s="9">
        <v>0</v>
      </c>
      <c r="AP23" s="9">
        <v>0</v>
      </c>
      <c r="AQ23" s="9">
        <v>1054.225947874419</v>
      </c>
      <c r="AR23" s="9">
        <v>773.99999935093092</v>
      </c>
      <c r="AS23" s="9">
        <v>85.318895999999995</v>
      </c>
      <c r="AT23" s="9">
        <v>-71.648452367626675</v>
      </c>
      <c r="AU23" s="9">
        <v>-71.648452367626675</v>
      </c>
    </row>
    <row r="24" spans="1:47" x14ac:dyDescent="0.25">
      <c r="A24" s="8">
        <v>46022</v>
      </c>
      <c r="B24" s="7" t="s">
        <v>146</v>
      </c>
      <c r="C24" s="7" t="s">
        <v>147</v>
      </c>
      <c r="D24" s="7" t="s">
        <v>60</v>
      </c>
      <c r="E24" s="9">
        <v>705.23999000000003</v>
      </c>
      <c r="F24" s="10">
        <v>1.9</v>
      </c>
      <c r="G24" s="9">
        <v>97.018112000000002</v>
      </c>
      <c r="H24" s="9">
        <v>13</v>
      </c>
      <c r="I24" s="9">
        <v>100</v>
      </c>
      <c r="J24" s="9">
        <v>13</v>
      </c>
      <c r="K24" s="11">
        <v>100</v>
      </c>
      <c r="L24" s="9">
        <v>0</v>
      </c>
      <c r="M24" s="9">
        <v>0</v>
      </c>
      <c r="N24" s="9">
        <v>0</v>
      </c>
      <c r="O24" s="9">
        <v>161.67389002427069</v>
      </c>
      <c r="P24" s="9">
        <v>161.67389002427069</v>
      </c>
      <c r="Q24" s="9">
        <v>0</v>
      </c>
      <c r="R24" s="9">
        <v>0</v>
      </c>
      <c r="S24" s="9">
        <v>0</v>
      </c>
      <c r="T24" s="9">
        <v>0</v>
      </c>
      <c r="U24" s="9">
        <v>0</v>
      </c>
      <c r="V24" s="9">
        <v>161.67389002427069</v>
      </c>
      <c r="W24" s="9">
        <v>32.780441796985777</v>
      </c>
      <c r="X24" s="9">
        <v>282.4999091633008</v>
      </c>
      <c r="Y24" s="9">
        <v>0</v>
      </c>
      <c r="Z24" s="9">
        <v>476.95424098455732</v>
      </c>
      <c r="AA24" s="9">
        <v>0</v>
      </c>
      <c r="AB24" s="9">
        <v>476.95424098455732</v>
      </c>
      <c r="AC24" s="9">
        <v>0</v>
      </c>
      <c r="AD24" s="9">
        <v>16.82561369840581</v>
      </c>
      <c r="AE24" s="9">
        <v>0</v>
      </c>
      <c r="AF24" s="9">
        <v>0</v>
      </c>
      <c r="AG24" s="9">
        <v>493.77985468296311</v>
      </c>
      <c r="AH24" s="9">
        <v>12.48566876727541</v>
      </c>
      <c r="AI24" s="9">
        <v>0</v>
      </c>
      <c r="AJ24" s="9">
        <v>16.17847558767545</v>
      </c>
      <c r="AK24" s="9">
        <v>505.61838533950822</v>
      </c>
      <c r="AL24" s="9">
        <v>0</v>
      </c>
      <c r="AM24" s="9">
        <v>0</v>
      </c>
      <c r="AN24" s="9">
        <v>0</v>
      </c>
      <c r="AO24" s="9">
        <v>0</v>
      </c>
      <c r="AP24" s="9">
        <v>0</v>
      </c>
      <c r="AQ24" s="9">
        <v>505.61838533950822</v>
      </c>
      <c r="AR24" s="9">
        <v>773.99999935093092</v>
      </c>
      <c r="AS24" s="9">
        <v>221.82914</v>
      </c>
      <c r="AT24" s="9">
        <v>297.0457583663736</v>
      </c>
      <c r="AU24" s="9">
        <v>297.0457583663736</v>
      </c>
    </row>
    <row r="25" spans="1:47" x14ac:dyDescent="0.25">
      <c r="A25" s="8">
        <v>46022</v>
      </c>
      <c r="B25" s="7" t="s">
        <v>72</v>
      </c>
      <c r="C25" s="7" t="s">
        <v>73</v>
      </c>
      <c r="D25" s="7" t="s">
        <v>65</v>
      </c>
      <c r="E25" s="9">
        <v>4540</v>
      </c>
      <c r="F25" s="10">
        <v>0.186</v>
      </c>
      <c r="G25" s="9">
        <v>30</v>
      </c>
      <c r="H25" s="9">
        <v>2.5339999999999998</v>
      </c>
      <c r="I25" s="9">
        <v>95</v>
      </c>
      <c r="J25" s="9">
        <v>2.4069069999999999</v>
      </c>
      <c r="K25" s="11">
        <v>4.4989999999999997</v>
      </c>
      <c r="L25" s="9">
        <v>5315.4531724915669</v>
      </c>
      <c r="M25" s="9">
        <v>60.566397395702481</v>
      </c>
      <c r="N25" s="9">
        <v>1495.291842614492</v>
      </c>
      <c r="O25" s="9">
        <v>2206.2935175129551</v>
      </c>
      <c r="P25" s="9">
        <v>9077.604930014717</v>
      </c>
      <c r="Q25" s="9">
        <v>302.55520579091552</v>
      </c>
      <c r="R25" s="9">
        <v>158.11863282042819</v>
      </c>
      <c r="S25" s="9">
        <v>567.16101567499743</v>
      </c>
      <c r="T25" s="9">
        <v>688.43190160605661</v>
      </c>
      <c r="U25" s="9">
        <v>1716.2667558923979</v>
      </c>
      <c r="V25" s="9">
        <v>10793.87168590711</v>
      </c>
      <c r="W25" s="9">
        <v>9.0948734238126292</v>
      </c>
      <c r="X25" s="9">
        <v>197.58995034810241</v>
      </c>
      <c r="Y25" s="9">
        <v>-11237.29744246645</v>
      </c>
      <c r="Z25" s="9">
        <v>-236.7409327874235</v>
      </c>
      <c r="AA25" s="9">
        <v>168.69760284551771</v>
      </c>
      <c r="AB25" s="9">
        <v>-68.043329941905796</v>
      </c>
      <c r="AC25" s="9">
        <v>0</v>
      </c>
      <c r="AD25" s="9">
        <v>2648.5588831784612</v>
      </c>
      <c r="AE25" s="9">
        <v>0</v>
      </c>
      <c r="AF25" s="9">
        <v>0</v>
      </c>
      <c r="AG25" s="9">
        <v>2580.5155532365552</v>
      </c>
      <c r="AH25" s="9">
        <v>61.672409887840089</v>
      </c>
      <c r="AI25" s="9">
        <v>0</v>
      </c>
      <c r="AJ25" s="9">
        <v>1619.0807956652311</v>
      </c>
      <c r="AK25" s="9">
        <v>1612.709875611165</v>
      </c>
      <c r="AL25" s="9">
        <v>0</v>
      </c>
      <c r="AM25" s="9">
        <v>0</v>
      </c>
      <c r="AN25" s="9">
        <v>0</v>
      </c>
      <c r="AO25" s="9">
        <v>0</v>
      </c>
      <c r="AP25" s="9">
        <v>0</v>
      </c>
      <c r="AQ25" s="9">
        <v>1612.709875611165</v>
      </c>
      <c r="AR25" s="9">
        <v>773.99774832918581</v>
      </c>
      <c r="AS25" s="9">
        <v>653.03340300000002</v>
      </c>
      <c r="AT25" s="9">
        <v>1010.738681116609</v>
      </c>
      <c r="AU25" s="9">
        <v>842.04107827109158</v>
      </c>
    </row>
    <row r="26" spans="1:47" x14ac:dyDescent="0.25">
      <c r="A26" s="8">
        <v>46022</v>
      </c>
      <c r="B26" s="7" t="s">
        <v>61</v>
      </c>
      <c r="C26" s="7" t="s">
        <v>62</v>
      </c>
      <c r="D26" s="7" t="s">
        <v>51</v>
      </c>
      <c r="E26" s="9">
        <v>13500</v>
      </c>
      <c r="F26" s="10">
        <v>1.06</v>
      </c>
      <c r="G26" s="9">
        <v>80</v>
      </c>
      <c r="H26" s="9">
        <v>114.48</v>
      </c>
      <c r="I26" s="9">
        <v>95</v>
      </c>
      <c r="J26" s="9">
        <v>108.756</v>
      </c>
      <c r="K26" s="11">
        <v>62.012999999999998</v>
      </c>
      <c r="L26" s="9">
        <v>188.41386980514949</v>
      </c>
      <c r="M26" s="9">
        <v>4.8592377649222929</v>
      </c>
      <c r="N26" s="9">
        <v>10.12742936571648</v>
      </c>
      <c r="O26" s="9">
        <v>39.372538418871891</v>
      </c>
      <c r="P26" s="9">
        <v>242.77307535466011</v>
      </c>
      <c r="Q26" s="9">
        <v>6.3868913727135048</v>
      </c>
      <c r="R26" s="9">
        <v>3.9614953586423778</v>
      </c>
      <c r="S26" s="9">
        <v>13.363041800570381</v>
      </c>
      <c r="T26" s="9">
        <v>10.3459656201456</v>
      </c>
      <c r="U26" s="9">
        <v>34.057394152071872</v>
      </c>
      <c r="V26" s="9">
        <v>276.83046950673202</v>
      </c>
      <c r="W26" s="9">
        <v>6.7610955556768104</v>
      </c>
      <c r="X26" s="9">
        <v>79.717427000000001</v>
      </c>
      <c r="Y26" s="9">
        <v>-526.70343025509942</v>
      </c>
      <c r="Z26" s="9">
        <v>-163.39443819269059</v>
      </c>
      <c r="AA26" s="9">
        <v>20.318396572367501</v>
      </c>
      <c r="AB26" s="9">
        <v>-143.07604162032311</v>
      </c>
      <c r="AC26" s="9">
        <v>0</v>
      </c>
      <c r="AD26" s="9">
        <v>100.48951579556361</v>
      </c>
      <c r="AE26" s="9">
        <v>0</v>
      </c>
      <c r="AF26" s="9">
        <v>0</v>
      </c>
      <c r="AG26" s="9">
        <v>-42.586525824759512</v>
      </c>
      <c r="AH26" s="9">
        <v>14.597572037182349</v>
      </c>
      <c r="AI26" s="9">
        <v>0</v>
      </c>
      <c r="AJ26" s="9">
        <v>75.073213945744897</v>
      </c>
      <c r="AK26" s="9">
        <v>-53.405255637395811</v>
      </c>
      <c r="AL26" s="9">
        <v>0</v>
      </c>
      <c r="AM26" s="9">
        <v>0</v>
      </c>
      <c r="AN26" s="9">
        <v>0</v>
      </c>
      <c r="AO26" s="9">
        <v>0</v>
      </c>
      <c r="AP26" s="9">
        <v>0</v>
      </c>
      <c r="AQ26" s="9">
        <v>-53.405255637395811</v>
      </c>
      <c r="AR26" s="9">
        <v>773.99999935093092</v>
      </c>
      <c r="AS26" s="9">
        <v>3184.5192280000001</v>
      </c>
      <c r="AT26" s="9">
        <v>937.39443754362139</v>
      </c>
      <c r="AU26" s="9">
        <v>917.07604097125386</v>
      </c>
    </row>
    <row r="27" spans="1:47" x14ac:dyDescent="0.25">
      <c r="A27" s="8">
        <v>46022</v>
      </c>
      <c r="B27" s="7" t="s">
        <v>74</v>
      </c>
      <c r="C27" s="7" t="s">
        <v>75</v>
      </c>
      <c r="D27" s="7" t="s">
        <v>51</v>
      </c>
      <c r="E27" s="9">
        <v>1000</v>
      </c>
      <c r="F27" s="10">
        <v>0.6</v>
      </c>
      <c r="G27" s="9">
        <v>82</v>
      </c>
      <c r="H27" s="9">
        <v>4.92</v>
      </c>
      <c r="I27" s="9">
        <v>95</v>
      </c>
      <c r="J27" s="9">
        <v>4.6740000000000004</v>
      </c>
      <c r="K27" s="11">
        <v>60.552999999999997</v>
      </c>
      <c r="L27" s="9">
        <v>99.053714175778552</v>
      </c>
      <c r="M27" s="9">
        <v>5.6918175811715868</v>
      </c>
      <c r="N27" s="9">
        <v>13.37910192981793</v>
      </c>
      <c r="O27" s="9">
        <v>49.922449997056901</v>
      </c>
      <c r="P27" s="9">
        <v>168.04708368382501</v>
      </c>
      <c r="Q27" s="9">
        <v>31.938172438434531</v>
      </c>
      <c r="R27" s="9">
        <v>14.372162555186559</v>
      </c>
      <c r="S27" s="9">
        <v>35.12281981855498</v>
      </c>
      <c r="T27" s="9">
        <v>81.85021911883247</v>
      </c>
      <c r="U27" s="9">
        <v>163.2833739310085</v>
      </c>
      <c r="V27" s="9">
        <v>331.33045761483351</v>
      </c>
      <c r="W27" s="9">
        <v>2.9256647351022589</v>
      </c>
      <c r="X27" s="9">
        <v>140</v>
      </c>
      <c r="Y27" s="9">
        <v>-411.09664587525981</v>
      </c>
      <c r="Z27" s="9">
        <v>63.159476474675969</v>
      </c>
      <c r="AA27" s="9">
        <v>30.046991244931188</v>
      </c>
      <c r="AB27" s="9">
        <v>93.206467719607161</v>
      </c>
      <c r="AC27" s="9">
        <v>0</v>
      </c>
      <c r="AD27" s="9">
        <v>40.898727641191051</v>
      </c>
      <c r="AE27" s="9">
        <v>0</v>
      </c>
      <c r="AF27" s="9">
        <v>0</v>
      </c>
      <c r="AG27" s="9">
        <v>134.10519536079821</v>
      </c>
      <c r="AH27" s="9">
        <v>27.642592526098628</v>
      </c>
      <c r="AI27" s="9">
        <v>14.81347862334553</v>
      </c>
      <c r="AJ27" s="9">
        <v>16.666850836230211</v>
      </c>
      <c r="AK27" s="9">
        <v>152.3293897052815</v>
      </c>
      <c r="AL27" s="9">
        <v>0</v>
      </c>
      <c r="AM27" s="9">
        <v>0</v>
      </c>
      <c r="AN27" s="9">
        <v>0</v>
      </c>
      <c r="AO27" s="9">
        <v>0</v>
      </c>
      <c r="AP27" s="9">
        <v>0</v>
      </c>
      <c r="AQ27" s="9">
        <v>152.3293897052815</v>
      </c>
      <c r="AR27" s="9">
        <v>773.99999935093081</v>
      </c>
      <c r="AS27" s="9">
        <v>126.216853</v>
      </c>
      <c r="AT27" s="9">
        <v>710.84052287625479</v>
      </c>
      <c r="AU27" s="9">
        <v>680.79353163132362</v>
      </c>
    </row>
    <row r="28" spans="1:47" x14ac:dyDescent="0.25">
      <c r="A28" s="8">
        <v>46022</v>
      </c>
      <c r="B28" s="7" t="s">
        <v>168</v>
      </c>
      <c r="C28" s="7" t="s">
        <v>169</v>
      </c>
      <c r="D28" s="7" t="s">
        <v>161</v>
      </c>
      <c r="E28" s="9">
        <v>10033.333333</v>
      </c>
      <c r="F28" s="10">
        <v>0.19020000000000001</v>
      </c>
      <c r="G28" s="9">
        <v>63.6</v>
      </c>
      <c r="H28" s="9">
        <v>12.137</v>
      </c>
      <c r="I28" s="9">
        <v>83</v>
      </c>
      <c r="J28" s="9">
        <v>10.073987000000001</v>
      </c>
      <c r="K28" s="11">
        <v>32.182000000000002</v>
      </c>
      <c r="L28" s="9">
        <v>35.641980494482041</v>
      </c>
      <c r="M28" s="9">
        <v>18.919110470662659</v>
      </c>
      <c r="N28" s="9">
        <v>1.9682362190284539</v>
      </c>
      <c r="O28" s="9">
        <v>49.231746256038278</v>
      </c>
      <c r="P28" s="9">
        <v>105.7610734402114</v>
      </c>
      <c r="Q28" s="9">
        <v>15.275199035048569</v>
      </c>
      <c r="R28" s="9">
        <v>39.979436789500397</v>
      </c>
      <c r="S28" s="9">
        <v>52.586349374845142</v>
      </c>
      <c r="T28" s="9">
        <v>24.500990078418759</v>
      </c>
      <c r="U28" s="9">
        <v>132.34197527781291</v>
      </c>
      <c r="V28" s="9">
        <v>238.1030487180243</v>
      </c>
      <c r="W28" s="9">
        <v>61.338299426272712</v>
      </c>
      <c r="X28" s="9">
        <v>215.7289009286246</v>
      </c>
      <c r="Y28" s="9">
        <v>-1168.514459608049</v>
      </c>
      <c r="Z28" s="9">
        <v>-653.34421053512767</v>
      </c>
      <c r="AA28" s="9">
        <v>0</v>
      </c>
      <c r="AB28" s="9">
        <v>-653.34421053512767</v>
      </c>
      <c r="AC28" s="9">
        <v>0</v>
      </c>
      <c r="AD28" s="9">
        <v>38.212867079876631</v>
      </c>
      <c r="AE28" s="9">
        <v>0</v>
      </c>
      <c r="AF28" s="9">
        <v>0</v>
      </c>
      <c r="AG28" s="9">
        <v>-615.13134345525111</v>
      </c>
      <c r="AH28" s="9">
        <v>29.266987705922059</v>
      </c>
      <c r="AI28" s="9">
        <v>0</v>
      </c>
      <c r="AJ28" s="9">
        <v>504.4324516195386</v>
      </c>
      <c r="AK28" s="9">
        <v>-119.644771209667</v>
      </c>
      <c r="AL28" s="9">
        <v>47.910613773728599</v>
      </c>
      <c r="AM28" s="9">
        <v>0</v>
      </c>
      <c r="AN28" s="9">
        <v>0</v>
      </c>
      <c r="AO28" s="9">
        <v>0</v>
      </c>
      <c r="AP28" s="9">
        <v>0</v>
      </c>
      <c r="AQ28" s="9">
        <v>-71.734157435938457</v>
      </c>
      <c r="AR28" s="9">
        <v>774.00099816103375</v>
      </c>
      <c r="AS28" s="9">
        <v>456.94987500000002</v>
      </c>
      <c r="AT28" s="9">
        <v>1427.3452086961611</v>
      </c>
      <c r="AU28" s="9">
        <v>1427.3452086961611</v>
      </c>
    </row>
    <row r="29" spans="1:47" x14ac:dyDescent="0.25">
      <c r="A29" s="8">
        <v>46022</v>
      </c>
      <c r="B29" s="7" t="s">
        <v>63</v>
      </c>
      <c r="C29" s="7" t="s">
        <v>64</v>
      </c>
      <c r="D29" s="7" t="s">
        <v>65</v>
      </c>
      <c r="E29" s="9">
        <v>5400</v>
      </c>
      <c r="F29" s="10">
        <v>1.54E-2</v>
      </c>
      <c r="G29" s="9">
        <v>62.98</v>
      </c>
      <c r="H29" s="9">
        <v>0.52500000000000002</v>
      </c>
      <c r="I29" s="9">
        <v>98.950500000000005</v>
      </c>
      <c r="J29" s="9">
        <v>0.51952299999999996</v>
      </c>
      <c r="K29" s="11">
        <v>1.177</v>
      </c>
      <c r="L29" s="9">
        <v>7394.5994846228896</v>
      </c>
      <c r="M29" s="9">
        <v>795.42248499007405</v>
      </c>
      <c r="N29" s="9">
        <v>2817.528789215783</v>
      </c>
      <c r="O29" s="9">
        <v>12746.13673471987</v>
      </c>
      <c r="P29" s="9">
        <v>23753.687493548619</v>
      </c>
      <c r="Q29" s="9">
        <v>2944.6486090335688</v>
      </c>
      <c r="R29" s="9">
        <v>5809.8294147938859</v>
      </c>
      <c r="S29" s="9">
        <v>7185.2216978458237</v>
      </c>
      <c r="T29" s="9">
        <v>9486.3632295029129</v>
      </c>
      <c r="U29" s="9">
        <v>25426.062951176191</v>
      </c>
      <c r="V29" s="9">
        <v>49179.750444724807</v>
      </c>
      <c r="W29" s="9">
        <v>0.73319696988615923</v>
      </c>
      <c r="X29" s="9">
        <v>281.04246131162631</v>
      </c>
      <c r="Y29" s="9">
        <v>-46379.723519689607</v>
      </c>
      <c r="Z29" s="9">
        <v>3081.802583316713</v>
      </c>
      <c r="AA29" s="9">
        <v>2409.3692247399272</v>
      </c>
      <c r="AB29" s="9">
        <v>5491.1718080566407</v>
      </c>
      <c r="AC29" s="9">
        <v>0</v>
      </c>
      <c r="AD29" s="9">
        <v>7662.5645796872623</v>
      </c>
      <c r="AE29" s="9">
        <v>0</v>
      </c>
      <c r="AF29" s="9">
        <v>0</v>
      </c>
      <c r="AG29" s="9">
        <v>13153.7363877439</v>
      </c>
      <c r="AH29" s="9">
        <v>1886.1200061586101</v>
      </c>
      <c r="AI29" s="9">
        <v>0</v>
      </c>
      <c r="AJ29" s="9">
        <v>523.8256510150095</v>
      </c>
      <c r="AK29" s="9">
        <v>7901.1174652302598</v>
      </c>
      <c r="AL29" s="9">
        <v>0</v>
      </c>
      <c r="AM29" s="9">
        <v>0</v>
      </c>
      <c r="AN29" s="9">
        <v>0</v>
      </c>
      <c r="AO29" s="9">
        <v>0</v>
      </c>
      <c r="AP29" s="9">
        <v>0</v>
      </c>
      <c r="AQ29" s="9">
        <v>7901.1174652302598</v>
      </c>
      <c r="AR29" s="9">
        <v>773.96573330306569</v>
      </c>
      <c r="AS29" s="9">
        <v>551.91634299999998</v>
      </c>
      <c r="AT29" s="9">
        <v>-2307.836850013648</v>
      </c>
      <c r="AU29" s="9">
        <v>-4717.2060747535752</v>
      </c>
    </row>
    <row r="30" spans="1:47" x14ac:dyDescent="0.25">
      <c r="A30" s="8">
        <v>46022</v>
      </c>
      <c r="B30" s="7" t="s">
        <v>66</v>
      </c>
      <c r="C30" s="7" t="s">
        <v>67</v>
      </c>
      <c r="D30" s="7" t="s">
        <v>68</v>
      </c>
      <c r="E30" s="9">
        <v>880</v>
      </c>
      <c r="F30" s="10">
        <v>1.71</v>
      </c>
      <c r="G30" s="9">
        <v>83.9</v>
      </c>
      <c r="H30" s="9">
        <v>12.625</v>
      </c>
      <c r="I30" s="9">
        <v>95</v>
      </c>
      <c r="J30" s="9">
        <v>11.994007999999999</v>
      </c>
      <c r="K30" s="11">
        <v>76.182000000000002</v>
      </c>
      <c r="L30" s="9">
        <v>124.4959750382434</v>
      </c>
      <c r="M30" s="9">
        <v>9.3832159280860719</v>
      </c>
      <c r="N30" s="9">
        <v>26.204194905549961</v>
      </c>
      <c r="O30" s="9">
        <v>316.77617137024271</v>
      </c>
      <c r="P30" s="9">
        <v>476.85955724212198</v>
      </c>
      <c r="Q30" s="9">
        <v>53.737604328010939</v>
      </c>
      <c r="R30" s="9">
        <v>36.736546784992342</v>
      </c>
      <c r="S30" s="9">
        <v>37.707913709672518</v>
      </c>
      <c r="T30" s="9">
        <v>68.516877890708969</v>
      </c>
      <c r="U30" s="9">
        <v>196.69894271338481</v>
      </c>
      <c r="V30" s="9">
        <v>673.55849995550682</v>
      </c>
      <c r="W30" s="9">
        <v>106.8509548342217</v>
      </c>
      <c r="X30" s="9">
        <v>154.92890666239339</v>
      </c>
      <c r="Y30" s="9">
        <v>-174.16035462474221</v>
      </c>
      <c r="Z30" s="9">
        <v>761.17800682737982</v>
      </c>
      <c r="AA30" s="9">
        <v>0</v>
      </c>
      <c r="AB30" s="9">
        <v>761.17800682737982</v>
      </c>
      <c r="AC30" s="9">
        <v>0</v>
      </c>
      <c r="AD30" s="9">
        <v>129.6597667004776</v>
      </c>
      <c r="AE30" s="9">
        <v>0</v>
      </c>
      <c r="AF30" s="9">
        <v>0</v>
      </c>
      <c r="AG30" s="9">
        <v>890.83777352785739</v>
      </c>
      <c r="AH30" s="9">
        <v>5.7417491875591198</v>
      </c>
      <c r="AI30" s="9">
        <v>0</v>
      </c>
      <c r="AJ30" s="9">
        <v>73.526466281307805</v>
      </c>
      <c r="AK30" s="9">
        <v>840.44622229624667</v>
      </c>
      <c r="AL30" s="9">
        <v>0</v>
      </c>
      <c r="AM30" s="9">
        <v>0</v>
      </c>
      <c r="AN30" s="9">
        <v>0</v>
      </c>
      <c r="AO30" s="9">
        <v>0</v>
      </c>
      <c r="AP30" s="9">
        <v>0</v>
      </c>
      <c r="AQ30" s="9">
        <v>840.44622229624667</v>
      </c>
      <c r="AR30" s="9">
        <v>773.99948309314664</v>
      </c>
      <c r="AS30" s="9">
        <v>277.34097500000001</v>
      </c>
      <c r="AT30" s="9">
        <v>12.82147626576683</v>
      </c>
      <c r="AU30" s="9">
        <v>12.82147626576683</v>
      </c>
    </row>
    <row r="31" spans="1:47" x14ac:dyDescent="0.25">
      <c r="A31" s="8">
        <v>46022</v>
      </c>
      <c r="B31" s="7" t="s">
        <v>101</v>
      </c>
      <c r="C31" s="7" t="s">
        <v>102</v>
      </c>
      <c r="D31" s="7" t="s">
        <v>65</v>
      </c>
      <c r="E31" s="9">
        <v>9959</v>
      </c>
      <c r="F31" s="10">
        <v>8.6300000000000002E-2</v>
      </c>
      <c r="G31" s="9">
        <v>33.06</v>
      </c>
      <c r="H31" s="9">
        <v>2.84</v>
      </c>
      <c r="I31" s="9">
        <v>100</v>
      </c>
      <c r="J31" s="9">
        <v>2.84</v>
      </c>
      <c r="K31" s="11">
        <v>3.4620000000000002</v>
      </c>
      <c r="L31" s="9">
        <v>8420.425749936725</v>
      </c>
      <c r="M31" s="9">
        <v>385.20610244988387</v>
      </c>
      <c r="N31" s="9">
        <v>303.89613574841411</v>
      </c>
      <c r="O31" s="9">
        <v>1153.2295324176839</v>
      </c>
      <c r="P31" s="9">
        <v>10262.75752055271</v>
      </c>
      <c r="Q31" s="9">
        <v>1345.899071052505</v>
      </c>
      <c r="R31" s="9">
        <v>295.48054751425877</v>
      </c>
      <c r="S31" s="9">
        <v>2110.2019101004989</v>
      </c>
      <c r="T31" s="9">
        <v>166.71558966364239</v>
      </c>
      <c r="U31" s="9">
        <v>3918.2971183309051</v>
      </c>
      <c r="V31" s="9">
        <v>14181.05463888361</v>
      </c>
      <c r="W31" s="9">
        <v>0</v>
      </c>
      <c r="X31" s="9">
        <v>257.31061159620668</v>
      </c>
      <c r="Y31" s="9">
        <v>-17366.21837450207</v>
      </c>
      <c r="Z31" s="9">
        <v>-2927.8531240222551</v>
      </c>
      <c r="AA31" s="9">
        <v>99.575010141517339</v>
      </c>
      <c r="AB31" s="9">
        <v>-2828.2781138807368</v>
      </c>
      <c r="AC31" s="9">
        <v>0</v>
      </c>
      <c r="AD31" s="9">
        <v>2237.327428396994</v>
      </c>
      <c r="AE31" s="9">
        <v>0</v>
      </c>
      <c r="AF31" s="9">
        <v>0</v>
      </c>
      <c r="AG31" s="9">
        <v>-590.95068548374365</v>
      </c>
      <c r="AH31" s="9">
        <v>437.02683507976809</v>
      </c>
      <c r="AI31" s="9">
        <v>32.684606265506069</v>
      </c>
      <c r="AJ31" s="9">
        <v>2040.721930533811</v>
      </c>
      <c r="AK31" s="9">
        <v>-317.84474200165221</v>
      </c>
      <c r="AL31" s="9">
        <v>322.31648856146359</v>
      </c>
      <c r="AM31" s="9">
        <v>0</v>
      </c>
      <c r="AN31" s="9">
        <v>0</v>
      </c>
      <c r="AO31" s="9">
        <v>0</v>
      </c>
      <c r="AP31" s="9">
        <v>0</v>
      </c>
      <c r="AQ31" s="9">
        <v>4.4717465598113764</v>
      </c>
      <c r="AR31" s="9">
        <v>773.99999935093092</v>
      </c>
      <c r="AS31" s="9">
        <v>1228.252322</v>
      </c>
      <c r="AT31" s="9">
        <v>3701.853123373186</v>
      </c>
      <c r="AU31" s="9">
        <v>3602.2781132316682</v>
      </c>
    </row>
    <row r="32" spans="1:47" x14ac:dyDescent="0.25">
      <c r="A32" s="8">
        <v>46022</v>
      </c>
      <c r="B32" s="7" t="s">
        <v>93</v>
      </c>
      <c r="C32" s="7" t="s">
        <v>94</v>
      </c>
      <c r="D32" s="7" t="s">
        <v>65</v>
      </c>
      <c r="E32" s="9">
        <v>1900</v>
      </c>
      <c r="F32" s="10">
        <v>1.9800000000000002E-2</v>
      </c>
      <c r="G32" s="9">
        <v>70</v>
      </c>
      <c r="H32" s="9">
        <v>0.26300000000000001</v>
      </c>
      <c r="I32" s="9">
        <v>100</v>
      </c>
      <c r="J32" s="9">
        <v>0.26322699999999999</v>
      </c>
      <c r="K32" s="11">
        <v>0.98099999999999998</v>
      </c>
      <c r="L32" s="9">
        <v>25555.873278373259</v>
      </c>
      <c r="M32" s="9">
        <v>76.502086423877486</v>
      </c>
      <c r="N32" s="9">
        <v>5155.9302424565894</v>
      </c>
      <c r="O32" s="9">
        <v>8912.9668273437019</v>
      </c>
      <c r="P32" s="9">
        <v>39701.272434597427</v>
      </c>
      <c r="Q32" s="9">
        <v>917.54374774713449</v>
      </c>
      <c r="R32" s="9">
        <v>794.34841020906856</v>
      </c>
      <c r="S32" s="9">
        <v>2621.131863856343</v>
      </c>
      <c r="T32" s="9">
        <v>312.2834419396255</v>
      </c>
      <c r="U32" s="9">
        <v>4645.3074637521713</v>
      </c>
      <c r="V32" s="9">
        <v>44346.579898349599</v>
      </c>
      <c r="W32" s="9">
        <v>6.1876263266845806</v>
      </c>
      <c r="X32" s="9">
        <v>210.01749565204179</v>
      </c>
      <c r="Y32" s="9">
        <v>-41334.553458294009</v>
      </c>
      <c r="Z32" s="9">
        <v>3228.2315620343161</v>
      </c>
      <c r="AA32" s="9">
        <v>996.73165567577701</v>
      </c>
      <c r="AB32" s="9">
        <v>4224.963217710093</v>
      </c>
      <c r="AC32" s="9">
        <v>0</v>
      </c>
      <c r="AD32" s="9">
        <v>3771.9807825791931</v>
      </c>
      <c r="AE32" s="9">
        <v>0</v>
      </c>
      <c r="AF32" s="9">
        <v>0</v>
      </c>
      <c r="AG32" s="9">
        <v>7996.9440002892861</v>
      </c>
      <c r="AH32" s="9">
        <v>314.97145927053379</v>
      </c>
      <c r="AI32" s="9">
        <v>0</v>
      </c>
      <c r="AJ32" s="9">
        <v>931.27817393644909</v>
      </c>
      <c r="AK32" s="9">
        <v>5471.2128509170761</v>
      </c>
      <c r="AL32" s="9">
        <v>0</v>
      </c>
      <c r="AM32" s="9">
        <v>0</v>
      </c>
      <c r="AN32" s="9">
        <v>0</v>
      </c>
      <c r="AO32" s="9">
        <v>0</v>
      </c>
      <c r="AP32" s="9">
        <v>0</v>
      </c>
      <c r="AQ32" s="9">
        <v>5471.2128509170761</v>
      </c>
      <c r="AR32" s="9">
        <v>773.92060779921906</v>
      </c>
      <c r="AS32" s="9">
        <v>255.61818299999999</v>
      </c>
      <c r="AT32" s="9">
        <v>-2454.3109542350971</v>
      </c>
      <c r="AU32" s="9">
        <v>-3451.042609910874</v>
      </c>
    </row>
    <row r="33" spans="1:47" x14ac:dyDescent="0.25">
      <c r="A33" s="8">
        <v>46022</v>
      </c>
      <c r="B33" s="7" t="s">
        <v>103</v>
      </c>
      <c r="C33" s="7" t="s">
        <v>104</v>
      </c>
      <c r="D33" s="7" t="s">
        <v>105</v>
      </c>
      <c r="E33" s="9">
        <v>2780</v>
      </c>
      <c r="F33" s="10">
        <v>0.18</v>
      </c>
      <c r="G33" s="9">
        <v>72.38</v>
      </c>
      <c r="H33" s="9">
        <v>3.6219999999999999</v>
      </c>
      <c r="I33" s="9">
        <v>90</v>
      </c>
      <c r="J33" s="9">
        <v>3.2596099999999999</v>
      </c>
      <c r="K33" s="11">
        <v>13.551</v>
      </c>
      <c r="L33" s="9">
        <v>925.03739487545272</v>
      </c>
      <c r="M33" s="9">
        <v>174.2719711348179</v>
      </c>
      <c r="N33" s="9">
        <v>476.14171148231708</v>
      </c>
      <c r="O33" s="9">
        <v>1046.5221281011729</v>
      </c>
      <c r="P33" s="9">
        <v>2621.9732055937611</v>
      </c>
      <c r="Q33" s="9">
        <v>33.918877667885759</v>
      </c>
      <c r="R33" s="9">
        <v>92.923988467656329</v>
      </c>
      <c r="S33" s="9">
        <v>863.13677390258988</v>
      </c>
      <c r="T33" s="9">
        <v>34.915834068467753</v>
      </c>
      <c r="U33" s="9">
        <v>1024.8954741066</v>
      </c>
      <c r="V33" s="9">
        <v>3646.8686797003611</v>
      </c>
      <c r="W33" s="9">
        <v>49.321185808658051</v>
      </c>
      <c r="X33" s="9">
        <v>125.9996134506889</v>
      </c>
      <c r="Y33" s="9">
        <v>-3904.709747447142</v>
      </c>
      <c r="Z33" s="9">
        <v>-82.520268487434706</v>
      </c>
      <c r="AA33" s="9">
        <v>189.346431031744</v>
      </c>
      <c r="AB33" s="9">
        <v>106.8261625443093</v>
      </c>
      <c r="AC33" s="9">
        <v>0</v>
      </c>
      <c r="AD33" s="9">
        <v>787.90604390966018</v>
      </c>
      <c r="AE33" s="9">
        <v>0</v>
      </c>
      <c r="AF33" s="9">
        <v>0</v>
      </c>
      <c r="AG33" s="9">
        <v>894.73220645396952</v>
      </c>
      <c r="AH33" s="9">
        <v>92.442202933030273</v>
      </c>
      <c r="AI33" s="9">
        <v>0</v>
      </c>
      <c r="AJ33" s="9">
        <v>753.41098880860284</v>
      </c>
      <c r="AK33" s="9">
        <v>952.67935428594228</v>
      </c>
      <c r="AL33" s="9">
        <v>0</v>
      </c>
      <c r="AM33" s="9">
        <v>0</v>
      </c>
      <c r="AN33" s="9">
        <v>0</v>
      </c>
      <c r="AO33" s="9">
        <v>0</v>
      </c>
      <c r="AP33" s="9">
        <v>0</v>
      </c>
      <c r="AQ33" s="9">
        <v>952.67935428594228</v>
      </c>
      <c r="AR33" s="9">
        <v>773.99762483373604</v>
      </c>
      <c r="AS33" s="9">
        <v>359.52989200000002</v>
      </c>
      <c r="AT33" s="9">
        <v>856.51789332117073</v>
      </c>
      <c r="AU33" s="9">
        <v>667.1714622894267</v>
      </c>
    </row>
    <row r="34" spans="1:47" x14ac:dyDescent="0.25">
      <c r="A34" s="8">
        <v>46022</v>
      </c>
      <c r="B34" s="7" t="s">
        <v>170</v>
      </c>
      <c r="C34" s="7" t="s">
        <v>171</v>
      </c>
      <c r="D34" s="7" t="s">
        <v>172</v>
      </c>
      <c r="E34" s="9">
        <v>3500</v>
      </c>
      <c r="F34" s="10">
        <v>1.0900000000000001</v>
      </c>
      <c r="G34" s="9">
        <v>86</v>
      </c>
      <c r="H34" s="9">
        <v>32.808999999999997</v>
      </c>
      <c r="I34" s="9">
        <v>100</v>
      </c>
      <c r="J34" s="9">
        <v>32.808999999999997</v>
      </c>
      <c r="K34" s="11">
        <v>84.16</v>
      </c>
      <c r="L34" s="9">
        <v>1.103745667647078</v>
      </c>
      <c r="M34" s="9">
        <v>11.777438304140921</v>
      </c>
      <c r="N34" s="9">
        <v>1.5446165394562089E-2</v>
      </c>
      <c r="O34" s="9">
        <v>1.1084990163221009</v>
      </c>
      <c r="P34" s="9">
        <v>14.00512915350466</v>
      </c>
      <c r="Q34" s="9">
        <v>1.806228342141637</v>
      </c>
      <c r="R34" s="9">
        <v>6.4507699707573432</v>
      </c>
      <c r="S34" s="9">
        <v>5.7565102910757631</v>
      </c>
      <c r="T34" s="9">
        <v>4.0538277706352774</v>
      </c>
      <c r="U34" s="9">
        <v>18.067336374610019</v>
      </c>
      <c r="V34" s="9">
        <v>32.072465528114677</v>
      </c>
      <c r="W34" s="9">
        <v>72.306671071998338</v>
      </c>
      <c r="X34" s="9">
        <v>232.04025100000001</v>
      </c>
      <c r="Y34" s="9">
        <v>-102.0372481933904</v>
      </c>
      <c r="Z34" s="9">
        <v>234.3821394067227</v>
      </c>
      <c r="AA34" s="9">
        <v>45.029792158049112</v>
      </c>
      <c r="AB34" s="9">
        <v>279.41193156477181</v>
      </c>
      <c r="AC34" s="9">
        <v>0.40323622964227301</v>
      </c>
      <c r="AD34" s="9">
        <v>4.541968009464223</v>
      </c>
      <c r="AE34" s="9">
        <v>0</v>
      </c>
      <c r="AF34" s="9">
        <v>0</v>
      </c>
      <c r="AG34" s="9">
        <v>284.35713580387829</v>
      </c>
      <c r="AH34" s="9">
        <v>1.1180512793660971</v>
      </c>
      <c r="AI34" s="9">
        <v>0</v>
      </c>
      <c r="AJ34" s="9">
        <v>3.456310510988323</v>
      </c>
      <c r="AK34" s="9">
        <v>284.38952958476852</v>
      </c>
      <c r="AL34" s="9">
        <v>13.825242850425751</v>
      </c>
      <c r="AM34" s="9">
        <v>0</v>
      </c>
      <c r="AN34" s="9">
        <v>0</v>
      </c>
      <c r="AO34" s="9">
        <v>0</v>
      </c>
      <c r="AP34" s="9">
        <v>0</v>
      </c>
      <c r="AQ34" s="9">
        <v>298.21477243519422</v>
      </c>
      <c r="AR34" s="9">
        <v>773.99999935093092</v>
      </c>
      <c r="AS34" s="9">
        <v>651.41373399999998</v>
      </c>
      <c r="AT34" s="9">
        <v>539.61785994420825</v>
      </c>
      <c r="AU34" s="9">
        <v>494.58806778615912</v>
      </c>
    </row>
    <row r="35" spans="1:47" x14ac:dyDescent="0.25">
      <c r="A35" s="8">
        <v>46022</v>
      </c>
      <c r="B35" s="7" t="s">
        <v>95</v>
      </c>
      <c r="C35" s="7" t="s">
        <v>96</v>
      </c>
      <c r="D35" s="7" t="s">
        <v>65</v>
      </c>
      <c r="E35" s="9">
        <v>2803.9772950000001</v>
      </c>
      <c r="F35" s="10">
        <v>0.1</v>
      </c>
      <c r="G35" s="9">
        <v>30</v>
      </c>
      <c r="H35" s="9">
        <v>0.84099999999999997</v>
      </c>
      <c r="I35" s="9">
        <v>100</v>
      </c>
      <c r="J35" s="9">
        <v>0.84119299999999997</v>
      </c>
      <c r="K35" s="11">
        <v>2.8330000000000002</v>
      </c>
      <c r="L35" s="9">
        <v>7811.9263033102588</v>
      </c>
      <c r="M35" s="9">
        <v>194.73208639643639</v>
      </c>
      <c r="N35" s="9">
        <v>1865.5362977569059</v>
      </c>
      <c r="O35" s="9">
        <v>6731.9882915897579</v>
      </c>
      <c r="P35" s="9">
        <v>16604.182979053359</v>
      </c>
      <c r="Q35" s="9">
        <v>512.48397463656306</v>
      </c>
      <c r="R35" s="9">
        <v>683.91782393015455</v>
      </c>
      <c r="S35" s="9">
        <v>3236.8057482722538</v>
      </c>
      <c r="T35" s="9">
        <v>992.31220143340295</v>
      </c>
      <c r="U35" s="9">
        <v>5425.5197482723752</v>
      </c>
      <c r="V35" s="9">
        <v>22029.70272732573</v>
      </c>
      <c r="W35" s="9">
        <v>1.0011498173399009</v>
      </c>
      <c r="X35" s="9">
        <v>207.85005302585421</v>
      </c>
      <c r="Y35" s="9">
        <v>-23533.565278375208</v>
      </c>
      <c r="Z35" s="9">
        <v>-1295.0113482062791</v>
      </c>
      <c r="AA35" s="9">
        <v>56.54605396706625</v>
      </c>
      <c r="AB35" s="9">
        <v>-1238.4652942392131</v>
      </c>
      <c r="AC35" s="9">
        <v>0</v>
      </c>
      <c r="AD35" s="9">
        <v>2912.9934248762011</v>
      </c>
      <c r="AE35" s="9">
        <v>0</v>
      </c>
      <c r="AF35" s="9">
        <v>0</v>
      </c>
      <c r="AG35" s="9">
        <v>1674.528130636988</v>
      </c>
      <c r="AH35" s="9">
        <v>649.30540362950683</v>
      </c>
      <c r="AI35" s="9">
        <v>0</v>
      </c>
      <c r="AJ35" s="9">
        <v>1973.226333024624</v>
      </c>
      <c r="AK35" s="9">
        <v>1384.0664424149179</v>
      </c>
      <c r="AL35" s="9">
        <v>0</v>
      </c>
      <c r="AM35" s="9">
        <v>0</v>
      </c>
      <c r="AN35" s="9">
        <v>0</v>
      </c>
      <c r="AO35" s="9">
        <v>0</v>
      </c>
      <c r="AP35" s="9">
        <v>0</v>
      </c>
      <c r="AQ35" s="9">
        <v>1384.0664424149179</v>
      </c>
      <c r="AR35" s="9">
        <v>774.00644020338154</v>
      </c>
      <c r="AS35" s="9">
        <v>465.29565300000002</v>
      </c>
      <c r="AT35" s="9">
        <v>2069.0177884096611</v>
      </c>
      <c r="AU35" s="9">
        <v>2012.471734442594</v>
      </c>
    </row>
    <row r="36" spans="1:47" x14ac:dyDescent="0.25">
      <c r="A36" s="8">
        <v>46022</v>
      </c>
      <c r="B36" s="7" t="s">
        <v>97</v>
      </c>
      <c r="C36" s="7" t="s">
        <v>98</v>
      </c>
      <c r="D36" s="7" t="s">
        <v>65</v>
      </c>
      <c r="E36" s="9">
        <v>15835.12</v>
      </c>
      <c r="F36" s="10">
        <v>0.18</v>
      </c>
      <c r="G36" s="9">
        <v>59.99</v>
      </c>
      <c r="H36" s="9">
        <v>17.100000000000001</v>
      </c>
      <c r="I36" s="9">
        <v>100</v>
      </c>
      <c r="J36" s="9">
        <v>17.100000000000001</v>
      </c>
      <c r="K36" s="11">
        <v>20.58</v>
      </c>
      <c r="L36" s="9">
        <v>290.14432675701153</v>
      </c>
      <c r="M36" s="9">
        <v>152.33220341495459</v>
      </c>
      <c r="N36" s="9">
        <v>1.173508668568076</v>
      </c>
      <c r="O36" s="9">
        <v>157.06546985586891</v>
      </c>
      <c r="P36" s="9">
        <v>600.71550869640305</v>
      </c>
      <c r="Q36" s="9">
        <v>108.3662882474092</v>
      </c>
      <c r="R36" s="9">
        <v>86.773653138497494</v>
      </c>
      <c r="S36" s="9">
        <v>136.3484928188893</v>
      </c>
      <c r="T36" s="9">
        <v>127.130749823378</v>
      </c>
      <c r="U36" s="9">
        <v>458.61918402817389</v>
      </c>
      <c r="V36" s="9">
        <v>1059.3346927245771</v>
      </c>
      <c r="W36" s="9">
        <v>19.917597238524571</v>
      </c>
      <c r="X36" s="9">
        <v>176.22182458744479</v>
      </c>
      <c r="Y36" s="9">
        <v>-2629.4524726562422</v>
      </c>
      <c r="Z36" s="9">
        <v>-1373.9783581056961</v>
      </c>
      <c r="AA36" s="9">
        <v>18.646797645633971</v>
      </c>
      <c r="AB36" s="9">
        <v>-1355.3315604600621</v>
      </c>
      <c r="AC36" s="9">
        <v>0</v>
      </c>
      <c r="AD36" s="9">
        <v>1326.2329796292861</v>
      </c>
      <c r="AE36" s="9">
        <v>0</v>
      </c>
      <c r="AF36" s="9">
        <v>0</v>
      </c>
      <c r="AG36" s="9">
        <v>-29.098580830775621</v>
      </c>
      <c r="AH36" s="9">
        <v>97.798871669736243</v>
      </c>
      <c r="AI36" s="9">
        <v>0</v>
      </c>
      <c r="AJ36" s="9">
        <v>1199.526470537261</v>
      </c>
      <c r="AK36" s="9">
        <v>-58.006218253064482</v>
      </c>
      <c r="AL36" s="9">
        <v>0</v>
      </c>
      <c r="AM36" s="9">
        <v>0</v>
      </c>
      <c r="AN36" s="9">
        <v>0</v>
      </c>
      <c r="AO36" s="9">
        <v>0</v>
      </c>
      <c r="AP36" s="9">
        <v>0</v>
      </c>
      <c r="AQ36" s="9">
        <v>-58.006218253064482</v>
      </c>
      <c r="AR36" s="9">
        <v>773.99999935093081</v>
      </c>
      <c r="AS36" s="9">
        <v>1697.897876</v>
      </c>
      <c r="AT36" s="9">
        <v>2147.9783574566268</v>
      </c>
      <c r="AU36" s="9">
        <v>2129.331559810993</v>
      </c>
    </row>
    <row r="37" spans="1:47" x14ac:dyDescent="0.25">
      <c r="A37" s="8">
        <v>46022</v>
      </c>
      <c r="B37" s="7" t="s">
        <v>106</v>
      </c>
      <c r="C37" s="7" t="s">
        <v>107</v>
      </c>
      <c r="D37" s="7" t="s">
        <v>65</v>
      </c>
      <c r="E37" s="9">
        <v>2430</v>
      </c>
      <c r="F37" s="10">
        <v>0.08</v>
      </c>
      <c r="G37" s="9">
        <v>20</v>
      </c>
      <c r="H37" s="9">
        <v>0.38900000000000001</v>
      </c>
      <c r="I37" s="9">
        <v>100</v>
      </c>
      <c r="J37" s="9">
        <v>0.38879999999999998</v>
      </c>
      <c r="K37" s="11">
        <v>1.496</v>
      </c>
      <c r="L37" s="9">
        <v>7319.911224292493</v>
      </c>
      <c r="M37" s="9">
        <v>224.56649500621879</v>
      </c>
      <c r="N37" s="9">
        <v>5721.4780774689998</v>
      </c>
      <c r="O37" s="9">
        <v>4884.6199994851868</v>
      </c>
      <c r="P37" s="9">
        <v>18150.575796252899</v>
      </c>
      <c r="Q37" s="9">
        <v>480.68657624102502</v>
      </c>
      <c r="R37" s="9">
        <v>765.60070112343124</v>
      </c>
      <c r="S37" s="9">
        <v>5430.0602884864866</v>
      </c>
      <c r="T37" s="9">
        <v>-50.571013331299987</v>
      </c>
      <c r="U37" s="9">
        <v>6625.7765525196428</v>
      </c>
      <c r="V37" s="9">
        <v>24776.35234877254</v>
      </c>
      <c r="W37" s="9">
        <v>2.657130779184131</v>
      </c>
      <c r="X37" s="9">
        <v>321.21463736231112</v>
      </c>
      <c r="Y37" s="9">
        <v>-45979.180459374344</v>
      </c>
      <c r="Z37" s="9">
        <v>-20878.9563424603</v>
      </c>
      <c r="AA37" s="9">
        <v>1396.2934871950531</v>
      </c>
      <c r="AB37" s="9">
        <v>-19482.66285526524</v>
      </c>
      <c r="AC37" s="9">
        <v>0</v>
      </c>
      <c r="AD37" s="9">
        <v>16641.04647045417</v>
      </c>
      <c r="AE37" s="9">
        <v>0</v>
      </c>
      <c r="AF37" s="9">
        <v>0</v>
      </c>
      <c r="AG37" s="9">
        <v>-2841.6163848110709</v>
      </c>
      <c r="AH37" s="9">
        <v>1219.4113624514939</v>
      </c>
      <c r="AI37" s="9">
        <v>0</v>
      </c>
      <c r="AJ37" s="9">
        <v>16293.127798388299</v>
      </c>
      <c r="AK37" s="9">
        <v>-1970.1236944254481</v>
      </c>
      <c r="AL37" s="9">
        <v>2767.9742961553379</v>
      </c>
      <c r="AM37" s="9">
        <v>0</v>
      </c>
      <c r="AN37" s="9">
        <v>0</v>
      </c>
      <c r="AO37" s="9">
        <v>0</v>
      </c>
      <c r="AP37" s="9">
        <v>0</v>
      </c>
      <c r="AQ37" s="9">
        <v>797.85060172988995</v>
      </c>
      <c r="AR37" s="9">
        <v>773.99999935093092</v>
      </c>
      <c r="AS37" s="9">
        <v>415.16993000000002</v>
      </c>
      <c r="AT37" s="9">
        <v>21652.95634181123</v>
      </c>
      <c r="AU37" s="9">
        <v>20256.662854616181</v>
      </c>
    </row>
    <row r="38" spans="1:47" x14ac:dyDescent="0.25">
      <c r="A38" s="8">
        <v>46022</v>
      </c>
      <c r="B38" s="7" t="s">
        <v>173</v>
      </c>
      <c r="C38" s="7" t="s">
        <v>174</v>
      </c>
      <c r="D38" s="7" t="s">
        <v>152</v>
      </c>
      <c r="E38" s="9">
        <v>564.02439800000002</v>
      </c>
      <c r="F38" s="10">
        <v>0.82</v>
      </c>
      <c r="G38" s="9">
        <v>80</v>
      </c>
      <c r="H38" s="9">
        <v>3.7</v>
      </c>
      <c r="I38" s="9">
        <v>77</v>
      </c>
      <c r="J38" s="9">
        <v>2.8490000000000002</v>
      </c>
      <c r="K38" s="11">
        <v>68.430000000000007</v>
      </c>
      <c r="L38" s="9">
        <v>42.222758411138258</v>
      </c>
      <c r="M38" s="9">
        <v>49.193616192881123</v>
      </c>
      <c r="N38" s="9">
        <v>26.263197937785549</v>
      </c>
      <c r="O38" s="9">
        <v>99.794929457574256</v>
      </c>
      <c r="P38" s="9">
        <v>217.47450199937921</v>
      </c>
      <c r="Q38" s="9">
        <v>7.9207778469854206</v>
      </c>
      <c r="R38" s="9">
        <v>15.69508465245972</v>
      </c>
      <c r="S38" s="9">
        <v>40.712564835874112</v>
      </c>
      <c r="T38" s="9">
        <v>56.153311967107683</v>
      </c>
      <c r="U38" s="9">
        <v>120.4817393024269</v>
      </c>
      <c r="V38" s="9">
        <v>337.95624130180607</v>
      </c>
      <c r="W38" s="9">
        <v>104.72004982987291</v>
      </c>
      <c r="X38" s="9">
        <v>131.09789800756761</v>
      </c>
      <c r="Y38" s="9">
        <v>-255.67804450688001</v>
      </c>
      <c r="Z38" s="9">
        <v>318.09614463236647</v>
      </c>
      <c r="AA38" s="9">
        <v>52.548876814164132</v>
      </c>
      <c r="AB38" s="9">
        <v>370.64502144653068</v>
      </c>
      <c r="AC38" s="9">
        <v>4.7763334689127461</v>
      </c>
      <c r="AD38" s="9">
        <v>370.67726673057541</v>
      </c>
      <c r="AE38" s="9">
        <v>0</v>
      </c>
      <c r="AF38" s="9">
        <v>0</v>
      </c>
      <c r="AG38" s="9">
        <v>746.09862164601884</v>
      </c>
      <c r="AH38" s="9">
        <v>68.477775666021685</v>
      </c>
      <c r="AI38" s="9">
        <v>0</v>
      </c>
      <c r="AJ38" s="9">
        <v>76.421317542817107</v>
      </c>
      <c r="AK38" s="9">
        <v>520.32044812428217</v>
      </c>
      <c r="AL38" s="9">
        <v>0</v>
      </c>
      <c r="AM38" s="9">
        <v>0</v>
      </c>
      <c r="AN38" s="9">
        <v>0</v>
      </c>
      <c r="AO38" s="9">
        <v>0</v>
      </c>
      <c r="AP38" s="9">
        <v>0</v>
      </c>
      <c r="AQ38" s="9">
        <v>520.32044812428217</v>
      </c>
      <c r="AR38" s="9">
        <v>773.99999935093081</v>
      </c>
      <c r="AS38" s="9">
        <v>66.011842000000001</v>
      </c>
      <c r="AT38" s="9">
        <v>455.90385471856428</v>
      </c>
      <c r="AU38" s="9">
        <v>403.35497790440019</v>
      </c>
    </row>
    <row r="39" spans="1:47" x14ac:dyDescent="0.25">
      <c r="A39" s="8">
        <v>46022</v>
      </c>
      <c r="B39" s="7" t="s">
        <v>76</v>
      </c>
      <c r="C39" s="7" t="s">
        <v>77</v>
      </c>
      <c r="D39" s="7" t="s">
        <v>71</v>
      </c>
      <c r="E39" s="9">
        <v>3850.0167390000001</v>
      </c>
      <c r="F39" s="10">
        <v>1.03</v>
      </c>
      <c r="G39" s="9">
        <v>87</v>
      </c>
      <c r="H39" s="9">
        <v>34.5</v>
      </c>
      <c r="I39" s="9">
        <v>96.5</v>
      </c>
      <c r="J39" s="9">
        <v>33.292499999999997</v>
      </c>
      <c r="K39" s="11">
        <v>89.51</v>
      </c>
      <c r="L39" s="9">
        <v>228.29534587568</v>
      </c>
      <c r="M39" s="9">
        <v>61.44618940332969</v>
      </c>
      <c r="N39" s="9">
        <v>7.894028707915389</v>
      </c>
      <c r="O39" s="9">
        <v>111.2434674581522</v>
      </c>
      <c r="P39" s="9">
        <v>408.8790314450772</v>
      </c>
      <c r="Q39" s="9">
        <v>106.04410488444501</v>
      </c>
      <c r="R39" s="9">
        <v>119.3878188617677</v>
      </c>
      <c r="S39" s="9">
        <v>73.077906509066565</v>
      </c>
      <c r="T39" s="9">
        <v>86.261035230687725</v>
      </c>
      <c r="U39" s="9">
        <v>384.77086548596702</v>
      </c>
      <c r="V39" s="9">
        <v>793.64989693104428</v>
      </c>
      <c r="W39" s="9">
        <v>11.26284821751168</v>
      </c>
      <c r="X39" s="9">
        <v>30.731009888399999</v>
      </c>
      <c r="Y39" s="9">
        <v>-80.032396570035431</v>
      </c>
      <c r="Z39" s="9">
        <v>755.61135846692048</v>
      </c>
      <c r="AA39" s="9">
        <v>22.544365497779111</v>
      </c>
      <c r="AB39" s="9">
        <v>778.15572396469963</v>
      </c>
      <c r="AC39" s="9">
        <v>0</v>
      </c>
      <c r="AD39" s="9">
        <v>61.462460276057072</v>
      </c>
      <c r="AE39" s="9">
        <v>0</v>
      </c>
      <c r="AF39" s="9">
        <v>0</v>
      </c>
      <c r="AG39" s="9">
        <v>839.6181842407567</v>
      </c>
      <c r="AH39" s="9">
        <v>4.9374976661959709</v>
      </c>
      <c r="AI39" s="9">
        <v>0</v>
      </c>
      <c r="AJ39" s="9">
        <v>36.494853146832902</v>
      </c>
      <c r="AK39" s="9">
        <v>819.58807477772848</v>
      </c>
      <c r="AL39" s="9">
        <v>0</v>
      </c>
      <c r="AM39" s="9">
        <v>0</v>
      </c>
      <c r="AN39" s="9">
        <v>0</v>
      </c>
      <c r="AO39" s="9">
        <v>0</v>
      </c>
      <c r="AP39" s="9">
        <v>0</v>
      </c>
      <c r="AQ39" s="9">
        <v>819.58807477772848</v>
      </c>
      <c r="AR39" s="9">
        <v>773.99999935093092</v>
      </c>
      <c r="AS39" s="9">
        <v>636.49511500000006</v>
      </c>
      <c r="AT39" s="9">
        <v>18.38864088401041</v>
      </c>
      <c r="AU39" s="9">
        <v>-4.1557246137687009</v>
      </c>
    </row>
    <row r="40" spans="1:47" x14ac:dyDescent="0.25">
      <c r="A40" s="8">
        <v>46022</v>
      </c>
      <c r="B40" s="7" t="s">
        <v>78</v>
      </c>
      <c r="C40" s="7" t="s">
        <v>79</v>
      </c>
      <c r="D40" s="7" t="s">
        <v>80</v>
      </c>
      <c r="E40" s="9">
        <v>33740</v>
      </c>
      <c r="F40" s="10">
        <v>1.0132000000000001</v>
      </c>
      <c r="G40" s="9">
        <v>80</v>
      </c>
      <c r="H40" s="9">
        <v>273.48288000000002</v>
      </c>
      <c r="I40" s="9">
        <v>82.278251999999995</v>
      </c>
      <c r="J40" s="9">
        <v>225.01693700000001</v>
      </c>
      <c r="K40" s="11">
        <v>31.0454425811768</v>
      </c>
      <c r="L40" s="9">
        <v>212.0409192296012</v>
      </c>
      <c r="M40" s="9">
        <v>19.455521485024761</v>
      </c>
      <c r="N40" s="9">
        <v>12.23029275747831</v>
      </c>
      <c r="O40" s="9">
        <v>195.13933344689929</v>
      </c>
      <c r="P40" s="9">
        <v>438.86606691900357</v>
      </c>
      <c r="Q40" s="9">
        <v>13.34451814953516</v>
      </c>
      <c r="R40" s="9">
        <v>12.4806938601648</v>
      </c>
      <c r="S40" s="9">
        <v>13.69363880629056</v>
      </c>
      <c r="T40" s="9">
        <v>19.680311314293078</v>
      </c>
      <c r="U40" s="9">
        <v>59.199162130283597</v>
      </c>
      <c r="V40" s="9">
        <v>498.06522904928721</v>
      </c>
      <c r="W40" s="9">
        <v>17.255998752699341</v>
      </c>
      <c r="X40" s="9">
        <v>149.0739442939406</v>
      </c>
      <c r="Y40" s="9">
        <v>-1746.8480092309451</v>
      </c>
      <c r="Z40" s="9">
        <v>-1082.4528371350179</v>
      </c>
      <c r="AA40" s="9">
        <v>175.31498827428439</v>
      </c>
      <c r="AB40" s="9">
        <v>-907.1378488607337</v>
      </c>
      <c r="AC40" s="9">
        <v>0</v>
      </c>
      <c r="AD40" s="9">
        <v>183.25349412522311</v>
      </c>
      <c r="AE40" s="9">
        <v>0</v>
      </c>
      <c r="AF40" s="9">
        <v>0</v>
      </c>
      <c r="AG40" s="9">
        <v>-723.88435473551056</v>
      </c>
      <c r="AH40" s="9">
        <v>138.5852952991477</v>
      </c>
      <c r="AI40" s="9">
        <v>0</v>
      </c>
      <c r="AJ40" s="9">
        <v>185.6765273023677</v>
      </c>
      <c r="AK40" s="9">
        <v>-582.87602625921829</v>
      </c>
      <c r="AL40" s="9">
        <v>0</v>
      </c>
      <c r="AM40" s="9">
        <v>31.18994130350665</v>
      </c>
      <c r="AN40" s="9">
        <v>0</v>
      </c>
      <c r="AO40" s="9">
        <v>0</v>
      </c>
      <c r="AP40" s="9">
        <v>10.079074667714041</v>
      </c>
      <c r="AQ40" s="9">
        <v>-541.60701028799758</v>
      </c>
      <c r="AR40" s="9">
        <v>773.99999935093081</v>
      </c>
      <c r="AS40" s="9">
        <v>12973.500700000001</v>
      </c>
      <c r="AT40" s="9">
        <v>1856.4528364859491</v>
      </c>
      <c r="AU40" s="9">
        <v>1681.137848211665</v>
      </c>
    </row>
    <row r="41" spans="1:47" x14ac:dyDescent="0.25">
      <c r="A41" s="8">
        <v>46022</v>
      </c>
      <c r="B41" s="7" t="s">
        <v>81</v>
      </c>
      <c r="C41" s="7" t="s">
        <v>82</v>
      </c>
      <c r="D41" s="7" t="s">
        <v>71</v>
      </c>
      <c r="E41" s="9">
        <v>763.72900000000004</v>
      </c>
      <c r="F41" s="10">
        <v>1.5499000000000001</v>
      </c>
      <c r="G41" s="9">
        <v>78.45</v>
      </c>
      <c r="H41" s="9">
        <v>9.2859999999999996</v>
      </c>
      <c r="I41" s="9">
        <v>81.348265999999995</v>
      </c>
      <c r="J41" s="9">
        <v>7.5540000000000003</v>
      </c>
      <c r="K41" s="11">
        <v>77.001000000000005</v>
      </c>
      <c r="L41" s="9">
        <v>205.01975082736789</v>
      </c>
      <c r="M41" s="9">
        <v>18.57812425381713</v>
      </c>
      <c r="N41" s="9">
        <v>31.929353947361829</v>
      </c>
      <c r="O41" s="9">
        <v>135.62106189802151</v>
      </c>
      <c r="P41" s="9">
        <v>391.14829092656839</v>
      </c>
      <c r="Q41" s="9">
        <v>90.603669741778162</v>
      </c>
      <c r="R41" s="9">
        <v>18.82692965551627</v>
      </c>
      <c r="S41" s="9">
        <v>70.431524387743508</v>
      </c>
      <c r="T41" s="9">
        <v>28.219395479802209</v>
      </c>
      <c r="U41" s="9">
        <v>208.08151926484021</v>
      </c>
      <c r="V41" s="9">
        <v>599.22981019140855</v>
      </c>
      <c r="W41" s="9">
        <v>21.85028709667375</v>
      </c>
      <c r="X41" s="9">
        <v>5.6873578317906963</v>
      </c>
      <c r="Y41" s="9">
        <v>-222.6354678812194</v>
      </c>
      <c r="Z41" s="9">
        <v>404.13198723865361</v>
      </c>
      <c r="AA41" s="9">
        <v>49.42854777358162</v>
      </c>
      <c r="AB41" s="9">
        <v>453.56053501223522</v>
      </c>
      <c r="AC41" s="9">
        <v>11.558981485861439</v>
      </c>
      <c r="AD41" s="9">
        <v>422.62825060744098</v>
      </c>
      <c r="AE41" s="9">
        <v>0</v>
      </c>
      <c r="AF41" s="9">
        <v>0</v>
      </c>
      <c r="AG41" s="9">
        <v>887.74776710553772</v>
      </c>
      <c r="AH41" s="9">
        <v>24.018659254306979</v>
      </c>
      <c r="AI41" s="9">
        <v>0</v>
      </c>
      <c r="AJ41" s="9">
        <v>32.425809094748971</v>
      </c>
      <c r="AK41" s="9">
        <v>521.5639848471526</v>
      </c>
      <c r="AL41" s="9">
        <v>0</v>
      </c>
      <c r="AM41" s="9">
        <v>0</v>
      </c>
      <c r="AN41" s="9">
        <v>0</v>
      </c>
      <c r="AO41" s="9">
        <v>0</v>
      </c>
      <c r="AP41" s="9">
        <v>0</v>
      </c>
      <c r="AQ41" s="9">
        <v>521.5639848471526</v>
      </c>
      <c r="AR41" s="9">
        <v>773.99999935093081</v>
      </c>
      <c r="AS41" s="9">
        <v>166.715238</v>
      </c>
      <c r="AT41" s="9">
        <v>369.8680121122772</v>
      </c>
      <c r="AU41" s="9">
        <v>320.43946433869559</v>
      </c>
    </row>
    <row r="42" spans="1:47" x14ac:dyDescent="0.25">
      <c r="A42" s="8">
        <v>46022</v>
      </c>
      <c r="B42" s="7" t="s">
        <v>108</v>
      </c>
      <c r="C42" s="7" t="s">
        <v>109</v>
      </c>
      <c r="D42" s="7" t="s">
        <v>60</v>
      </c>
      <c r="E42" s="9">
        <v>634.32000700000003</v>
      </c>
      <c r="F42" s="10">
        <v>1.95</v>
      </c>
      <c r="G42" s="9">
        <v>97.014854</v>
      </c>
      <c r="H42" s="9">
        <v>12</v>
      </c>
      <c r="I42" s="9">
        <v>100</v>
      </c>
      <c r="J42" s="9">
        <v>12</v>
      </c>
      <c r="K42" s="11">
        <v>100</v>
      </c>
      <c r="L42" s="9">
        <v>0</v>
      </c>
      <c r="M42" s="9">
        <v>0</v>
      </c>
      <c r="N42" s="9">
        <v>0</v>
      </c>
      <c r="O42" s="9">
        <v>142.4906388620187</v>
      </c>
      <c r="P42" s="9">
        <v>142.4906388620187</v>
      </c>
      <c r="Q42" s="9">
        <v>0</v>
      </c>
      <c r="R42" s="9">
        <v>0</v>
      </c>
      <c r="S42" s="9">
        <v>0</v>
      </c>
      <c r="T42" s="9">
        <v>0</v>
      </c>
      <c r="U42" s="9">
        <v>0</v>
      </c>
      <c r="V42" s="9">
        <v>142.4906388620187</v>
      </c>
      <c r="W42" s="9">
        <v>28.74689463899772</v>
      </c>
      <c r="X42" s="9">
        <v>250.63674179250069</v>
      </c>
      <c r="Y42" s="9">
        <v>-4.5359237000000001E-16</v>
      </c>
      <c r="Z42" s="9">
        <v>421.87427529351709</v>
      </c>
      <c r="AA42" s="9">
        <v>0</v>
      </c>
      <c r="AB42" s="9">
        <v>421.87427529351709</v>
      </c>
      <c r="AC42" s="9">
        <v>0</v>
      </c>
      <c r="AD42" s="9">
        <v>17.526682857328819</v>
      </c>
      <c r="AE42" s="9">
        <v>0</v>
      </c>
      <c r="AF42" s="9">
        <v>0</v>
      </c>
      <c r="AG42" s="9">
        <v>439.4009581508459</v>
      </c>
      <c r="AH42" s="9">
        <v>9.1138736627677606</v>
      </c>
      <c r="AI42" s="9">
        <v>0</v>
      </c>
      <c r="AJ42" s="9">
        <v>16.825616165617081</v>
      </c>
      <c r="AK42" s="9">
        <v>447.81376512190189</v>
      </c>
      <c r="AL42" s="9">
        <v>0</v>
      </c>
      <c r="AM42" s="9">
        <v>0</v>
      </c>
      <c r="AN42" s="9">
        <v>0</v>
      </c>
      <c r="AO42" s="9">
        <v>0</v>
      </c>
      <c r="AP42" s="9">
        <v>0</v>
      </c>
      <c r="AQ42" s="9">
        <v>447.81376512190189</v>
      </c>
      <c r="AR42" s="9">
        <v>773.99999935093092</v>
      </c>
      <c r="AS42" s="9">
        <v>204.765344</v>
      </c>
      <c r="AT42" s="9">
        <v>352.12572405741378</v>
      </c>
      <c r="AU42" s="9">
        <v>352.12572405741378</v>
      </c>
    </row>
    <row r="43" spans="1:47" x14ac:dyDescent="0.25">
      <c r="A43" s="8">
        <v>46022</v>
      </c>
      <c r="B43" s="7" t="s">
        <v>110</v>
      </c>
      <c r="C43" s="7" t="s">
        <v>111</v>
      </c>
      <c r="D43" s="7" t="s">
        <v>54</v>
      </c>
      <c r="E43" s="9">
        <v>1988</v>
      </c>
      <c r="F43" s="10">
        <v>1.55</v>
      </c>
      <c r="G43" s="9">
        <v>87.5</v>
      </c>
      <c r="H43" s="9">
        <v>26.962250000000001</v>
      </c>
      <c r="I43" s="9">
        <v>100</v>
      </c>
      <c r="J43" s="9">
        <v>26.962250000000001</v>
      </c>
      <c r="K43" s="11">
        <v>100</v>
      </c>
      <c r="L43" s="9">
        <v>31.594058770138449</v>
      </c>
      <c r="M43" s="9">
        <v>20.65838079914116</v>
      </c>
      <c r="N43" s="9">
        <v>1.6325402560955979</v>
      </c>
      <c r="O43" s="9">
        <v>33.304757363714003</v>
      </c>
      <c r="P43" s="9">
        <v>87.189737189089215</v>
      </c>
      <c r="Q43" s="9">
        <v>37.636475686983012</v>
      </c>
      <c r="R43" s="9">
        <v>171.20576385466561</v>
      </c>
      <c r="S43" s="9">
        <v>185.20795369618881</v>
      </c>
      <c r="T43" s="9">
        <v>50.083762843621933</v>
      </c>
      <c r="U43" s="9">
        <v>444.13395608145942</v>
      </c>
      <c r="V43" s="9">
        <v>531.32369327054857</v>
      </c>
      <c r="W43" s="9">
        <v>7.7514206255027354</v>
      </c>
      <c r="X43" s="9">
        <v>0</v>
      </c>
      <c r="Y43" s="9">
        <v>-6.7131670760000002E-15</v>
      </c>
      <c r="Z43" s="9">
        <v>539.07511389605133</v>
      </c>
      <c r="AA43" s="9">
        <v>15.479999102225269</v>
      </c>
      <c r="AB43" s="9">
        <v>554.55511299827663</v>
      </c>
      <c r="AC43" s="9">
        <v>0</v>
      </c>
      <c r="AD43" s="9">
        <v>207.38092289495179</v>
      </c>
      <c r="AE43" s="9">
        <v>0</v>
      </c>
      <c r="AF43" s="9">
        <v>0</v>
      </c>
      <c r="AG43" s="9">
        <v>761.93603589322845</v>
      </c>
      <c r="AH43" s="9">
        <v>22.3154421704158</v>
      </c>
      <c r="AI43" s="9">
        <v>0</v>
      </c>
      <c r="AJ43" s="9">
        <v>128.15740760934821</v>
      </c>
      <c r="AK43" s="9">
        <v>705.02796277804055</v>
      </c>
      <c r="AL43" s="9">
        <v>437.40422770899301</v>
      </c>
      <c r="AM43" s="9">
        <v>0</v>
      </c>
      <c r="AN43" s="9">
        <v>0</v>
      </c>
      <c r="AO43" s="9">
        <v>0</v>
      </c>
      <c r="AP43" s="9">
        <v>0</v>
      </c>
      <c r="AQ43" s="9">
        <v>1142.4321904870339</v>
      </c>
      <c r="AR43" s="9">
        <v>773.99999935093081</v>
      </c>
      <c r="AS43" s="9">
        <v>460.07785000000001</v>
      </c>
      <c r="AT43" s="9">
        <v>234.9248854548795</v>
      </c>
      <c r="AU43" s="9">
        <v>219.44488635265421</v>
      </c>
    </row>
    <row r="44" spans="1:47" x14ac:dyDescent="0.25">
      <c r="A44" s="8">
        <v>46022</v>
      </c>
      <c r="B44" s="7" t="s">
        <v>175</v>
      </c>
      <c r="C44" s="7" t="s">
        <v>176</v>
      </c>
      <c r="D44" s="7" t="s">
        <v>68</v>
      </c>
      <c r="E44" s="9">
        <v>4200</v>
      </c>
      <c r="F44" s="10">
        <v>1.1204000000000001</v>
      </c>
      <c r="G44" s="9">
        <v>85</v>
      </c>
      <c r="H44" s="9">
        <v>40</v>
      </c>
      <c r="I44" s="9">
        <v>95</v>
      </c>
      <c r="J44" s="9">
        <v>38</v>
      </c>
      <c r="K44" s="11">
        <v>39.341000000000001</v>
      </c>
      <c r="L44" s="9">
        <v>216.70182808903709</v>
      </c>
      <c r="M44" s="9">
        <v>57.77129086611474</v>
      </c>
      <c r="N44" s="9">
        <v>49.284011687210338</v>
      </c>
      <c r="O44" s="9">
        <v>431.3121396689138</v>
      </c>
      <c r="P44" s="9">
        <v>755.06927031127589</v>
      </c>
      <c r="Q44" s="9">
        <v>76.813116664072865</v>
      </c>
      <c r="R44" s="9">
        <v>54.182855705418312</v>
      </c>
      <c r="S44" s="9">
        <v>58.720916099065349</v>
      </c>
      <c r="T44" s="9">
        <v>65.272222283971743</v>
      </c>
      <c r="U44" s="9">
        <v>254.98911075252829</v>
      </c>
      <c r="V44" s="9">
        <v>1010.0583810638039</v>
      </c>
      <c r="W44" s="9">
        <v>8.2937376473689444</v>
      </c>
      <c r="X44" s="9">
        <v>201.29516028688289</v>
      </c>
      <c r="Y44" s="9">
        <v>-1041.2546545700279</v>
      </c>
      <c r="Z44" s="9">
        <v>178.392624428028</v>
      </c>
      <c r="AA44" s="9">
        <v>0</v>
      </c>
      <c r="AB44" s="9">
        <v>178.392624428028</v>
      </c>
      <c r="AC44" s="9">
        <v>0</v>
      </c>
      <c r="AD44" s="9">
        <v>224.09994989484559</v>
      </c>
      <c r="AE44" s="9">
        <v>0</v>
      </c>
      <c r="AF44" s="9">
        <v>0</v>
      </c>
      <c r="AG44" s="9">
        <v>402.49257432287362</v>
      </c>
      <c r="AH44" s="9">
        <v>24.809600705107432</v>
      </c>
      <c r="AI44" s="9">
        <v>0</v>
      </c>
      <c r="AJ44" s="9">
        <v>192.69405387341561</v>
      </c>
      <c r="AK44" s="9">
        <v>395.89627900655103</v>
      </c>
      <c r="AL44" s="9">
        <v>0</v>
      </c>
      <c r="AM44" s="9">
        <v>0</v>
      </c>
      <c r="AN44" s="9">
        <v>0</v>
      </c>
      <c r="AO44" s="9">
        <v>0</v>
      </c>
      <c r="AP44" s="9">
        <v>0</v>
      </c>
      <c r="AQ44" s="9">
        <v>395.89627900655103</v>
      </c>
      <c r="AR44" s="9">
        <v>773.99999935093092</v>
      </c>
      <c r="AS44" s="9">
        <v>1561.407234</v>
      </c>
      <c r="AT44" s="9">
        <v>595.60737492290286</v>
      </c>
      <c r="AU44" s="9">
        <v>595.60737492290286</v>
      </c>
    </row>
    <row r="45" spans="1:47" x14ac:dyDescent="0.25">
      <c r="A45" s="8">
        <v>46022</v>
      </c>
      <c r="B45" s="7" t="s">
        <v>99</v>
      </c>
      <c r="C45" s="7" t="s">
        <v>100</v>
      </c>
      <c r="D45" s="7" t="s">
        <v>54</v>
      </c>
      <c r="E45" s="9">
        <v>2500</v>
      </c>
      <c r="F45" s="10">
        <v>1.0900000000000001</v>
      </c>
      <c r="G45" s="9">
        <v>85</v>
      </c>
      <c r="H45" s="9">
        <v>23.161999999999999</v>
      </c>
      <c r="I45" s="9">
        <v>100</v>
      </c>
      <c r="J45" s="9">
        <v>23.162500000000001</v>
      </c>
      <c r="K45" s="11">
        <v>92.994</v>
      </c>
      <c r="L45" s="9">
        <v>3.1018864040887202</v>
      </c>
      <c r="M45" s="9">
        <v>0.78311633373405265</v>
      </c>
      <c r="N45" s="9">
        <v>0.21736694695769021</v>
      </c>
      <c r="O45" s="9">
        <v>3.5961576624031291</v>
      </c>
      <c r="P45" s="9">
        <v>7.6985273471835933</v>
      </c>
      <c r="Q45" s="9">
        <v>5.110823266371936</v>
      </c>
      <c r="R45" s="9">
        <v>139.85982929469751</v>
      </c>
      <c r="S45" s="9">
        <v>16.791534231513221</v>
      </c>
      <c r="T45" s="9">
        <v>77.190968921652981</v>
      </c>
      <c r="U45" s="9">
        <v>238.95315571423569</v>
      </c>
      <c r="V45" s="9">
        <v>246.65168306141931</v>
      </c>
      <c r="W45" s="9">
        <v>4.1678361739318079</v>
      </c>
      <c r="X45" s="9">
        <v>146.21719364355999</v>
      </c>
      <c r="Y45" s="9">
        <v>-48.81273606268185</v>
      </c>
      <c r="Z45" s="9">
        <v>348.2239768162292</v>
      </c>
      <c r="AA45" s="9">
        <v>45.254764139819301</v>
      </c>
      <c r="AB45" s="9">
        <v>393.47874095604851</v>
      </c>
      <c r="AC45" s="9">
        <v>0</v>
      </c>
      <c r="AD45" s="9">
        <v>86.863687906620171</v>
      </c>
      <c r="AE45" s="9">
        <v>0</v>
      </c>
      <c r="AF45" s="9">
        <v>0</v>
      </c>
      <c r="AG45" s="9">
        <v>480.34242886266873</v>
      </c>
      <c r="AH45" s="9">
        <v>2.9374573340528869</v>
      </c>
      <c r="AI45" s="9">
        <v>0</v>
      </c>
      <c r="AJ45" s="9">
        <v>36.997754907093999</v>
      </c>
      <c r="AK45" s="9">
        <v>433.41395319719538</v>
      </c>
      <c r="AL45" s="9">
        <v>0</v>
      </c>
      <c r="AM45" s="9">
        <v>0</v>
      </c>
      <c r="AN45" s="9">
        <v>0</v>
      </c>
      <c r="AO45" s="9">
        <v>0</v>
      </c>
      <c r="AP45" s="9">
        <v>0</v>
      </c>
      <c r="AQ45" s="9">
        <v>433.41395319719538</v>
      </c>
      <c r="AR45" s="9">
        <v>773.99999935093081</v>
      </c>
      <c r="AS45" s="9">
        <v>420.165797</v>
      </c>
      <c r="AT45" s="9">
        <v>425.77602253470161</v>
      </c>
      <c r="AU45" s="9">
        <v>380.5212583948823</v>
      </c>
    </row>
    <row r="46" spans="1:47" x14ac:dyDescent="0.25">
      <c r="A46" s="8">
        <v>46022</v>
      </c>
      <c r="B46" s="7" t="s">
        <v>177</v>
      </c>
      <c r="C46" s="7" t="s">
        <v>178</v>
      </c>
      <c r="D46" s="7" t="s">
        <v>65</v>
      </c>
      <c r="E46" s="9">
        <v>5600</v>
      </c>
      <c r="F46" s="10">
        <v>0.12</v>
      </c>
      <c r="G46" s="9">
        <v>19.940000000000001</v>
      </c>
      <c r="H46" s="9">
        <v>1.34</v>
      </c>
      <c r="I46" s="9">
        <v>95</v>
      </c>
      <c r="J46" s="9">
        <v>1.2729999999999999</v>
      </c>
      <c r="K46" s="11">
        <v>6.5949999999999998</v>
      </c>
      <c r="L46" s="9">
        <v>91.702644580097541</v>
      </c>
      <c r="M46" s="9">
        <v>1447.2967653034641</v>
      </c>
      <c r="N46" s="9">
        <v>103.9097535035725</v>
      </c>
      <c r="O46" s="9">
        <v>1516.191657176845</v>
      </c>
      <c r="P46" s="9">
        <v>3159.1008205639791</v>
      </c>
      <c r="Q46" s="9">
        <v>40.040699077013763</v>
      </c>
      <c r="R46" s="9">
        <v>585.83237077671572</v>
      </c>
      <c r="S46" s="9">
        <v>3502.8435529537442</v>
      </c>
      <c r="T46" s="9">
        <v>1193.3553113622229</v>
      </c>
      <c r="U46" s="9">
        <v>5322.0719341696959</v>
      </c>
      <c r="V46" s="9">
        <v>8481.1727547336759</v>
      </c>
      <c r="W46" s="9">
        <v>38.290602931290209</v>
      </c>
      <c r="X46" s="9">
        <v>83.764617000000015</v>
      </c>
      <c r="Y46" s="9">
        <v>-8750.9388207329794</v>
      </c>
      <c r="Z46" s="9">
        <v>-147.7108460680135</v>
      </c>
      <c r="AA46" s="9">
        <v>27.907942753092851</v>
      </c>
      <c r="AB46" s="9">
        <v>-119.8029033149206</v>
      </c>
      <c r="AC46" s="9">
        <v>0</v>
      </c>
      <c r="AD46" s="9">
        <v>1983.9746427462489</v>
      </c>
      <c r="AE46" s="9">
        <v>0</v>
      </c>
      <c r="AF46" s="9">
        <v>0</v>
      </c>
      <c r="AG46" s="9">
        <v>1864.171739431328</v>
      </c>
      <c r="AH46" s="9">
        <v>696.12033316958866</v>
      </c>
      <c r="AI46" s="9">
        <v>0</v>
      </c>
      <c r="AJ46" s="9">
        <v>171.047145407084</v>
      </c>
      <c r="AK46" s="9">
        <v>747.36457526175195</v>
      </c>
      <c r="AL46" s="9">
        <v>0</v>
      </c>
      <c r="AM46" s="9">
        <v>0</v>
      </c>
      <c r="AN46" s="9">
        <v>0</v>
      </c>
      <c r="AO46" s="9">
        <v>0</v>
      </c>
      <c r="AP46" s="9">
        <v>0</v>
      </c>
      <c r="AQ46" s="9">
        <v>747.36457526175195</v>
      </c>
      <c r="AR46" s="9">
        <v>773.99999935093092</v>
      </c>
      <c r="AS46" s="9">
        <v>291.53248200000002</v>
      </c>
      <c r="AT46" s="9">
        <v>921.71084541894436</v>
      </c>
      <c r="AU46" s="9">
        <v>893.80290266585155</v>
      </c>
    </row>
    <row r="47" spans="1:47" x14ac:dyDescent="0.25">
      <c r="A47" s="8">
        <v>46022</v>
      </c>
      <c r="B47" s="7" t="s">
        <v>179</v>
      </c>
      <c r="C47" s="7" t="s">
        <v>180</v>
      </c>
      <c r="D47" s="7" t="s">
        <v>65</v>
      </c>
      <c r="E47" s="9">
        <v>8488</v>
      </c>
      <c r="F47" s="10">
        <v>0.01</v>
      </c>
      <c r="G47" s="9">
        <v>13</v>
      </c>
      <c r="H47" s="9">
        <v>0.11</v>
      </c>
      <c r="I47" s="9">
        <v>98</v>
      </c>
      <c r="J47" s="9">
        <v>0.108137</v>
      </c>
      <c r="K47" s="11">
        <v>3.2970000000000002</v>
      </c>
      <c r="L47" s="9">
        <v>0</v>
      </c>
      <c r="M47" s="9">
        <v>0</v>
      </c>
      <c r="N47" s="9">
        <v>0</v>
      </c>
      <c r="O47" s="9">
        <v>0</v>
      </c>
      <c r="P47" s="9">
        <v>0</v>
      </c>
      <c r="Q47" s="9">
        <v>809.05089295225923</v>
      </c>
      <c r="R47" s="9">
        <v>2014.482854846935</v>
      </c>
      <c r="S47" s="9">
        <v>8224.4113971358838</v>
      </c>
      <c r="T47" s="9">
        <v>1169.5326138411569</v>
      </c>
      <c r="U47" s="9">
        <v>12217.477758776229</v>
      </c>
      <c r="V47" s="9">
        <v>12217.477758776229</v>
      </c>
      <c r="W47" s="9">
        <v>5.4631152120728963</v>
      </c>
      <c r="X47" s="9">
        <v>654.55758637299596</v>
      </c>
      <c r="Y47" s="9">
        <v>-19119.122995572121</v>
      </c>
      <c r="Z47" s="9">
        <v>-6241.6245352108153</v>
      </c>
      <c r="AA47" s="9">
        <v>0</v>
      </c>
      <c r="AB47" s="9">
        <v>-6241.6245352108153</v>
      </c>
      <c r="AC47" s="9">
        <v>0</v>
      </c>
      <c r="AD47" s="9">
        <v>1250.093414040203</v>
      </c>
      <c r="AE47" s="9">
        <v>0</v>
      </c>
      <c r="AF47" s="9">
        <v>0</v>
      </c>
      <c r="AG47" s="9">
        <v>-4991.5311211706121</v>
      </c>
      <c r="AH47" s="9">
        <v>181.3410189834288</v>
      </c>
      <c r="AI47" s="9">
        <v>0</v>
      </c>
      <c r="AJ47" s="9">
        <v>539.05276141495847</v>
      </c>
      <c r="AK47" s="9">
        <v>-5521.2307548124281</v>
      </c>
      <c r="AL47" s="9">
        <v>0</v>
      </c>
      <c r="AM47" s="9">
        <v>0</v>
      </c>
      <c r="AN47" s="9">
        <v>0</v>
      </c>
      <c r="AO47" s="9">
        <v>0</v>
      </c>
      <c r="AP47" s="9">
        <v>0</v>
      </c>
      <c r="AQ47" s="9">
        <v>-5521.2307548124281</v>
      </c>
      <c r="AR47" s="9">
        <v>773.73516862716394</v>
      </c>
      <c r="AS47" s="9">
        <v>50.636485999999998</v>
      </c>
      <c r="AT47" s="9">
        <v>7015.3597038379794</v>
      </c>
      <c r="AU47" s="9">
        <v>7015.3597038379794</v>
      </c>
    </row>
    <row r="48" spans="1:47" x14ac:dyDescent="0.25">
      <c r="A48" s="8">
        <v>46022</v>
      </c>
      <c r="B48" s="7" t="s">
        <v>117</v>
      </c>
      <c r="C48" s="7" t="s">
        <v>118</v>
      </c>
      <c r="D48" s="7" t="s">
        <v>65</v>
      </c>
      <c r="E48" s="9">
        <v>445</v>
      </c>
      <c r="F48" s="10">
        <v>0.32</v>
      </c>
      <c r="G48" s="9">
        <v>71.900000000000006</v>
      </c>
      <c r="H48" s="9">
        <v>1.024</v>
      </c>
      <c r="I48" s="9">
        <v>82</v>
      </c>
      <c r="J48" s="9">
        <v>0.83956200000000003</v>
      </c>
      <c r="K48" s="11">
        <v>14.712</v>
      </c>
      <c r="L48" s="9">
        <v>610.55131371562959</v>
      </c>
      <c r="M48" s="9">
        <v>19.565871733337669</v>
      </c>
      <c r="N48" s="9">
        <v>170.96211036858051</v>
      </c>
      <c r="O48" s="9">
        <v>2158.0435786836961</v>
      </c>
      <c r="P48" s="9">
        <v>2959.122874501244</v>
      </c>
      <c r="Q48" s="9">
        <v>194.1665183657951</v>
      </c>
      <c r="R48" s="9">
        <v>41.456978267526821</v>
      </c>
      <c r="S48" s="9">
        <v>143.20097304251109</v>
      </c>
      <c r="T48" s="9">
        <v>241.07091482809341</v>
      </c>
      <c r="U48" s="9">
        <v>619.89538450392638</v>
      </c>
      <c r="V48" s="9">
        <v>3579.01825900517</v>
      </c>
      <c r="W48" s="9">
        <v>37.559139208778042</v>
      </c>
      <c r="X48" s="9">
        <v>554.58000698024682</v>
      </c>
      <c r="Y48" s="9">
        <v>-3523.6509103606331</v>
      </c>
      <c r="Z48" s="9">
        <v>647.50649483356278</v>
      </c>
      <c r="AA48" s="9">
        <v>220.14673840249111</v>
      </c>
      <c r="AB48" s="9">
        <v>867.65323323605389</v>
      </c>
      <c r="AC48" s="9">
        <v>5.9337664839347832</v>
      </c>
      <c r="AD48" s="9">
        <v>1422.7832977889159</v>
      </c>
      <c r="AE48" s="9">
        <v>0</v>
      </c>
      <c r="AF48" s="9">
        <v>0</v>
      </c>
      <c r="AG48" s="9">
        <v>2296.370297508905</v>
      </c>
      <c r="AH48" s="9">
        <v>178.9509021312991</v>
      </c>
      <c r="AI48" s="9">
        <v>0</v>
      </c>
      <c r="AJ48" s="9">
        <v>1188.599780612371</v>
      </c>
      <c r="AK48" s="9">
        <v>2241.1376824636591</v>
      </c>
      <c r="AL48" s="9">
        <v>17288.724177803018</v>
      </c>
      <c r="AM48" s="9">
        <v>0</v>
      </c>
      <c r="AN48" s="9">
        <v>0</v>
      </c>
      <c r="AO48" s="9">
        <v>0</v>
      </c>
      <c r="AP48" s="9">
        <v>0</v>
      </c>
      <c r="AQ48" s="9">
        <v>19529.861860266679</v>
      </c>
      <c r="AR48" s="9">
        <v>774.03503190358958</v>
      </c>
      <c r="AS48" s="9">
        <v>81.494870000000006</v>
      </c>
      <c r="AT48" s="9">
        <v>126.5285370700268</v>
      </c>
      <c r="AU48" s="9">
        <v>-93.618201332464253</v>
      </c>
    </row>
    <row r="49" spans="1:47" x14ac:dyDescent="0.25">
      <c r="A49" s="8">
        <v>46022</v>
      </c>
      <c r="B49" s="7" t="s">
        <v>119</v>
      </c>
      <c r="C49" s="7" t="s">
        <v>120</v>
      </c>
      <c r="D49" s="7" t="s">
        <v>121</v>
      </c>
      <c r="E49" s="9">
        <v>1350</v>
      </c>
      <c r="F49" s="10">
        <v>1.8</v>
      </c>
      <c r="G49" s="9">
        <v>85</v>
      </c>
      <c r="H49" s="9">
        <v>20.655000000000001</v>
      </c>
      <c r="I49" s="9">
        <v>100</v>
      </c>
      <c r="J49" s="9">
        <v>20.655000000000001</v>
      </c>
      <c r="K49" s="11">
        <v>100</v>
      </c>
      <c r="L49" s="9">
        <v>70.173633143268759</v>
      </c>
      <c r="M49" s="9">
        <v>210.5572639004626</v>
      </c>
      <c r="N49" s="9">
        <v>8.8011743060065359E-2</v>
      </c>
      <c r="O49" s="9">
        <v>11.48130635219189</v>
      </c>
      <c r="P49" s="9">
        <v>292.30021513898328</v>
      </c>
      <c r="Q49" s="9">
        <v>30.117157767609928</v>
      </c>
      <c r="R49" s="9">
        <v>44.725704833286599</v>
      </c>
      <c r="S49" s="9">
        <v>34.932494367529927</v>
      </c>
      <c r="T49" s="9">
        <v>33.996994197949078</v>
      </c>
      <c r="U49" s="9">
        <v>143.7723511663755</v>
      </c>
      <c r="V49" s="9">
        <v>436.07256630535881</v>
      </c>
      <c r="W49" s="9">
        <v>0</v>
      </c>
      <c r="X49" s="9">
        <v>165.83410699999999</v>
      </c>
      <c r="Y49" s="9">
        <v>4.5359237000000001E-16</v>
      </c>
      <c r="Z49" s="9">
        <v>601.90667330535882</v>
      </c>
      <c r="AA49" s="9">
        <v>15.05992723643768</v>
      </c>
      <c r="AB49" s="9">
        <v>616.96660054179654</v>
      </c>
      <c r="AC49" s="9">
        <v>0</v>
      </c>
      <c r="AD49" s="9">
        <v>115.0269871705102</v>
      </c>
      <c r="AE49" s="9">
        <v>0</v>
      </c>
      <c r="AF49" s="9">
        <v>0</v>
      </c>
      <c r="AG49" s="9">
        <v>731.99358771230675</v>
      </c>
      <c r="AH49" s="9">
        <v>24.73063868158745</v>
      </c>
      <c r="AI49" s="9">
        <v>0</v>
      </c>
      <c r="AJ49" s="9">
        <v>54.52699102202287</v>
      </c>
      <c r="AK49" s="9">
        <v>696.22423024540683</v>
      </c>
      <c r="AL49" s="9">
        <v>0</v>
      </c>
      <c r="AM49" s="9">
        <v>0</v>
      </c>
      <c r="AN49" s="9">
        <v>0</v>
      </c>
      <c r="AO49" s="9">
        <v>0</v>
      </c>
      <c r="AP49" s="9">
        <v>0</v>
      </c>
      <c r="AQ49" s="9">
        <v>696.22423024540683</v>
      </c>
      <c r="AR49" s="9">
        <v>773.99999935093081</v>
      </c>
      <c r="AS49" s="9">
        <v>352.45235700000001</v>
      </c>
      <c r="AT49" s="9">
        <v>172.09332604557201</v>
      </c>
      <c r="AU49" s="9">
        <v>157.0333988091343</v>
      </c>
    </row>
    <row r="50" spans="1:47" x14ac:dyDescent="0.25">
      <c r="A50" s="8">
        <v>46022</v>
      </c>
      <c r="B50" s="7" t="s">
        <v>112</v>
      </c>
      <c r="C50" s="7" t="s">
        <v>113</v>
      </c>
      <c r="D50" s="7" t="s">
        <v>68</v>
      </c>
      <c r="E50" s="9">
        <v>1350</v>
      </c>
      <c r="F50" s="10">
        <v>3</v>
      </c>
      <c r="G50" s="9">
        <v>90</v>
      </c>
      <c r="H50" s="9">
        <v>36.450000000000003</v>
      </c>
      <c r="I50" s="9">
        <v>98</v>
      </c>
      <c r="J50" s="9">
        <v>35.720999999999997</v>
      </c>
      <c r="K50" s="11">
        <v>75.456000000000003</v>
      </c>
      <c r="L50" s="9">
        <v>148.93780724826959</v>
      </c>
      <c r="M50" s="9">
        <v>11.908798536020109</v>
      </c>
      <c r="N50" s="9">
        <v>20.31520398674207</v>
      </c>
      <c r="O50" s="9">
        <v>284.64921583851299</v>
      </c>
      <c r="P50" s="9">
        <v>465.8110256095448</v>
      </c>
      <c r="Q50" s="9">
        <v>17.557444661472221</v>
      </c>
      <c r="R50" s="9">
        <v>16.196377842059789</v>
      </c>
      <c r="S50" s="9">
        <v>11.11810612218545</v>
      </c>
      <c r="T50" s="9">
        <v>46.849418218972758</v>
      </c>
      <c r="U50" s="9">
        <v>91.721346844690217</v>
      </c>
      <c r="V50" s="9">
        <v>557.53237245423497</v>
      </c>
      <c r="W50" s="9">
        <v>51.55945580643543</v>
      </c>
      <c r="X50" s="9">
        <v>122.4697772155172</v>
      </c>
      <c r="Y50" s="9">
        <v>-240.38990510173099</v>
      </c>
      <c r="Z50" s="9">
        <v>491.17170037445658</v>
      </c>
      <c r="AA50" s="9">
        <v>40.434457323800927</v>
      </c>
      <c r="AB50" s="9">
        <v>531.60615769825745</v>
      </c>
      <c r="AC50" s="9">
        <v>0</v>
      </c>
      <c r="AD50" s="9">
        <v>219.0328898742024</v>
      </c>
      <c r="AE50" s="9">
        <v>0</v>
      </c>
      <c r="AF50" s="9">
        <v>0</v>
      </c>
      <c r="AG50" s="9">
        <v>750.63904757245984</v>
      </c>
      <c r="AH50" s="9">
        <v>2.745486960278043</v>
      </c>
      <c r="AI50" s="9">
        <v>0</v>
      </c>
      <c r="AJ50" s="9">
        <v>57.700751685756089</v>
      </c>
      <c r="AK50" s="9">
        <v>592.05239634429165</v>
      </c>
      <c r="AL50" s="9">
        <v>0</v>
      </c>
      <c r="AM50" s="9">
        <v>0</v>
      </c>
      <c r="AN50" s="9">
        <v>0</v>
      </c>
      <c r="AO50" s="9">
        <v>0</v>
      </c>
      <c r="AP50" s="9">
        <v>0</v>
      </c>
      <c r="AQ50" s="9">
        <v>592.05239634429165</v>
      </c>
      <c r="AR50" s="9">
        <v>773.99999935093092</v>
      </c>
      <c r="AS50" s="9">
        <v>800.76637200000005</v>
      </c>
      <c r="AT50" s="9">
        <v>282.8282989764744</v>
      </c>
      <c r="AU50" s="9">
        <v>242.39384165267339</v>
      </c>
    </row>
    <row r="51" spans="1:47" x14ac:dyDescent="0.25">
      <c r="A51" s="8">
        <v>46022</v>
      </c>
      <c r="B51" s="7" t="s">
        <v>83</v>
      </c>
      <c r="C51" s="7" t="s">
        <v>84</v>
      </c>
      <c r="D51" s="7" t="s">
        <v>85</v>
      </c>
      <c r="E51" s="9">
        <v>3450</v>
      </c>
      <c r="F51" s="10">
        <v>1</v>
      </c>
      <c r="G51" s="9">
        <v>88</v>
      </c>
      <c r="H51" s="9">
        <v>30.36</v>
      </c>
      <c r="I51" s="9">
        <v>100</v>
      </c>
      <c r="J51" s="9">
        <v>30.36</v>
      </c>
      <c r="K51" s="11">
        <v>90.304000000000002</v>
      </c>
      <c r="L51" s="9">
        <v>33.337281524566251</v>
      </c>
      <c r="M51" s="9">
        <v>23.990825180201249</v>
      </c>
      <c r="N51" s="9">
        <v>1.3452209534924999</v>
      </c>
      <c r="O51" s="9">
        <v>47.358553614408748</v>
      </c>
      <c r="P51" s="9">
        <v>106.0318812726688</v>
      </c>
      <c r="Q51" s="9">
        <v>29.176483869015001</v>
      </c>
      <c r="R51" s="9">
        <v>37.026389505446247</v>
      </c>
      <c r="S51" s="9">
        <v>152.79186305581621</v>
      </c>
      <c r="T51" s="9">
        <v>64.303094512973743</v>
      </c>
      <c r="U51" s="9">
        <v>283.2978309432512</v>
      </c>
      <c r="V51" s="9">
        <v>389.32971221591998</v>
      </c>
      <c r="W51" s="9">
        <v>4.0707031698692031</v>
      </c>
      <c r="X51" s="9">
        <v>193.36687599999999</v>
      </c>
      <c r="Y51" s="9">
        <v>-62.402075326536142</v>
      </c>
      <c r="Z51" s="9">
        <v>524.36521605925304</v>
      </c>
      <c r="AA51" s="9">
        <v>15.52880349742574</v>
      </c>
      <c r="AB51" s="9">
        <v>539.89401955667881</v>
      </c>
      <c r="AC51" s="9">
        <v>0.53590907623749995</v>
      </c>
      <c r="AD51" s="9">
        <v>128.51697565390251</v>
      </c>
      <c r="AE51" s="9">
        <v>0</v>
      </c>
      <c r="AF51" s="9">
        <v>0</v>
      </c>
      <c r="AG51" s="9">
        <v>668.94690428681884</v>
      </c>
      <c r="AH51" s="9">
        <v>27.341042961645002</v>
      </c>
      <c r="AI51" s="9">
        <v>0</v>
      </c>
      <c r="AJ51" s="9">
        <v>11.6535611541125</v>
      </c>
      <c r="AK51" s="9">
        <v>579.42453274867376</v>
      </c>
      <c r="AL51" s="9">
        <v>0</v>
      </c>
      <c r="AM51" s="9">
        <v>0</v>
      </c>
      <c r="AN51" s="9">
        <v>0</v>
      </c>
      <c r="AO51" s="9">
        <v>0</v>
      </c>
      <c r="AP51" s="9">
        <v>0</v>
      </c>
      <c r="AQ51" s="9">
        <v>579.42453274867376</v>
      </c>
      <c r="AR51" s="9">
        <v>773.99999935093092</v>
      </c>
      <c r="AS51" s="9">
        <v>593.93245000000002</v>
      </c>
      <c r="AT51" s="9">
        <v>249.63478329167779</v>
      </c>
      <c r="AU51" s="9">
        <v>234.10597979425211</v>
      </c>
    </row>
    <row r="52" spans="1:47" x14ac:dyDescent="0.25">
      <c r="A52" s="8">
        <v>46022</v>
      </c>
      <c r="B52" s="7" t="s">
        <v>114</v>
      </c>
      <c r="C52" s="7" t="s">
        <v>115</v>
      </c>
      <c r="D52" s="7" t="s">
        <v>116</v>
      </c>
      <c r="E52" s="9">
        <v>2211</v>
      </c>
      <c r="F52" s="10">
        <v>1.1000000000000001</v>
      </c>
      <c r="G52" s="9">
        <v>90.456810000000004</v>
      </c>
      <c r="H52" s="9">
        <v>22</v>
      </c>
      <c r="I52" s="9">
        <v>100</v>
      </c>
      <c r="J52" s="9">
        <v>22</v>
      </c>
      <c r="K52" s="11">
        <v>90.163734436035199</v>
      </c>
      <c r="L52" s="9">
        <v>19.43962599308739</v>
      </c>
      <c r="M52" s="9">
        <v>9.5253703023285343</v>
      </c>
      <c r="N52" s="9">
        <v>1.415683183210942</v>
      </c>
      <c r="O52" s="9">
        <v>43.70936319077034</v>
      </c>
      <c r="P52" s="9">
        <v>74.090042669397207</v>
      </c>
      <c r="Q52" s="9">
        <v>23.656885738026229</v>
      </c>
      <c r="R52" s="9">
        <v>140.32242033813279</v>
      </c>
      <c r="S52" s="9">
        <v>22.779083298737881</v>
      </c>
      <c r="T52" s="9">
        <v>61.45253357845732</v>
      </c>
      <c r="U52" s="9">
        <v>248.21092295335421</v>
      </c>
      <c r="V52" s="9">
        <v>322.30096562275139</v>
      </c>
      <c r="W52" s="9">
        <v>3.1831044970106199</v>
      </c>
      <c r="X52" s="9">
        <v>245.93606600000001</v>
      </c>
      <c r="Y52" s="9">
        <v>-55.397281908317709</v>
      </c>
      <c r="Z52" s="9">
        <v>516.02285421144438</v>
      </c>
      <c r="AA52" s="9">
        <v>0</v>
      </c>
      <c r="AB52" s="9">
        <v>516.02285421144438</v>
      </c>
      <c r="AC52" s="9">
        <v>0</v>
      </c>
      <c r="AD52" s="9">
        <v>76.662042434485585</v>
      </c>
      <c r="AE52" s="9">
        <v>0</v>
      </c>
      <c r="AF52" s="9">
        <v>0</v>
      </c>
      <c r="AG52" s="9">
        <v>592.68489664592994</v>
      </c>
      <c r="AH52" s="9">
        <v>11.91637856092045</v>
      </c>
      <c r="AI52" s="9">
        <v>0</v>
      </c>
      <c r="AJ52" s="9">
        <v>39.721266260920679</v>
      </c>
      <c r="AK52" s="9">
        <v>567.66049903328553</v>
      </c>
      <c r="AL52" s="9">
        <v>0</v>
      </c>
      <c r="AM52" s="9">
        <v>0</v>
      </c>
      <c r="AN52" s="9">
        <v>0</v>
      </c>
      <c r="AO52" s="9">
        <v>0</v>
      </c>
      <c r="AP52" s="9">
        <v>0</v>
      </c>
      <c r="AQ52" s="9">
        <v>567.66049903328553</v>
      </c>
      <c r="AR52" s="9">
        <v>773.99999935093092</v>
      </c>
      <c r="AS52" s="9">
        <v>415.28477800000002</v>
      </c>
      <c r="AT52" s="9">
        <v>257.97714513948648</v>
      </c>
      <c r="AU52" s="9">
        <v>257.97714513948648</v>
      </c>
    </row>
    <row r="53" spans="1:47" x14ac:dyDescent="0.25">
      <c r="A53" s="8">
        <v>46022</v>
      </c>
      <c r="B53" s="7" t="s">
        <v>122</v>
      </c>
      <c r="C53" s="7" t="s">
        <v>123</v>
      </c>
      <c r="D53" s="7" t="s">
        <v>65</v>
      </c>
      <c r="E53" s="9">
        <v>7200</v>
      </c>
      <c r="F53" s="10">
        <v>4.1000000000000002E-2</v>
      </c>
      <c r="G53" s="9">
        <v>71.14</v>
      </c>
      <c r="H53" s="9">
        <v>2.1</v>
      </c>
      <c r="I53" s="9">
        <v>100</v>
      </c>
      <c r="J53" s="9">
        <v>2.1</v>
      </c>
      <c r="K53" s="11">
        <v>3.6469999999999998</v>
      </c>
      <c r="L53" s="9">
        <v>4303.1201376517192</v>
      </c>
      <c r="M53" s="9">
        <v>28.407738465744</v>
      </c>
      <c r="N53" s="9">
        <v>1135.61204316252</v>
      </c>
      <c r="O53" s="9">
        <v>6887.9316543177347</v>
      </c>
      <c r="P53" s="9">
        <v>12355.071573597719</v>
      </c>
      <c r="Q53" s="9">
        <v>1726.6756117622881</v>
      </c>
      <c r="R53" s="9">
        <v>269.64988142637588</v>
      </c>
      <c r="S53" s="9">
        <v>2165.8207796625838</v>
      </c>
      <c r="T53" s="9">
        <v>682.12055210560777</v>
      </c>
      <c r="U53" s="9">
        <v>4844.2668249568551</v>
      </c>
      <c r="V53" s="9">
        <v>17199.33839855457</v>
      </c>
      <c r="W53" s="9">
        <v>18.242189143200001</v>
      </c>
      <c r="X53" s="9">
        <v>232.04025100000001</v>
      </c>
      <c r="Y53" s="9">
        <v>-16800.488031652068</v>
      </c>
      <c r="Z53" s="9">
        <v>649.13280704570468</v>
      </c>
      <c r="AA53" s="9">
        <v>95.077831987486292</v>
      </c>
      <c r="AB53" s="9">
        <v>744.210639033191</v>
      </c>
      <c r="AC53" s="9">
        <v>0</v>
      </c>
      <c r="AD53" s="9">
        <v>2434.2722441278561</v>
      </c>
      <c r="AE53" s="9">
        <v>0</v>
      </c>
      <c r="AF53" s="9">
        <v>0</v>
      </c>
      <c r="AG53" s="9">
        <v>3178.4828831610471</v>
      </c>
      <c r="AH53" s="9">
        <v>982.07548408252785</v>
      </c>
      <c r="AI53" s="9">
        <v>18.331145086848</v>
      </c>
      <c r="AJ53" s="9">
        <v>2275.1420357801512</v>
      </c>
      <c r="AK53" s="9">
        <v>4019.7593039827179</v>
      </c>
      <c r="AL53" s="9">
        <v>0</v>
      </c>
      <c r="AM53" s="9">
        <v>0</v>
      </c>
      <c r="AN53" s="9">
        <v>0</v>
      </c>
      <c r="AO53" s="9">
        <v>0</v>
      </c>
      <c r="AP53" s="9">
        <v>0</v>
      </c>
      <c r="AQ53" s="9">
        <v>4019.7593039827179</v>
      </c>
      <c r="AR53" s="9">
        <v>773.99999935093081</v>
      </c>
      <c r="AS53" s="9">
        <v>876.31293300000004</v>
      </c>
      <c r="AT53" s="9">
        <v>124.8671923052261</v>
      </c>
      <c r="AU53" s="9">
        <v>29.789360317739838</v>
      </c>
    </row>
    <row r="54" spans="1:47" x14ac:dyDescent="0.25">
      <c r="A54" s="8">
        <v>46022</v>
      </c>
      <c r="B54" s="7" t="s">
        <v>148</v>
      </c>
      <c r="C54" s="7" t="s">
        <v>149</v>
      </c>
      <c r="D54" s="7" t="s">
        <v>54</v>
      </c>
      <c r="E54" s="9">
        <v>6600</v>
      </c>
      <c r="F54" s="10">
        <v>0.3</v>
      </c>
      <c r="G54" s="9">
        <v>80.8</v>
      </c>
      <c r="H54" s="9">
        <v>15.997999999999999</v>
      </c>
      <c r="I54" s="9">
        <v>85</v>
      </c>
      <c r="J54" s="9">
        <v>13.59864</v>
      </c>
      <c r="K54" s="11">
        <v>67.195999999999998</v>
      </c>
      <c r="L54" s="9">
        <v>30.521544596992811</v>
      </c>
      <c r="M54" s="9">
        <v>43.586409395470291</v>
      </c>
      <c r="N54" s="9">
        <v>2.4615157287148119</v>
      </c>
      <c r="O54" s="9">
        <v>67.248789349031256</v>
      </c>
      <c r="P54" s="9">
        <v>143.81825907020919</v>
      </c>
      <c r="Q54" s="9">
        <v>13.77730686205445</v>
      </c>
      <c r="R54" s="9">
        <v>35.791330734089982</v>
      </c>
      <c r="S54" s="9">
        <v>37.694551835392637</v>
      </c>
      <c r="T54" s="9">
        <v>70.877858530616862</v>
      </c>
      <c r="U54" s="9">
        <v>158.14104796215389</v>
      </c>
      <c r="V54" s="9">
        <v>301.95930703236309</v>
      </c>
      <c r="W54" s="9">
        <v>9.7327672272073862</v>
      </c>
      <c r="X54" s="9">
        <v>116.0197837302113</v>
      </c>
      <c r="Y54" s="9">
        <v>-162.42708778846099</v>
      </c>
      <c r="Z54" s="9">
        <v>265.28477020132078</v>
      </c>
      <c r="AA54" s="9">
        <v>50.515594018733758</v>
      </c>
      <c r="AB54" s="9">
        <v>315.80036422005452</v>
      </c>
      <c r="AC54" s="9">
        <v>3.3355682362914969</v>
      </c>
      <c r="AD54" s="9">
        <v>236.3180803916477</v>
      </c>
      <c r="AE54" s="9">
        <v>0</v>
      </c>
      <c r="AF54" s="9">
        <v>0</v>
      </c>
      <c r="AG54" s="9">
        <v>555.45401284799368</v>
      </c>
      <c r="AH54" s="9">
        <v>25.016794794344779</v>
      </c>
      <c r="AI54" s="9">
        <v>0</v>
      </c>
      <c r="AJ54" s="9">
        <v>120.7837184099908</v>
      </c>
      <c r="AK54" s="9">
        <v>464.93644566068161</v>
      </c>
      <c r="AL54" s="9">
        <v>0</v>
      </c>
      <c r="AM54" s="9">
        <v>0</v>
      </c>
      <c r="AN54" s="9">
        <v>0</v>
      </c>
      <c r="AO54" s="9">
        <v>0</v>
      </c>
      <c r="AP54" s="9">
        <v>0</v>
      </c>
      <c r="AQ54" s="9">
        <v>464.93644566068161</v>
      </c>
      <c r="AR54" s="9">
        <v>773.99772265267472</v>
      </c>
      <c r="AS54" s="9">
        <v>285.59869200000003</v>
      </c>
      <c r="AT54" s="9">
        <v>508.712952451354</v>
      </c>
      <c r="AU54" s="9">
        <v>458.19735843262021</v>
      </c>
    </row>
    <row r="55" spans="1:47" x14ac:dyDescent="0.25">
      <c r="A55" s="8">
        <v>46022</v>
      </c>
      <c r="B55" s="7" t="s">
        <v>124</v>
      </c>
      <c r="C55" s="7" t="s">
        <v>125</v>
      </c>
      <c r="D55" s="7" t="s">
        <v>126</v>
      </c>
      <c r="E55" s="9">
        <v>2400</v>
      </c>
      <c r="F55" s="10">
        <v>2.35</v>
      </c>
      <c r="G55" s="9">
        <v>83.12</v>
      </c>
      <c r="H55" s="9">
        <v>46.881</v>
      </c>
      <c r="I55" s="9">
        <v>100</v>
      </c>
      <c r="J55" s="9">
        <v>46.880823999999997</v>
      </c>
      <c r="K55" s="11">
        <v>100</v>
      </c>
      <c r="L55" s="9">
        <v>33.383524400466442</v>
      </c>
      <c r="M55" s="9">
        <v>35.419806493263721</v>
      </c>
      <c r="N55" s="9">
        <v>22.39456792873516</v>
      </c>
      <c r="O55" s="9">
        <v>30.75836901723417</v>
      </c>
      <c r="P55" s="9">
        <v>121.95626783969951</v>
      </c>
      <c r="Q55" s="9">
        <v>13.80486398555475</v>
      </c>
      <c r="R55" s="9">
        <v>70.652602077600577</v>
      </c>
      <c r="S55" s="9">
        <v>108.52528145195321</v>
      </c>
      <c r="T55" s="9">
        <v>28.822989350268291</v>
      </c>
      <c r="U55" s="9">
        <v>221.80573686537679</v>
      </c>
      <c r="V55" s="9">
        <v>343.76200470507632</v>
      </c>
      <c r="W55" s="9">
        <v>18.754581247688499</v>
      </c>
      <c r="X55" s="9">
        <v>335.42452828388849</v>
      </c>
      <c r="Y55" s="9">
        <v>-1.81436948E-15</v>
      </c>
      <c r="Z55" s="9">
        <v>697.94111423665345</v>
      </c>
      <c r="AA55" s="9">
        <v>3.036548817171135</v>
      </c>
      <c r="AB55" s="9">
        <v>700.97766305382447</v>
      </c>
      <c r="AC55" s="9">
        <v>0</v>
      </c>
      <c r="AD55" s="9">
        <v>30.226433325767751</v>
      </c>
      <c r="AE55" s="9">
        <v>0</v>
      </c>
      <c r="AF55" s="9">
        <v>0</v>
      </c>
      <c r="AG55" s="9">
        <v>731.20409637959222</v>
      </c>
      <c r="AH55" s="9">
        <v>22.277699500528652</v>
      </c>
      <c r="AI55" s="9">
        <v>0</v>
      </c>
      <c r="AJ55" s="9">
        <v>17.35288104518013</v>
      </c>
      <c r="AK55" s="9">
        <v>740.60824359953335</v>
      </c>
      <c r="AL55" s="9">
        <v>0</v>
      </c>
      <c r="AM55" s="9">
        <v>0</v>
      </c>
      <c r="AN55" s="9">
        <v>0</v>
      </c>
      <c r="AO55" s="9">
        <v>0</v>
      </c>
      <c r="AP55" s="9">
        <v>0</v>
      </c>
      <c r="AQ55" s="9">
        <v>740.60824359953335</v>
      </c>
      <c r="AR55" s="9">
        <v>773.99960311216205</v>
      </c>
      <c r="AS55" s="9">
        <v>799.96361400000001</v>
      </c>
      <c r="AT55" s="9">
        <v>76.058488875508701</v>
      </c>
      <c r="AU55" s="9">
        <v>73.021940058337563</v>
      </c>
    </row>
    <row r="56" spans="1:47" x14ac:dyDescent="0.25">
      <c r="A56" s="8">
        <v>46022</v>
      </c>
      <c r="B56" s="7" t="s">
        <v>127</v>
      </c>
      <c r="C56" s="7" t="s">
        <v>128</v>
      </c>
      <c r="D56" s="7" t="s">
        <v>121</v>
      </c>
      <c r="E56" s="9">
        <v>5400</v>
      </c>
      <c r="F56" s="10">
        <v>1.7</v>
      </c>
      <c r="G56" s="9">
        <v>88</v>
      </c>
      <c r="H56" s="9">
        <v>80.783996999999999</v>
      </c>
      <c r="I56" s="9">
        <v>91.75</v>
      </c>
      <c r="J56" s="9">
        <v>74.119324000000006</v>
      </c>
      <c r="K56" s="11">
        <v>100</v>
      </c>
      <c r="L56" s="9">
        <v>25.376157655369159</v>
      </c>
      <c r="M56" s="9">
        <v>22.17522224414332</v>
      </c>
      <c r="N56" s="9">
        <v>0.3205233934836676</v>
      </c>
      <c r="O56" s="9">
        <v>25.21562599203617</v>
      </c>
      <c r="P56" s="9">
        <v>73.087529285032304</v>
      </c>
      <c r="Q56" s="9">
        <v>28.283088035212941</v>
      </c>
      <c r="R56" s="9">
        <v>68.33480744607337</v>
      </c>
      <c r="S56" s="9">
        <v>25.144783582439729</v>
      </c>
      <c r="T56" s="9">
        <v>187.45041326629061</v>
      </c>
      <c r="U56" s="9">
        <v>309.21309233001659</v>
      </c>
      <c r="V56" s="9">
        <v>382.30062161504901</v>
      </c>
      <c r="W56" s="9">
        <v>0.6338186792041266</v>
      </c>
      <c r="X56" s="9">
        <v>164.14334099999999</v>
      </c>
      <c r="Y56" s="9">
        <v>0</v>
      </c>
      <c r="Z56" s="9">
        <v>547.0777812942531</v>
      </c>
      <c r="AA56" s="9">
        <v>39.706740100751993</v>
      </c>
      <c r="AB56" s="9">
        <v>586.78452139500507</v>
      </c>
      <c r="AC56" s="9">
        <v>1.375124061246449</v>
      </c>
      <c r="AD56" s="9">
        <v>86.570351941488283</v>
      </c>
      <c r="AE56" s="9">
        <v>0</v>
      </c>
      <c r="AF56" s="9">
        <v>0</v>
      </c>
      <c r="AG56" s="9">
        <v>674.72999739773979</v>
      </c>
      <c r="AH56" s="9">
        <v>3.1421220979798821</v>
      </c>
      <c r="AI56" s="9">
        <v>0</v>
      </c>
      <c r="AJ56" s="9">
        <v>52.934623599148459</v>
      </c>
      <c r="AK56" s="9">
        <v>644.23639115337994</v>
      </c>
      <c r="AL56" s="9">
        <v>0</v>
      </c>
      <c r="AM56" s="9">
        <v>0</v>
      </c>
      <c r="AN56" s="9">
        <v>0</v>
      </c>
      <c r="AO56" s="9">
        <v>0</v>
      </c>
      <c r="AP56" s="9">
        <v>0</v>
      </c>
      <c r="AQ56" s="9">
        <v>644.23639115337994</v>
      </c>
      <c r="AR56" s="9">
        <v>773.99999935093081</v>
      </c>
      <c r="AS56" s="9">
        <v>1264.7558100000001</v>
      </c>
      <c r="AT56" s="9">
        <v>226.92221805667771</v>
      </c>
      <c r="AU56" s="9">
        <v>187.21547795592571</v>
      </c>
    </row>
    <row r="57" spans="1:47" x14ac:dyDescent="0.25">
      <c r="A57" s="8">
        <v>46022</v>
      </c>
      <c r="B57" s="7" t="s">
        <v>129</v>
      </c>
      <c r="C57" s="7" t="s">
        <v>130</v>
      </c>
      <c r="D57" s="7" t="s">
        <v>57</v>
      </c>
      <c r="E57" s="9">
        <v>713.73717699999997</v>
      </c>
      <c r="F57" s="10">
        <v>0.06</v>
      </c>
      <c r="G57" s="9">
        <v>92</v>
      </c>
      <c r="H57" s="9">
        <v>0.39400000000000002</v>
      </c>
      <c r="I57" s="9">
        <v>100</v>
      </c>
      <c r="J57" s="9">
        <v>0.39398300000000003</v>
      </c>
      <c r="K57" s="11">
        <v>0.95499999999999996</v>
      </c>
      <c r="L57" s="9">
        <v>9513.0061616465082</v>
      </c>
      <c r="M57" s="9">
        <v>1234.289098917111</v>
      </c>
      <c r="N57" s="9">
        <v>1576.8812671276869</v>
      </c>
      <c r="O57" s="9">
        <v>10283.08481273136</v>
      </c>
      <c r="P57" s="9">
        <v>22607.261340422661</v>
      </c>
      <c r="Q57" s="9">
        <v>1987.2808795162041</v>
      </c>
      <c r="R57" s="9">
        <v>1605.9016410269121</v>
      </c>
      <c r="S57" s="9">
        <v>1875.7713804517321</v>
      </c>
      <c r="T57" s="9">
        <v>2311.2761751151802</v>
      </c>
      <c r="U57" s="9">
        <v>7780.2300761100278</v>
      </c>
      <c r="V57" s="9">
        <v>30387.491416532692</v>
      </c>
      <c r="W57" s="9">
        <v>0</v>
      </c>
      <c r="X57" s="9">
        <v>572.74198113064472</v>
      </c>
      <c r="Y57" s="9">
        <v>-32379.949937729711</v>
      </c>
      <c r="Z57" s="9">
        <v>-1419.716540066373</v>
      </c>
      <c r="AA57" s="9">
        <v>0</v>
      </c>
      <c r="AB57" s="9">
        <v>-1419.716540066373</v>
      </c>
      <c r="AC57" s="9">
        <v>0</v>
      </c>
      <c r="AD57" s="9">
        <v>3656.0345512361241</v>
      </c>
      <c r="AE57" s="9">
        <v>0</v>
      </c>
      <c r="AF57" s="9">
        <v>0</v>
      </c>
      <c r="AG57" s="9">
        <v>2236.3180111697511</v>
      </c>
      <c r="AH57" s="9">
        <v>2229.67788217927</v>
      </c>
      <c r="AI57" s="9">
        <v>441.66428200286492</v>
      </c>
      <c r="AJ57" s="9">
        <v>8309.1694570382406</v>
      </c>
      <c r="AK57" s="9">
        <v>9560.7950811540031</v>
      </c>
      <c r="AL57" s="9">
        <v>1572.35052119752</v>
      </c>
      <c r="AM57" s="9">
        <v>0</v>
      </c>
      <c r="AN57" s="9">
        <v>0</v>
      </c>
      <c r="AO57" s="9">
        <v>0</v>
      </c>
      <c r="AP57" s="9">
        <v>0</v>
      </c>
      <c r="AQ57" s="9">
        <v>11133.14560235152</v>
      </c>
      <c r="AR57" s="9">
        <v>774.03339673099276</v>
      </c>
      <c r="AS57" s="9">
        <v>299.036406</v>
      </c>
      <c r="AT57" s="9">
        <v>2193.749936797366</v>
      </c>
      <c r="AU57" s="9">
        <v>2193.749936797366</v>
      </c>
    </row>
    <row r="58" spans="1:47" x14ac:dyDescent="0.25">
      <c r="A58" s="8">
        <v>46022</v>
      </c>
      <c r="B58" s="7" t="s">
        <v>181</v>
      </c>
      <c r="C58" s="7" t="s">
        <v>182</v>
      </c>
      <c r="D58" s="7" t="s">
        <v>68</v>
      </c>
      <c r="E58" s="9">
        <v>1000</v>
      </c>
      <c r="F58" s="10">
        <v>1.1499999999999999</v>
      </c>
      <c r="G58" s="9">
        <v>80</v>
      </c>
      <c r="H58" s="9">
        <v>9.1999999999999993</v>
      </c>
      <c r="I58" s="9">
        <v>98</v>
      </c>
      <c r="J58" s="9">
        <v>9.016</v>
      </c>
      <c r="K58" s="11">
        <v>54.225000000000001</v>
      </c>
      <c r="L58" s="9">
        <v>342.5417689438882</v>
      </c>
      <c r="M58" s="9">
        <v>50.280598502160707</v>
      </c>
      <c r="N58" s="9">
        <v>48.527390539930131</v>
      </c>
      <c r="O58" s="9">
        <v>582.67254330374851</v>
      </c>
      <c r="P58" s="9">
        <v>1024.0223012897279</v>
      </c>
      <c r="Q58" s="9">
        <v>21.791868402028729</v>
      </c>
      <c r="R58" s="9">
        <v>39.262539988972819</v>
      </c>
      <c r="S58" s="9">
        <v>15.83901189067624</v>
      </c>
      <c r="T58" s="9">
        <v>61.350999240475929</v>
      </c>
      <c r="U58" s="9">
        <v>138.24441952215369</v>
      </c>
      <c r="V58" s="9">
        <v>1162.266720811881</v>
      </c>
      <c r="W58" s="9">
        <v>48.766533321300528</v>
      </c>
      <c r="X58" s="9">
        <v>149.4343174254783</v>
      </c>
      <c r="Y58" s="9">
        <v>-546.08386231348936</v>
      </c>
      <c r="Z58" s="9">
        <v>814.38370924517062</v>
      </c>
      <c r="AA58" s="9">
        <v>0</v>
      </c>
      <c r="AB58" s="9">
        <v>814.38370924517062</v>
      </c>
      <c r="AC58" s="9">
        <v>0</v>
      </c>
      <c r="AD58" s="9">
        <v>555.85120285786718</v>
      </c>
      <c r="AE58" s="9">
        <v>0</v>
      </c>
      <c r="AF58" s="9">
        <v>0</v>
      </c>
      <c r="AG58" s="9">
        <v>1370.2349121030379</v>
      </c>
      <c r="AH58" s="9">
        <v>5.2190088556024854</v>
      </c>
      <c r="AI58" s="9">
        <v>0</v>
      </c>
      <c r="AJ58" s="9">
        <v>208.9574576166444</v>
      </c>
      <c r="AK58" s="9">
        <v>1028.5601757174179</v>
      </c>
      <c r="AL58" s="9">
        <v>1006.194254658385</v>
      </c>
      <c r="AM58" s="9">
        <v>0</v>
      </c>
      <c r="AN58" s="9">
        <v>0</v>
      </c>
      <c r="AO58" s="9">
        <v>0</v>
      </c>
      <c r="AP58" s="9">
        <v>0</v>
      </c>
      <c r="AQ58" s="9">
        <v>2034.7544303758029</v>
      </c>
      <c r="AR58" s="9">
        <v>773.99999935093092</v>
      </c>
      <c r="AS58" s="9">
        <v>268.049848</v>
      </c>
      <c r="AT58" s="9">
        <v>-40.38370989423975</v>
      </c>
      <c r="AU58" s="9">
        <v>-40.38370989423975</v>
      </c>
    </row>
    <row r="59" spans="1:47" x14ac:dyDescent="0.25">
      <c r="A59" s="8">
        <v>46022</v>
      </c>
      <c r="B59" s="7" t="s">
        <v>183</v>
      </c>
      <c r="C59" s="7" t="s">
        <v>184</v>
      </c>
      <c r="D59" s="7" t="s">
        <v>185</v>
      </c>
      <c r="E59" s="9">
        <v>1740</v>
      </c>
      <c r="F59" s="10">
        <v>0.41</v>
      </c>
      <c r="G59" s="9">
        <v>46.26</v>
      </c>
      <c r="H59" s="9">
        <v>3.3</v>
      </c>
      <c r="I59" s="9">
        <v>72</v>
      </c>
      <c r="J59" s="9">
        <v>2.3759999999999999</v>
      </c>
      <c r="K59" s="11">
        <v>82.759</v>
      </c>
      <c r="L59" s="9">
        <v>10.5385898729825</v>
      </c>
      <c r="M59" s="9">
        <v>38.876577319299997</v>
      </c>
      <c r="N59" s="9">
        <v>16.060388571130549</v>
      </c>
      <c r="O59" s="9">
        <v>167.1809418586825</v>
      </c>
      <c r="P59" s="9">
        <v>232.65649762209549</v>
      </c>
      <c r="Q59" s="9">
        <v>24.782240203958612</v>
      </c>
      <c r="R59" s="9">
        <v>27.721102968552781</v>
      </c>
      <c r="S59" s="9">
        <v>42.456307685505003</v>
      </c>
      <c r="T59" s="9">
        <v>206.22463703957499</v>
      </c>
      <c r="U59" s="9">
        <v>301.18428789759139</v>
      </c>
      <c r="V59" s="9">
        <v>533.84078551968685</v>
      </c>
      <c r="W59" s="9">
        <v>6.2998940277777784</v>
      </c>
      <c r="X59" s="9">
        <v>174.11718816357239</v>
      </c>
      <c r="Y59" s="9">
        <v>-170.02667070910189</v>
      </c>
      <c r="Z59" s="9">
        <v>544.23119700193536</v>
      </c>
      <c r="AA59" s="9">
        <v>61.839356789353687</v>
      </c>
      <c r="AB59" s="9">
        <v>606.07055379128894</v>
      </c>
      <c r="AC59" s="9">
        <v>1.0895380362222221E-2</v>
      </c>
      <c r="AD59" s="9">
        <v>337.2693890457947</v>
      </c>
      <c r="AE59" s="9">
        <v>0</v>
      </c>
      <c r="AF59" s="9">
        <v>0</v>
      </c>
      <c r="AG59" s="9">
        <v>943.35083821744593</v>
      </c>
      <c r="AH59" s="9">
        <v>38.181166380631943</v>
      </c>
      <c r="AI59" s="9">
        <v>0</v>
      </c>
      <c r="AJ59" s="9">
        <v>122.27519986668391</v>
      </c>
      <c r="AK59" s="9">
        <v>766.53781541896706</v>
      </c>
      <c r="AL59" s="9">
        <v>38.181166380631943</v>
      </c>
      <c r="AM59" s="9">
        <v>0</v>
      </c>
      <c r="AN59" s="9">
        <v>0</v>
      </c>
      <c r="AO59" s="9">
        <v>0</v>
      </c>
      <c r="AP59" s="9">
        <v>0</v>
      </c>
      <c r="AQ59" s="9">
        <v>804.71898179959885</v>
      </c>
      <c r="AR59" s="9">
        <v>773.99999935093092</v>
      </c>
      <c r="AS59" s="9">
        <v>50.932510000000001</v>
      </c>
      <c r="AT59" s="9">
        <v>229.76880234899559</v>
      </c>
      <c r="AU59" s="9">
        <v>167.92944555964189</v>
      </c>
    </row>
    <row r="60" spans="1:47" x14ac:dyDescent="0.25">
      <c r="A60" s="8">
        <v>46022</v>
      </c>
      <c r="B60" s="7" t="s">
        <v>157</v>
      </c>
      <c r="C60" s="7" t="s">
        <v>158</v>
      </c>
      <c r="D60" s="7" t="s">
        <v>116</v>
      </c>
      <c r="E60" s="9">
        <v>3350</v>
      </c>
      <c r="F60" s="10">
        <v>1</v>
      </c>
      <c r="G60" s="9">
        <v>84.9</v>
      </c>
      <c r="H60" s="9">
        <v>28.44</v>
      </c>
      <c r="I60" s="9">
        <v>100</v>
      </c>
      <c r="J60" s="9">
        <v>28.44</v>
      </c>
      <c r="K60" s="11">
        <v>78.159000000000006</v>
      </c>
      <c r="L60" s="9">
        <v>5.9823606900595169E-2</v>
      </c>
      <c r="M60" s="9">
        <v>7.0667220730595179</v>
      </c>
      <c r="N60" s="9">
        <v>4.7042912300449928E-2</v>
      </c>
      <c r="O60" s="9">
        <v>12.3254215844968</v>
      </c>
      <c r="P60" s="9">
        <v>19.499010176757359</v>
      </c>
      <c r="Q60" s="9">
        <v>25.015136252801721</v>
      </c>
      <c r="R60" s="9">
        <v>96.564045653764595</v>
      </c>
      <c r="S60" s="9">
        <v>23.810488149700561</v>
      </c>
      <c r="T60" s="9">
        <v>79.127358079290246</v>
      </c>
      <c r="U60" s="9">
        <v>224.5170281355571</v>
      </c>
      <c r="V60" s="9">
        <v>244.01603831231449</v>
      </c>
      <c r="W60" s="9">
        <v>3.183102000483685</v>
      </c>
      <c r="X60" s="9">
        <v>193.36687599999999</v>
      </c>
      <c r="Y60" s="9">
        <v>-79.368280507866004</v>
      </c>
      <c r="Z60" s="9">
        <v>361.19773580493211</v>
      </c>
      <c r="AA60" s="9">
        <v>35.18926706314592</v>
      </c>
      <c r="AB60" s="9">
        <v>396.38700286807813</v>
      </c>
      <c r="AC60" s="9">
        <v>0</v>
      </c>
      <c r="AD60" s="9">
        <v>126.8433671218168</v>
      </c>
      <c r="AE60" s="9">
        <v>0</v>
      </c>
      <c r="AF60" s="9">
        <v>0</v>
      </c>
      <c r="AG60" s="9">
        <v>523.23036998989494</v>
      </c>
      <c r="AH60" s="9">
        <v>12.114096424628601</v>
      </c>
      <c r="AI60" s="9">
        <v>0</v>
      </c>
      <c r="AJ60" s="9">
        <v>32.304255328688619</v>
      </c>
      <c r="AK60" s="9">
        <v>440.80535462139528</v>
      </c>
      <c r="AL60" s="9">
        <v>0</v>
      </c>
      <c r="AM60" s="9">
        <v>0</v>
      </c>
      <c r="AN60" s="9">
        <v>0</v>
      </c>
      <c r="AO60" s="9">
        <v>0</v>
      </c>
      <c r="AP60" s="9">
        <v>0</v>
      </c>
      <c r="AQ60" s="9">
        <v>440.80535462139528</v>
      </c>
      <c r="AR60" s="9">
        <v>773.99999935093081</v>
      </c>
      <c r="AS60" s="9">
        <v>603.31677500000001</v>
      </c>
      <c r="AT60" s="9">
        <v>412.8022635459987</v>
      </c>
      <c r="AU60" s="9">
        <v>377.61299648285279</v>
      </c>
    </row>
    <row r="61" spans="1:47" x14ac:dyDescent="0.25">
      <c r="A61" s="8">
        <v>46022</v>
      </c>
      <c r="B61" s="7" t="s">
        <v>159</v>
      </c>
      <c r="C61" s="7" t="s">
        <v>160</v>
      </c>
      <c r="D61" s="7" t="s">
        <v>161</v>
      </c>
      <c r="E61" s="9">
        <v>18000</v>
      </c>
      <c r="F61" s="10">
        <v>0.23</v>
      </c>
      <c r="G61" s="9">
        <v>72.463768000000002</v>
      </c>
      <c r="H61" s="9">
        <v>30</v>
      </c>
      <c r="I61" s="9">
        <v>97</v>
      </c>
      <c r="J61" s="9">
        <v>29.1</v>
      </c>
      <c r="K61" s="11">
        <v>80.326622009277301</v>
      </c>
      <c r="L61" s="9">
        <v>45.337220615799033</v>
      </c>
      <c r="M61" s="9">
        <v>29.178764796719989</v>
      </c>
      <c r="N61" s="9">
        <v>4.6252941570033936</v>
      </c>
      <c r="O61" s="9">
        <v>75.781194143414979</v>
      </c>
      <c r="P61" s="9">
        <v>154.9224737129374</v>
      </c>
      <c r="Q61" s="9">
        <v>55.533863485020227</v>
      </c>
      <c r="R61" s="9">
        <v>340.99152145912871</v>
      </c>
      <c r="S61" s="9">
        <v>43.34575881229587</v>
      </c>
      <c r="T61" s="9">
        <v>104.86876851365599</v>
      </c>
      <c r="U61" s="9">
        <v>544.73991227010083</v>
      </c>
      <c r="V61" s="9">
        <v>699.66238598303823</v>
      </c>
      <c r="W61" s="9">
        <v>4.701436563038599</v>
      </c>
      <c r="X61" s="9">
        <v>66.834356</v>
      </c>
      <c r="Y61" s="9">
        <v>-191.9681995955807</v>
      </c>
      <c r="Z61" s="9">
        <v>579.22997895049605</v>
      </c>
      <c r="AA61" s="9">
        <v>0</v>
      </c>
      <c r="AB61" s="9">
        <v>579.22997895049605</v>
      </c>
      <c r="AC61" s="9">
        <v>0</v>
      </c>
      <c r="AD61" s="9">
        <v>191.30494449711529</v>
      </c>
      <c r="AE61" s="9">
        <v>0</v>
      </c>
      <c r="AF61" s="9">
        <v>0</v>
      </c>
      <c r="AG61" s="9">
        <v>770.53492344761139</v>
      </c>
      <c r="AH61" s="9">
        <v>32.221795141428871</v>
      </c>
      <c r="AI61" s="9">
        <v>8.0554560352618498</v>
      </c>
      <c r="AJ61" s="9">
        <v>118.43009212250109</v>
      </c>
      <c r="AK61" s="9">
        <v>737.9373222496879</v>
      </c>
      <c r="AL61" s="9">
        <v>0</v>
      </c>
      <c r="AM61" s="9">
        <v>0</v>
      </c>
      <c r="AN61" s="9">
        <v>0</v>
      </c>
      <c r="AO61" s="9">
        <v>0</v>
      </c>
      <c r="AP61" s="9">
        <v>0</v>
      </c>
      <c r="AQ61" s="9">
        <v>737.9373222496879</v>
      </c>
      <c r="AR61" s="9">
        <v>773.99999935093081</v>
      </c>
      <c r="AS61" s="9">
        <v>659.75013200000001</v>
      </c>
      <c r="AT61" s="9">
        <v>194.77002040043479</v>
      </c>
      <c r="AU61" s="9">
        <v>194.77002040043479</v>
      </c>
    </row>
    <row r="62" spans="1:47" x14ac:dyDescent="0.25">
      <c r="A62" s="8">
        <v>46022</v>
      </c>
      <c r="B62" s="7" t="s">
        <v>150</v>
      </c>
      <c r="C62" s="7" t="s">
        <v>151</v>
      </c>
      <c r="D62" s="7" t="s">
        <v>152</v>
      </c>
      <c r="E62" s="9">
        <v>3000</v>
      </c>
      <c r="F62" s="10">
        <v>1.05</v>
      </c>
      <c r="G62" s="9">
        <v>74.2</v>
      </c>
      <c r="H62" s="9">
        <v>23.373000000000001</v>
      </c>
      <c r="I62" s="9">
        <v>75</v>
      </c>
      <c r="J62" s="9">
        <v>17.52975</v>
      </c>
      <c r="K62" s="11">
        <v>100</v>
      </c>
      <c r="L62" s="9">
        <v>113.1990420477424</v>
      </c>
      <c r="M62" s="9">
        <v>79.529481835706491</v>
      </c>
      <c r="N62" s="9">
        <v>1.2950233912632521</v>
      </c>
      <c r="O62" s="9">
        <v>25.961645448470801</v>
      </c>
      <c r="P62" s="9">
        <v>219.98519272318299</v>
      </c>
      <c r="Q62" s="9">
        <v>47.079080415061988</v>
      </c>
      <c r="R62" s="9">
        <v>6.8142914126960168</v>
      </c>
      <c r="S62" s="9">
        <v>10.949273069988619</v>
      </c>
      <c r="T62" s="9">
        <v>16.911681022689429</v>
      </c>
      <c r="U62" s="9">
        <v>81.75432592043606</v>
      </c>
      <c r="V62" s="9">
        <v>301.73951864361902</v>
      </c>
      <c r="W62" s="9">
        <v>210.5350118327942</v>
      </c>
      <c r="X62" s="9">
        <v>227.72352940088891</v>
      </c>
      <c r="Y62" s="9">
        <v>4.5359237000000001E-16</v>
      </c>
      <c r="Z62" s="9">
        <v>739.99805987730213</v>
      </c>
      <c r="AA62" s="9">
        <v>38.70024239418624</v>
      </c>
      <c r="AB62" s="9">
        <v>778.69830227148827</v>
      </c>
      <c r="AC62" s="9">
        <v>1.681914996462414</v>
      </c>
      <c r="AD62" s="9">
        <v>134.20675163633419</v>
      </c>
      <c r="AE62" s="9">
        <v>0</v>
      </c>
      <c r="AF62" s="9">
        <v>0</v>
      </c>
      <c r="AG62" s="9">
        <v>914.58696890428496</v>
      </c>
      <c r="AH62" s="9">
        <v>18.104369100322248</v>
      </c>
      <c r="AI62" s="9">
        <v>0</v>
      </c>
      <c r="AJ62" s="9">
        <v>75.434873838900259</v>
      </c>
      <c r="AK62" s="9">
        <v>873.91946020717319</v>
      </c>
      <c r="AL62" s="9">
        <v>0</v>
      </c>
      <c r="AM62" s="9">
        <v>0</v>
      </c>
      <c r="AN62" s="9">
        <v>0</v>
      </c>
      <c r="AO62" s="9">
        <v>0</v>
      </c>
      <c r="AP62" s="9">
        <v>0</v>
      </c>
      <c r="AQ62" s="9">
        <v>873.91946020717319</v>
      </c>
      <c r="AR62" s="9">
        <v>774.00220702645208</v>
      </c>
      <c r="AS62" s="9">
        <v>299.12463400000001</v>
      </c>
      <c r="AT62" s="9">
        <v>34.004147149149972</v>
      </c>
      <c r="AU62" s="9">
        <v>-4.6960952450362656</v>
      </c>
    </row>
    <row r="63" spans="1:47" x14ac:dyDescent="0.25">
      <c r="A63" s="8">
        <v>46022</v>
      </c>
      <c r="B63" s="7" t="s">
        <v>131</v>
      </c>
      <c r="C63" s="7" t="s">
        <v>132</v>
      </c>
      <c r="D63" s="7" t="s">
        <v>51</v>
      </c>
      <c r="E63" s="9">
        <v>705</v>
      </c>
      <c r="F63" s="10">
        <v>0.33</v>
      </c>
      <c r="G63" s="9">
        <v>90</v>
      </c>
      <c r="H63" s="9">
        <v>2.0939999999999999</v>
      </c>
      <c r="I63" s="9">
        <v>95</v>
      </c>
      <c r="J63" s="9">
        <v>1.9891570000000001</v>
      </c>
      <c r="K63" s="11">
        <v>66.509</v>
      </c>
      <c r="L63" s="9">
        <v>91.825879793729726</v>
      </c>
      <c r="M63" s="9">
        <v>18.624621535355821</v>
      </c>
      <c r="N63" s="9">
        <v>10.93282477716088</v>
      </c>
      <c r="O63" s="9">
        <v>58.338745485716743</v>
      </c>
      <c r="P63" s="9">
        <v>179.72207159196321</v>
      </c>
      <c r="Q63" s="9">
        <v>24.36371189372684</v>
      </c>
      <c r="R63" s="9">
        <v>25.855366411604919</v>
      </c>
      <c r="S63" s="9">
        <v>51.051621065202347</v>
      </c>
      <c r="T63" s="9">
        <v>43.741829077703628</v>
      </c>
      <c r="U63" s="9">
        <v>145.01252844823779</v>
      </c>
      <c r="V63" s="9">
        <v>324.73460004020092</v>
      </c>
      <c r="W63" s="9">
        <v>24.160256929619258</v>
      </c>
      <c r="X63" s="9">
        <v>191.16017120536739</v>
      </c>
      <c r="Y63" s="9">
        <v>-285.14343488753951</v>
      </c>
      <c r="Z63" s="9">
        <v>254.91159328764809</v>
      </c>
      <c r="AA63" s="9">
        <v>23.270725049310769</v>
      </c>
      <c r="AB63" s="9">
        <v>278.18231833695887</v>
      </c>
      <c r="AC63" s="9">
        <v>0</v>
      </c>
      <c r="AD63" s="9">
        <v>4.991028495310835</v>
      </c>
      <c r="AE63" s="9">
        <v>0</v>
      </c>
      <c r="AF63" s="9">
        <v>0</v>
      </c>
      <c r="AG63" s="9">
        <v>283.17334683226971</v>
      </c>
      <c r="AH63" s="9">
        <v>51.558844048126197</v>
      </c>
      <c r="AI63" s="9">
        <v>0</v>
      </c>
      <c r="AJ63" s="9">
        <v>39.069995293367178</v>
      </c>
      <c r="AK63" s="9">
        <v>368.81115767845222</v>
      </c>
      <c r="AL63" s="9">
        <v>0</v>
      </c>
      <c r="AM63" s="9">
        <v>0</v>
      </c>
      <c r="AN63" s="9">
        <v>0</v>
      </c>
      <c r="AO63" s="9">
        <v>0</v>
      </c>
      <c r="AP63" s="9">
        <v>0</v>
      </c>
      <c r="AQ63" s="9">
        <v>368.81115767845222</v>
      </c>
      <c r="AR63" s="9">
        <v>774.01673106188775</v>
      </c>
      <c r="AS63" s="9">
        <v>49.326742000000003</v>
      </c>
      <c r="AT63" s="9">
        <v>519.10513777423967</v>
      </c>
      <c r="AU63" s="9">
        <v>495.834412724929</v>
      </c>
    </row>
    <row r="64" spans="1:47" x14ac:dyDescent="0.25">
      <c r="A64" s="8">
        <v>46022</v>
      </c>
      <c r="B64" s="7" t="s">
        <v>186</v>
      </c>
      <c r="C64" s="7" t="s">
        <v>187</v>
      </c>
      <c r="D64" s="7" t="s">
        <v>65</v>
      </c>
      <c r="E64" s="9">
        <v>5040</v>
      </c>
      <c r="F64" s="10">
        <v>0.03</v>
      </c>
      <c r="G64" s="9">
        <v>70.11</v>
      </c>
      <c r="H64" s="9">
        <v>1.06</v>
      </c>
      <c r="I64" s="9">
        <v>90</v>
      </c>
      <c r="J64" s="9">
        <v>0.95399999999999996</v>
      </c>
      <c r="K64" s="11">
        <v>2.3929999999999998</v>
      </c>
      <c r="L64" s="9">
        <v>6992.2208334631177</v>
      </c>
      <c r="M64" s="9">
        <v>1362.8855442693059</v>
      </c>
      <c r="N64" s="9">
        <v>1191.8330886380061</v>
      </c>
      <c r="O64" s="9">
        <v>5519.0124844956399</v>
      </c>
      <c r="P64" s="9">
        <v>15065.951950866071</v>
      </c>
      <c r="Q64" s="9">
        <v>765.8113295219033</v>
      </c>
      <c r="R64" s="9">
        <v>315.23646136746191</v>
      </c>
      <c r="S64" s="9">
        <v>916.56465364434939</v>
      </c>
      <c r="T64" s="9">
        <v>549.35331911878416</v>
      </c>
      <c r="U64" s="9">
        <v>2546.9657636524989</v>
      </c>
      <c r="V64" s="9">
        <v>17612.917714518571</v>
      </c>
      <c r="W64" s="9">
        <v>91.763150050225235</v>
      </c>
      <c r="X64" s="9">
        <v>126</v>
      </c>
      <c r="Y64" s="9">
        <v>-29121.084764386542</v>
      </c>
      <c r="Z64" s="9">
        <v>-11290.40389981774</v>
      </c>
      <c r="AA64" s="9">
        <v>0</v>
      </c>
      <c r="AB64" s="9">
        <v>-11290.40389981774</v>
      </c>
      <c r="AC64" s="9">
        <v>0</v>
      </c>
      <c r="AD64" s="9">
        <v>10258.823626940361</v>
      </c>
      <c r="AE64" s="9">
        <v>0</v>
      </c>
      <c r="AF64" s="9">
        <v>0</v>
      </c>
      <c r="AG64" s="9">
        <v>-1031.580272877381</v>
      </c>
      <c r="AH64" s="9">
        <v>332.82461677271772</v>
      </c>
      <c r="AI64" s="9">
        <v>45.64015616892226</v>
      </c>
      <c r="AJ64" s="9">
        <v>9455.108955046122</v>
      </c>
      <c r="AK64" s="9">
        <v>-1456.830171829982</v>
      </c>
      <c r="AL64" s="9">
        <v>0</v>
      </c>
      <c r="AM64" s="9">
        <v>0</v>
      </c>
      <c r="AN64" s="9">
        <v>0</v>
      </c>
      <c r="AO64" s="9">
        <v>0</v>
      </c>
      <c r="AP64" s="9">
        <v>0</v>
      </c>
      <c r="AQ64" s="9">
        <v>-1456.830171829982</v>
      </c>
      <c r="AR64" s="9">
        <v>773.99999935093092</v>
      </c>
      <c r="AS64" s="9">
        <v>660.98124299999995</v>
      </c>
      <c r="AT64" s="9">
        <v>12064.40389916867</v>
      </c>
      <c r="AU64" s="9">
        <v>12064.40389916867</v>
      </c>
    </row>
    <row r="65" spans="1:47" x14ac:dyDescent="0.25">
      <c r="A65" s="8">
        <v>46022</v>
      </c>
      <c r="B65" s="7" t="s">
        <v>153</v>
      </c>
      <c r="C65" s="7" t="s">
        <v>154</v>
      </c>
      <c r="D65" s="7" t="s">
        <v>65</v>
      </c>
      <c r="E65" s="9">
        <v>3238.355</v>
      </c>
      <c r="F65" s="10">
        <v>0.02</v>
      </c>
      <c r="G65" s="9">
        <v>70</v>
      </c>
      <c r="H65" s="9">
        <v>0.45300000000000001</v>
      </c>
      <c r="I65" s="9">
        <v>98</v>
      </c>
      <c r="J65" s="9">
        <v>0.44430199999999997</v>
      </c>
      <c r="K65" s="11">
        <v>1.018</v>
      </c>
      <c r="L65" s="9">
        <v>18672.336129983411</v>
      </c>
      <c r="M65" s="9">
        <v>135.5518091235528</v>
      </c>
      <c r="N65" s="9">
        <v>1778.396260686553</v>
      </c>
      <c r="O65" s="9">
        <v>2953.5450824718068</v>
      </c>
      <c r="P65" s="9">
        <v>23539.82928226532</v>
      </c>
      <c r="Q65" s="9">
        <v>1088.8326112253119</v>
      </c>
      <c r="R65" s="9">
        <v>440.29500146973339</v>
      </c>
      <c r="S65" s="9">
        <v>1452.8943718403541</v>
      </c>
      <c r="T65" s="9">
        <v>357.14444407170731</v>
      </c>
      <c r="U65" s="9">
        <v>3339.1664286071068</v>
      </c>
      <c r="V65" s="9">
        <v>26878.99571087243</v>
      </c>
      <c r="W65" s="9">
        <v>32.234162373254001</v>
      </c>
      <c r="X65" s="9">
        <v>348.59576080908931</v>
      </c>
      <c r="Y65" s="9">
        <v>-51481.898772003609</v>
      </c>
      <c r="Z65" s="9">
        <v>-24222.073137948839</v>
      </c>
      <c r="AA65" s="9">
        <v>95.105873166536298</v>
      </c>
      <c r="AB65" s="9">
        <v>-24126.967264782299</v>
      </c>
      <c r="AC65" s="9">
        <v>0</v>
      </c>
      <c r="AD65" s="9">
        <v>1504.5760806196749</v>
      </c>
      <c r="AE65" s="9">
        <v>0</v>
      </c>
      <c r="AF65" s="9">
        <v>0</v>
      </c>
      <c r="AG65" s="9">
        <v>-22622.391184162629</v>
      </c>
      <c r="AH65" s="9">
        <v>1190.5195270884069</v>
      </c>
      <c r="AI65" s="9">
        <v>0</v>
      </c>
      <c r="AJ65" s="9">
        <v>671.99698649851848</v>
      </c>
      <c r="AK65" s="9">
        <v>-22264.450751195382</v>
      </c>
      <c r="AL65" s="9">
        <v>534.92594987821724</v>
      </c>
      <c r="AM65" s="9">
        <v>0</v>
      </c>
      <c r="AN65" s="9">
        <v>0</v>
      </c>
      <c r="AO65" s="9">
        <v>0</v>
      </c>
      <c r="AP65" s="9">
        <v>0</v>
      </c>
      <c r="AQ65" s="9">
        <v>-21729.524801317159</v>
      </c>
      <c r="AR65" s="9">
        <v>773.9965152342744</v>
      </c>
      <c r="AS65" s="9">
        <v>549.262068</v>
      </c>
      <c r="AT65" s="9">
        <v>24996.069653183109</v>
      </c>
      <c r="AU65" s="9">
        <v>24900.96378001658</v>
      </c>
    </row>
    <row r="66" spans="1:47" x14ac:dyDescent="0.25">
      <c r="A66" s="8">
        <v>46022</v>
      </c>
      <c r="B66" s="7" t="s">
        <v>162</v>
      </c>
      <c r="C66" s="7" t="s">
        <v>163</v>
      </c>
      <c r="D66" s="7" t="s">
        <v>105</v>
      </c>
      <c r="E66" s="9">
        <v>2150.8266050000002</v>
      </c>
      <c r="F66" s="10">
        <v>0.35239999999999999</v>
      </c>
      <c r="G66" s="9">
        <v>40</v>
      </c>
      <c r="H66" s="9">
        <v>3.032</v>
      </c>
      <c r="I66" s="9">
        <v>100</v>
      </c>
      <c r="J66" s="9">
        <v>3.0318580000000002</v>
      </c>
      <c r="K66" s="11">
        <v>11.442</v>
      </c>
      <c r="L66" s="9">
        <v>812.02853200538573</v>
      </c>
      <c r="M66" s="9">
        <v>93.644502039619198</v>
      </c>
      <c r="N66" s="9">
        <v>293.20075211612033</v>
      </c>
      <c r="O66" s="9">
        <v>567.22867926387255</v>
      </c>
      <c r="P66" s="9">
        <v>1766.1024654249979</v>
      </c>
      <c r="Q66" s="9">
        <v>207.61084963389669</v>
      </c>
      <c r="R66" s="9">
        <v>163.51253487935961</v>
      </c>
      <c r="S66" s="9">
        <v>601.04121967070955</v>
      </c>
      <c r="T66" s="9">
        <v>160.09237412895021</v>
      </c>
      <c r="U66" s="9">
        <v>1132.2569783129161</v>
      </c>
      <c r="V66" s="9">
        <v>2898.3594437379138</v>
      </c>
      <c r="W66" s="9">
        <v>55.884205200899537</v>
      </c>
      <c r="X66" s="9">
        <v>292.3211766842619</v>
      </c>
      <c r="Y66" s="9">
        <v>-3833.9287886774659</v>
      </c>
      <c r="Z66" s="9">
        <v>-587.36396305439064</v>
      </c>
      <c r="AA66" s="9">
        <v>120.20828186824809</v>
      </c>
      <c r="AB66" s="9">
        <v>-467.15568118614249</v>
      </c>
      <c r="AC66" s="9">
        <v>0</v>
      </c>
      <c r="AD66" s="9">
        <v>806.72147145214592</v>
      </c>
      <c r="AE66" s="9">
        <v>0</v>
      </c>
      <c r="AF66" s="9">
        <v>0</v>
      </c>
      <c r="AG66" s="9">
        <v>339.56579026600338</v>
      </c>
      <c r="AH66" s="9">
        <v>123.6160868543611</v>
      </c>
      <c r="AI66" s="9">
        <v>0</v>
      </c>
      <c r="AJ66" s="9">
        <v>532.73666314570733</v>
      </c>
      <c r="AK66" s="9">
        <v>189.19706881392591</v>
      </c>
      <c r="AL66" s="9">
        <v>97.517893297418993</v>
      </c>
      <c r="AM66" s="9">
        <v>0</v>
      </c>
      <c r="AN66" s="9">
        <v>0</v>
      </c>
      <c r="AO66" s="9">
        <v>0</v>
      </c>
      <c r="AP66" s="9">
        <v>0</v>
      </c>
      <c r="AQ66" s="9">
        <v>286.7149621113449</v>
      </c>
      <c r="AR66" s="9">
        <v>774.0107214889639</v>
      </c>
      <c r="AS66" s="9">
        <v>333.31674099999998</v>
      </c>
      <c r="AT66" s="9">
        <v>1361.374684543355</v>
      </c>
      <c r="AU66" s="9">
        <v>1241.1664026751059</v>
      </c>
    </row>
    <row r="67" spans="1:47" x14ac:dyDescent="0.25">
      <c r="A67" s="8">
        <v>46022</v>
      </c>
      <c r="B67" s="7" t="s">
        <v>188</v>
      </c>
      <c r="C67" s="7" t="s">
        <v>189</v>
      </c>
      <c r="D67" s="7" t="s">
        <v>68</v>
      </c>
      <c r="E67" s="9">
        <v>2100</v>
      </c>
      <c r="F67" s="10">
        <v>1.86</v>
      </c>
      <c r="G67" s="9">
        <v>60.5</v>
      </c>
      <c r="H67" s="9">
        <v>23.631</v>
      </c>
      <c r="I67" s="9">
        <v>95</v>
      </c>
      <c r="J67" s="9">
        <v>22.449735</v>
      </c>
      <c r="K67" s="11">
        <v>69.436000000000007</v>
      </c>
      <c r="L67" s="9">
        <v>242.13143271630361</v>
      </c>
      <c r="M67" s="9">
        <v>124.8396681673602</v>
      </c>
      <c r="N67" s="9">
        <v>74.673869732037204</v>
      </c>
      <c r="O67" s="9">
        <v>668.55802139525713</v>
      </c>
      <c r="P67" s="9">
        <v>1110.202992010958</v>
      </c>
      <c r="Q67" s="9">
        <v>72.7050039188521</v>
      </c>
      <c r="R67" s="9">
        <v>47.803983996676664</v>
      </c>
      <c r="S67" s="9">
        <v>47.973322432618417</v>
      </c>
      <c r="T67" s="9">
        <v>86.422850561483415</v>
      </c>
      <c r="U67" s="9">
        <v>254.90516090963061</v>
      </c>
      <c r="V67" s="9">
        <v>1365.108152920589</v>
      </c>
      <c r="W67" s="9">
        <v>0</v>
      </c>
      <c r="X67" s="9">
        <v>154.92876845971679</v>
      </c>
      <c r="Y67" s="9">
        <v>-329.06811659676509</v>
      </c>
      <c r="Z67" s="9">
        <v>1190.96880478354</v>
      </c>
      <c r="AA67" s="9">
        <v>32.353308539847447</v>
      </c>
      <c r="AB67" s="9">
        <v>1223.3221133233881</v>
      </c>
      <c r="AC67" s="9">
        <v>0</v>
      </c>
      <c r="AD67" s="9">
        <v>654.9243910217856</v>
      </c>
      <c r="AE67" s="9">
        <v>0</v>
      </c>
      <c r="AF67" s="9">
        <v>0</v>
      </c>
      <c r="AG67" s="9">
        <v>1878.2465043451739</v>
      </c>
      <c r="AH67" s="9">
        <v>20.845396792374089</v>
      </c>
      <c r="AI67" s="9">
        <v>0</v>
      </c>
      <c r="AJ67" s="9">
        <v>85.173617740640566</v>
      </c>
      <c r="AK67" s="9">
        <v>1329.3411278564031</v>
      </c>
      <c r="AL67" s="9">
        <v>105.06495273461439</v>
      </c>
      <c r="AM67" s="9">
        <v>0</v>
      </c>
      <c r="AN67" s="9">
        <v>0</v>
      </c>
      <c r="AO67" s="9">
        <v>0</v>
      </c>
      <c r="AP67" s="9">
        <v>0</v>
      </c>
      <c r="AQ67" s="9">
        <v>1434.4060805910169</v>
      </c>
      <c r="AR67" s="9">
        <v>773.99879265517347</v>
      </c>
      <c r="AS67" s="9">
        <v>571.87619299999994</v>
      </c>
      <c r="AT67" s="9">
        <v>-416.97001212836688</v>
      </c>
      <c r="AU67" s="9">
        <v>-449.32332066821442</v>
      </c>
    </row>
    <row r="68" spans="1:47" x14ac:dyDescent="0.25">
      <c r="A68" s="8">
        <v>46022</v>
      </c>
      <c r="B68" s="7" t="s">
        <v>155</v>
      </c>
      <c r="C68" s="7" t="s">
        <v>156</v>
      </c>
      <c r="D68" s="7" t="s">
        <v>121</v>
      </c>
      <c r="E68" s="9">
        <v>2222.2222219999999</v>
      </c>
      <c r="F68" s="10">
        <v>1.8</v>
      </c>
      <c r="G68" s="9">
        <v>80</v>
      </c>
      <c r="H68" s="9">
        <v>32</v>
      </c>
      <c r="I68" s="9">
        <v>100</v>
      </c>
      <c r="J68" s="9">
        <v>32</v>
      </c>
      <c r="K68" s="11">
        <v>22.625</v>
      </c>
      <c r="L68" s="9">
        <v>90.064573648960476</v>
      </c>
      <c r="M68" s="9">
        <v>57.199960268269663</v>
      </c>
      <c r="N68" s="9">
        <v>23.630819234549811</v>
      </c>
      <c r="O68" s="9">
        <v>323.74910738443452</v>
      </c>
      <c r="P68" s="9">
        <v>494.64446053621441</v>
      </c>
      <c r="Q68" s="9">
        <v>40.038467875085459</v>
      </c>
      <c r="R68" s="9">
        <v>67.116600911531123</v>
      </c>
      <c r="S68" s="9">
        <v>11.52559148253669</v>
      </c>
      <c r="T68" s="9">
        <v>202.24358393848911</v>
      </c>
      <c r="U68" s="9">
        <v>320.92424420764229</v>
      </c>
      <c r="V68" s="9">
        <v>815.56870474385676</v>
      </c>
      <c r="W68" s="9">
        <v>5.8407252435801498</v>
      </c>
      <c r="X68" s="9">
        <v>290.49777499999999</v>
      </c>
      <c r="Y68" s="9">
        <v>2.7215542199999998E-15</v>
      </c>
      <c r="Z68" s="9">
        <v>1111.9072049874369</v>
      </c>
      <c r="AA68" s="9">
        <v>38.681923929658133</v>
      </c>
      <c r="AB68" s="9">
        <v>1150.589128917095</v>
      </c>
      <c r="AC68" s="9">
        <v>0</v>
      </c>
      <c r="AD68" s="9">
        <v>37.40764502907885</v>
      </c>
      <c r="AE68" s="9">
        <v>0</v>
      </c>
      <c r="AF68" s="9">
        <v>0</v>
      </c>
      <c r="AG68" s="9">
        <v>1187.996773946174</v>
      </c>
      <c r="AH68" s="9">
        <v>25.874184774200291</v>
      </c>
      <c r="AI68" s="9">
        <v>0</v>
      </c>
      <c r="AJ68" s="9">
        <v>17.722043849572181</v>
      </c>
      <c r="AK68" s="9">
        <v>1194.185357540867</v>
      </c>
      <c r="AL68" s="9">
        <v>0</v>
      </c>
      <c r="AM68" s="9">
        <v>0</v>
      </c>
      <c r="AN68" s="9">
        <v>0</v>
      </c>
      <c r="AO68" s="9">
        <v>0</v>
      </c>
      <c r="AP68" s="9">
        <v>0</v>
      </c>
      <c r="AQ68" s="9">
        <v>1194.185357540867</v>
      </c>
      <c r="AR68" s="9">
        <v>773.99999935093092</v>
      </c>
      <c r="AS68" s="9">
        <v>1697.2129299999999</v>
      </c>
      <c r="AT68" s="9">
        <v>-337.90720563650598</v>
      </c>
      <c r="AU68" s="9">
        <v>-376.58912956616422</v>
      </c>
    </row>
    <row r="69" spans="1:47" x14ac:dyDescent="0.25">
      <c r="A69" s="8">
        <v>46022</v>
      </c>
      <c r="B69" s="7" t="s">
        <v>190</v>
      </c>
      <c r="C69" s="7" t="s">
        <v>191</v>
      </c>
      <c r="D69" s="7" t="s">
        <v>65</v>
      </c>
      <c r="E69" s="9">
        <v>5400</v>
      </c>
      <c r="F69" s="10">
        <v>0.1676</v>
      </c>
      <c r="G69" s="9">
        <v>10</v>
      </c>
      <c r="H69" s="9">
        <v>0.90500000000000003</v>
      </c>
      <c r="I69" s="9">
        <v>100</v>
      </c>
      <c r="J69" s="9">
        <v>0.90510000000000002</v>
      </c>
      <c r="K69" s="11">
        <v>14.071</v>
      </c>
      <c r="L69" s="9">
        <v>243.11345261099299</v>
      </c>
      <c r="M69" s="9">
        <v>41.905800891647317</v>
      </c>
      <c r="N69" s="9">
        <v>89.943893989976786</v>
      </c>
      <c r="O69" s="9">
        <v>702.37288570606495</v>
      </c>
      <c r="P69" s="9">
        <v>1077.3360331986819</v>
      </c>
      <c r="Q69" s="9">
        <v>505.51845783652891</v>
      </c>
      <c r="R69" s="9">
        <v>228.55264139384681</v>
      </c>
      <c r="S69" s="9">
        <v>684.64200957677951</v>
      </c>
      <c r="T69" s="9">
        <v>467.32423627474242</v>
      </c>
      <c r="U69" s="9">
        <v>1886.0373450818979</v>
      </c>
      <c r="V69" s="9">
        <v>2963.3733782805798</v>
      </c>
      <c r="W69" s="9">
        <v>202.9664234338747</v>
      </c>
      <c r="X69" s="9">
        <v>154.693501</v>
      </c>
      <c r="Y69" s="9">
        <v>-3804.105806857815</v>
      </c>
      <c r="Z69" s="9">
        <v>-483.07250414336062</v>
      </c>
      <c r="AA69" s="9">
        <v>22.349032097354879</v>
      </c>
      <c r="AB69" s="9">
        <v>-460.72347204600578</v>
      </c>
      <c r="AC69" s="9">
        <v>0</v>
      </c>
      <c r="AD69" s="9">
        <v>378.18354807776791</v>
      </c>
      <c r="AE69" s="9">
        <v>0</v>
      </c>
      <c r="AF69" s="9">
        <v>0</v>
      </c>
      <c r="AG69" s="9">
        <v>-82.539923968237815</v>
      </c>
      <c r="AH69" s="9">
        <v>175.40304188775869</v>
      </c>
      <c r="AI69" s="9">
        <v>5.9861563818097441</v>
      </c>
      <c r="AJ69" s="9">
        <v>118.534826882464</v>
      </c>
      <c r="AK69" s="9">
        <v>-160.79944689397331</v>
      </c>
      <c r="AL69" s="9">
        <v>0</v>
      </c>
      <c r="AM69" s="9">
        <v>0</v>
      </c>
      <c r="AN69" s="9">
        <v>0</v>
      </c>
      <c r="AO69" s="9">
        <v>0</v>
      </c>
      <c r="AP69" s="9">
        <v>0</v>
      </c>
      <c r="AQ69" s="9">
        <v>-160.79944689397331</v>
      </c>
      <c r="AR69" s="9">
        <v>773.99999935093081</v>
      </c>
      <c r="AS69" s="9">
        <v>96.506888000000004</v>
      </c>
      <c r="AT69" s="9">
        <v>1257.0725034942909</v>
      </c>
      <c r="AU69" s="9">
        <v>1234.7234713969369</v>
      </c>
    </row>
    <row r="70" spans="1:47" x14ac:dyDescent="0.25">
      <c r="A70" s="8">
        <v>46022</v>
      </c>
      <c r="B70" s="7" t="s">
        <v>166</v>
      </c>
      <c r="C70" s="7" t="s">
        <v>167</v>
      </c>
      <c r="D70" s="7" t="s">
        <v>105</v>
      </c>
      <c r="E70" s="9">
        <v>7560</v>
      </c>
      <c r="F70" s="10">
        <v>0.10340000000000001</v>
      </c>
      <c r="G70" s="9">
        <v>70</v>
      </c>
      <c r="H70" s="9">
        <v>5.4740000000000002</v>
      </c>
      <c r="I70" s="9">
        <v>100</v>
      </c>
      <c r="J70" s="9">
        <v>5.4738150000000001</v>
      </c>
      <c r="K70" s="11">
        <v>7.218</v>
      </c>
      <c r="L70" s="9">
        <v>658.24304589409962</v>
      </c>
      <c r="M70" s="9">
        <v>30.543719736614459</v>
      </c>
      <c r="N70" s="9">
        <v>36.844776179009642</v>
      </c>
      <c r="O70" s="9">
        <v>2141.1785528216378</v>
      </c>
      <c r="P70" s="9">
        <v>2866.8100946313612</v>
      </c>
      <c r="Q70" s="9">
        <v>193.8493411629386</v>
      </c>
      <c r="R70" s="9">
        <v>41.381140891099591</v>
      </c>
      <c r="S70" s="9">
        <v>289.73971658066978</v>
      </c>
      <c r="T70" s="9">
        <v>370.09524175472302</v>
      </c>
      <c r="U70" s="9">
        <v>895.06544038943105</v>
      </c>
      <c r="V70" s="9">
        <v>3761.8755350207921</v>
      </c>
      <c r="W70" s="9">
        <v>0</v>
      </c>
      <c r="X70" s="9">
        <v>674.90729558207761</v>
      </c>
      <c r="Y70" s="9">
        <v>-6710.991023093784</v>
      </c>
      <c r="Z70" s="9">
        <v>-2274.2081924909139</v>
      </c>
      <c r="AA70" s="9">
        <v>253.92415889659989</v>
      </c>
      <c r="AB70" s="9">
        <v>-2020.284033594314</v>
      </c>
      <c r="AC70" s="9">
        <v>0</v>
      </c>
      <c r="AD70" s="9">
        <v>1511.991370205111</v>
      </c>
      <c r="AE70" s="9">
        <v>0</v>
      </c>
      <c r="AF70" s="9">
        <v>0</v>
      </c>
      <c r="AG70" s="9">
        <v>-508.29266338920348</v>
      </c>
      <c r="AH70" s="9">
        <v>378.15485056182388</v>
      </c>
      <c r="AI70" s="9">
        <v>0</v>
      </c>
      <c r="AJ70" s="9">
        <v>1015.086654942249</v>
      </c>
      <c r="AK70" s="9">
        <v>-627.04252809024103</v>
      </c>
      <c r="AL70" s="9">
        <v>828.65855385724797</v>
      </c>
      <c r="AM70" s="9">
        <v>0</v>
      </c>
      <c r="AN70" s="9">
        <v>0</v>
      </c>
      <c r="AO70" s="9">
        <v>0</v>
      </c>
      <c r="AP70" s="9">
        <v>0</v>
      </c>
      <c r="AQ70" s="9">
        <v>201.61602576700699</v>
      </c>
      <c r="AR70" s="9">
        <v>773.99787834392009</v>
      </c>
      <c r="AS70" s="9">
        <v>931.56297400000005</v>
      </c>
      <c r="AT70" s="9">
        <v>3048.206070834834</v>
      </c>
      <c r="AU70" s="9">
        <v>2794.2819119382339</v>
      </c>
    </row>
    <row r="71" spans="1:47" x14ac:dyDescent="0.25">
      <c r="A71" s="8">
        <v>46022</v>
      </c>
      <c r="B71" s="7" t="s">
        <v>164</v>
      </c>
      <c r="C71" s="7" t="s">
        <v>165</v>
      </c>
      <c r="D71" s="7" t="s">
        <v>65</v>
      </c>
      <c r="E71" s="9">
        <v>2247.8809999999999</v>
      </c>
      <c r="F71" s="10">
        <v>0.1426</v>
      </c>
      <c r="G71" s="9">
        <v>55.12</v>
      </c>
      <c r="H71" s="9">
        <v>1.7669999999999999</v>
      </c>
      <c r="I71" s="9">
        <v>90</v>
      </c>
      <c r="J71" s="9">
        <v>1.590117</v>
      </c>
      <c r="K71" s="11">
        <v>3.2269999999999999</v>
      </c>
      <c r="L71" s="9">
        <v>1112.4735788405151</v>
      </c>
      <c r="M71" s="9">
        <v>43.581322957429407</v>
      </c>
      <c r="N71" s="9">
        <v>295.13291297394221</v>
      </c>
      <c r="O71" s="9">
        <v>173.7159363714365</v>
      </c>
      <c r="P71" s="9">
        <v>1624.903751143323</v>
      </c>
      <c r="Q71" s="9">
        <v>253.96079798016001</v>
      </c>
      <c r="R71" s="9">
        <v>59.629500161034287</v>
      </c>
      <c r="S71" s="9">
        <v>454.07170696173063</v>
      </c>
      <c r="T71" s="9">
        <v>79.40043331975113</v>
      </c>
      <c r="U71" s="9">
        <v>847.062438422676</v>
      </c>
      <c r="V71" s="9">
        <v>2471.9661895659988</v>
      </c>
      <c r="W71" s="9">
        <v>34.440291709704518</v>
      </c>
      <c r="X71" s="9">
        <v>158.1262488066312</v>
      </c>
      <c r="Y71" s="9">
        <v>-12387.74703911438</v>
      </c>
      <c r="Z71" s="9">
        <v>-9723.2143090320496</v>
      </c>
      <c r="AA71" s="9">
        <v>116.578796009691</v>
      </c>
      <c r="AB71" s="9">
        <v>-9606.6355130223583</v>
      </c>
      <c r="AC71" s="9">
        <v>0</v>
      </c>
      <c r="AD71" s="9">
        <v>356.57156339278401</v>
      </c>
      <c r="AE71" s="9">
        <v>0</v>
      </c>
      <c r="AF71" s="9">
        <v>0</v>
      </c>
      <c r="AG71" s="9">
        <v>-9250.0639496295735</v>
      </c>
      <c r="AH71" s="9">
        <v>410.06249502470422</v>
      </c>
      <c r="AI71" s="9">
        <v>0</v>
      </c>
      <c r="AJ71" s="9">
        <v>1091.7222778398891</v>
      </c>
      <c r="AK71" s="9">
        <v>-8104.8507401577644</v>
      </c>
      <c r="AL71" s="9">
        <v>2570.603159707593</v>
      </c>
      <c r="AM71" s="9">
        <v>0</v>
      </c>
      <c r="AN71" s="9">
        <v>0</v>
      </c>
      <c r="AO71" s="9">
        <v>0</v>
      </c>
      <c r="AP71" s="9">
        <v>0</v>
      </c>
      <c r="AQ71" s="9">
        <v>-5534.247580450171</v>
      </c>
      <c r="AR71" s="9">
        <v>773.99172448814465</v>
      </c>
      <c r="AS71" s="9">
        <v>567.336005</v>
      </c>
      <c r="AT71" s="9">
        <v>10497.20603352019</v>
      </c>
      <c r="AU71" s="9">
        <v>10380.6272375105</v>
      </c>
    </row>
  </sheetData>
  <mergeCells count="48">
    <mergeCell ref="AS6:AS9"/>
    <mergeCell ref="AT6:AT9"/>
    <mergeCell ref="AU6:AU9"/>
    <mergeCell ref="AN6:AN9"/>
    <mergeCell ref="AO6:AO9"/>
    <mergeCell ref="AP6:AP9"/>
    <mergeCell ref="AQ6:AQ9"/>
    <mergeCell ref="AR6:AR9"/>
    <mergeCell ref="AI6:AI9"/>
    <mergeCell ref="AJ6:AJ9"/>
    <mergeCell ref="AK6:AK9"/>
    <mergeCell ref="AL6:AL9"/>
    <mergeCell ref="AM6:AM9"/>
    <mergeCell ref="AD6:AD9"/>
    <mergeCell ref="AE6:AE9"/>
    <mergeCell ref="AF6:AF9"/>
    <mergeCell ref="AG6:AG9"/>
    <mergeCell ref="AH6:AH9"/>
    <mergeCell ref="Y6:Y9"/>
    <mergeCell ref="Z6:Z9"/>
    <mergeCell ref="AA6:AA9"/>
    <mergeCell ref="AB6:AB9"/>
    <mergeCell ref="AC6:AC9"/>
    <mergeCell ref="T6:T9"/>
    <mergeCell ref="U6:U9"/>
    <mergeCell ref="V6:V9"/>
    <mergeCell ref="W6:W9"/>
    <mergeCell ref="X6:X9"/>
    <mergeCell ref="O6:O9"/>
    <mergeCell ref="P6:P9"/>
    <mergeCell ref="Q6:Q9"/>
    <mergeCell ref="R6:R9"/>
    <mergeCell ref="S6:S9"/>
    <mergeCell ref="J6:J9"/>
    <mergeCell ref="K6:K9"/>
    <mergeCell ref="L6:L9"/>
    <mergeCell ref="M6:M9"/>
    <mergeCell ref="N6:N9"/>
    <mergeCell ref="E6:E9"/>
    <mergeCell ref="F6:F9"/>
    <mergeCell ref="G6:G9"/>
    <mergeCell ref="H6:H9"/>
    <mergeCell ref="I6:I9"/>
    <mergeCell ref="A1:D1"/>
    <mergeCell ref="A6:A9"/>
    <mergeCell ref="B6:B9"/>
    <mergeCell ref="C6:C9"/>
    <mergeCell ref="D6:D9"/>
  </mergeCells>
  <pageMargins left="0.7" right="0.7" top="0.75" bottom="0.75" header="0.3" footer="0.3"/>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71"/>
  <sheetViews>
    <sheetView workbookViewId="0"/>
  </sheetViews>
  <sheetFormatPr defaultRowHeight="15" x14ac:dyDescent="0.25"/>
  <cols>
    <col min="1" max="1" width="48.5703125" customWidth="1"/>
    <col min="2" max="2" width="23.7109375" customWidth="1"/>
    <col min="3" max="3" width="16.140625" customWidth="1"/>
    <col min="4" max="4" width="20.85546875" customWidth="1"/>
    <col min="5" max="6" width="21.5703125" customWidth="1"/>
    <col min="7" max="7" width="23.5703125" customWidth="1"/>
    <col min="8" max="8" width="19.5703125" customWidth="1"/>
    <col min="9" max="9" width="21.5703125" customWidth="1"/>
    <col min="10" max="10" width="19.5703125" customWidth="1"/>
    <col min="11" max="11" width="20.7109375" customWidth="1"/>
    <col min="12" max="13" width="19.5703125" customWidth="1"/>
    <col min="14" max="16" width="21.5703125" customWidth="1"/>
    <col min="17" max="17" width="21.140625" customWidth="1"/>
    <col min="18" max="18" width="19.5703125" customWidth="1"/>
    <col min="19" max="22" width="23.5703125" customWidth="1"/>
  </cols>
  <sheetData>
    <row r="1" spans="1:22" ht="39.950000000000003" customHeight="1" x14ac:dyDescent="0.25">
      <c r="A1" s="3"/>
      <c r="B1" s="3"/>
      <c r="C1" s="3"/>
      <c r="D1" s="3"/>
    </row>
    <row r="2" spans="1:22" ht="30" customHeight="1" x14ac:dyDescent="0.3">
      <c r="A2" s="4" t="s">
        <v>254</v>
      </c>
      <c r="B2" s="5"/>
      <c r="C2" s="5"/>
      <c r="D2" s="5"/>
      <c r="E2" s="5"/>
      <c r="F2" s="5"/>
      <c r="G2" s="5"/>
      <c r="H2" s="5"/>
      <c r="I2" s="5"/>
      <c r="J2" s="5"/>
      <c r="K2" s="5"/>
      <c r="L2" s="5"/>
      <c r="M2" s="5"/>
      <c r="N2" s="5"/>
      <c r="O2" s="5"/>
      <c r="P2" s="5"/>
      <c r="Q2" s="5"/>
      <c r="R2" s="5"/>
      <c r="S2" s="5"/>
      <c r="T2" s="5"/>
      <c r="U2" s="5"/>
      <c r="V2" s="5"/>
    </row>
    <row r="3" spans="1:22" x14ac:dyDescent="0.25">
      <c r="A3" s="6" t="s">
        <v>0</v>
      </c>
    </row>
    <row r="4" spans="1:22" x14ac:dyDescent="0.25">
      <c r="A4" s="6" t="s">
        <v>1</v>
      </c>
    </row>
    <row r="5" spans="1:22" x14ac:dyDescent="0.25">
      <c r="A5" s="7"/>
    </row>
    <row r="6" spans="1:22" x14ac:dyDescent="0.25">
      <c r="A6" s="2" t="s">
        <v>3</v>
      </c>
      <c r="B6" s="2" t="s">
        <v>4</v>
      </c>
      <c r="C6" s="2" t="s">
        <v>5</v>
      </c>
      <c r="D6" s="2" t="s">
        <v>6</v>
      </c>
      <c r="E6" s="1" t="s">
        <v>231</v>
      </c>
      <c r="F6" s="1" t="s">
        <v>237</v>
      </c>
      <c r="G6" s="1" t="s">
        <v>238</v>
      </c>
      <c r="H6" s="1" t="s">
        <v>239</v>
      </c>
      <c r="I6" s="1" t="s">
        <v>240</v>
      </c>
      <c r="J6" s="1" t="s">
        <v>241</v>
      </c>
      <c r="K6" s="1" t="s">
        <v>242</v>
      </c>
      <c r="L6" s="1" t="s">
        <v>243</v>
      </c>
      <c r="M6" s="1" t="s">
        <v>244</v>
      </c>
      <c r="N6" s="1" t="s">
        <v>245</v>
      </c>
      <c r="O6" s="1" t="s">
        <v>246</v>
      </c>
      <c r="P6" s="1" t="s">
        <v>247</v>
      </c>
      <c r="Q6" s="1" t="s">
        <v>248</v>
      </c>
      <c r="R6" s="1" t="s">
        <v>249</v>
      </c>
      <c r="S6" s="1" t="s">
        <v>250</v>
      </c>
      <c r="T6" s="1" t="s">
        <v>251</v>
      </c>
      <c r="U6" s="1" t="s">
        <v>252</v>
      </c>
      <c r="V6" s="1" t="s">
        <v>253</v>
      </c>
    </row>
    <row r="7" spans="1:22" x14ac:dyDescent="0.25">
      <c r="A7" s="2"/>
      <c r="B7" s="2"/>
      <c r="C7" s="2"/>
      <c r="D7" s="2"/>
      <c r="E7" s="1"/>
      <c r="F7" s="1"/>
      <c r="G7" s="1"/>
      <c r="H7" s="1"/>
      <c r="I7" s="1"/>
      <c r="J7" s="1"/>
      <c r="K7" s="1"/>
      <c r="L7" s="1"/>
      <c r="M7" s="1"/>
      <c r="N7" s="1"/>
      <c r="O7" s="1"/>
      <c r="P7" s="1"/>
      <c r="Q7" s="1"/>
      <c r="R7" s="1"/>
      <c r="S7" s="1"/>
      <c r="T7" s="1"/>
      <c r="U7" s="1"/>
      <c r="V7" s="1"/>
    </row>
    <row r="8" spans="1:22" x14ac:dyDescent="0.25">
      <c r="A8" s="2"/>
      <c r="B8" s="2"/>
      <c r="C8" s="2"/>
      <c r="D8" s="2"/>
      <c r="E8" s="1"/>
      <c r="F8" s="1"/>
      <c r="G8" s="1"/>
      <c r="H8" s="1"/>
      <c r="I8" s="1"/>
      <c r="J8" s="1"/>
      <c r="K8" s="1"/>
      <c r="L8" s="1"/>
      <c r="M8" s="1"/>
      <c r="N8" s="1"/>
      <c r="O8" s="1"/>
      <c r="P8" s="1"/>
      <c r="Q8" s="1"/>
      <c r="R8" s="1"/>
      <c r="S8" s="1"/>
      <c r="T8" s="1"/>
      <c r="U8" s="1"/>
      <c r="V8" s="1"/>
    </row>
    <row r="9" spans="1:22" x14ac:dyDescent="0.25">
      <c r="A9" s="2"/>
      <c r="B9" s="2"/>
      <c r="C9" s="2"/>
      <c r="D9" s="2"/>
      <c r="E9" s="1"/>
      <c r="F9" s="1"/>
      <c r="G9" s="1"/>
      <c r="H9" s="1"/>
      <c r="I9" s="1"/>
      <c r="J9" s="1"/>
      <c r="K9" s="1"/>
      <c r="L9" s="1"/>
      <c r="M9" s="1"/>
      <c r="N9" s="1"/>
      <c r="O9" s="1"/>
      <c r="P9" s="1"/>
      <c r="Q9" s="1"/>
      <c r="R9" s="1"/>
      <c r="S9" s="1"/>
      <c r="T9" s="1"/>
      <c r="U9" s="1"/>
      <c r="V9" s="1"/>
    </row>
    <row r="10" spans="1:22" x14ac:dyDescent="0.25">
      <c r="A10" s="8">
        <v>46022</v>
      </c>
      <c r="B10" s="7" t="s">
        <v>49</v>
      </c>
      <c r="C10" s="7" t="s">
        <v>50</v>
      </c>
      <c r="D10" s="7" t="s">
        <v>51</v>
      </c>
      <c r="E10" s="9">
        <v>8.148695</v>
      </c>
      <c r="F10" s="9">
        <v>3.0805449999999999</v>
      </c>
      <c r="G10" s="9">
        <v>5.0681500000000002</v>
      </c>
      <c r="H10" s="9">
        <v>1.2334449999999999</v>
      </c>
      <c r="I10" s="9">
        <v>3.3014070000000002</v>
      </c>
      <c r="J10" s="9">
        <v>0.370865</v>
      </c>
      <c r="K10" s="9">
        <v>5.9199999999999997E-4</v>
      </c>
      <c r="L10" s="9">
        <v>0.178479</v>
      </c>
      <c r="M10" s="9">
        <v>0</v>
      </c>
      <c r="N10" s="9">
        <v>-1.6638E-2</v>
      </c>
      <c r="O10" s="9">
        <v>0</v>
      </c>
      <c r="P10" s="9">
        <v>-1.6638E-2</v>
      </c>
      <c r="Q10" s="10">
        <v>25</v>
      </c>
      <c r="R10" s="9">
        <v>0.64669500000000002</v>
      </c>
      <c r="S10" s="9">
        <v>-2.9160999999999999E-2</v>
      </c>
      <c r="T10" s="9">
        <v>-2.8386000000000002E-2</v>
      </c>
      <c r="U10" s="9">
        <v>-2.7646E-2</v>
      </c>
      <c r="V10" s="9">
        <v>-2.6941E-2</v>
      </c>
    </row>
    <row r="11" spans="1:22" x14ac:dyDescent="0.25">
      <c r="A11" s="8">
        <v>46022</v>
      </c>
      <c r="B11" s="7" t="s">
        <v>52</v>
      </c>
      <c r="C11" s="7" t="s">
        <v>53</v>
      </c>
      <c r="D11" s="7" t="s">
        <v>54</v>
      </c>
      <c r="E11" s="9">
        <v>113.231826</v>
      </c>
      <c r="F11" s="9">
        <v>1.4637309999999999</v>
      </c>
      <c r="G11" s="9">
        <v>111.768095</v>
      </c>
      <c r="H11" s="9">
        <v>2.264634</v>
      </c>
      <c r="I11" s="9">
        <v>26.226845999999998</v>
      </c>
      <c r="J11" s="9">
        <v>3.5032800000000002</v>
      </c>
      <c r="K11" s="9">
        <v>-1.1988749999999999</v>
      </c>
      <c r="L11" s="9">
        <v>5.6546539999999998</v>
      </c>
      <c r="M11" s="9">
        <v>0</v>
      </c>
      <c r="N11" s="9">
        <v>75.317555999999996</v>
      </c>
      <c r="O11" s="9">
        <v>24.175967</v>
      </c>
      <c r="P11" s="9">
        <v>51.141590000000001</v>
      </c>
      <c r="Q11" s="10">
        <v>34</v>
      </c>
      <c r="R11" s="9">
        <v>8.6675509999999996</v>
      </c>
      <c r="S11" s="9">
        <v>344.85735199999999</v>
      </c>
      <c r="T11" s="9">
        <v>312.84329700000001</v>
      </c>
      <c r="U11" s="9">
        <v>285.33650599999999</v>
      </c>
      <c r="V11" s="9">
        <v>261.56239900000003</v>
      </c>
    </row>
    <row r="12" spans="1:22" x14ac:dyDescent="0.25">
      <c r="A12" s="8">
        <v>46022</v>
      </c>
      <c r="B12" s="7" t="s">
        <v>55</v>
      </c>
      <c r="C12" s="7" t="s">
        <v>56</v>
      </c>
      <c r="D12" s="7" t="s">
        <v>57</v>
      </c>
      <c r="E12" s="9">
        <v>249.118461</v>
      </c>
      <c r="F12" s="9">
        <v>45.177694000000002</v>
      </c>
      <c r="G12" s="9">
        <v>203.94076699999999</v>
      </c>
      <c r="H12" s="9">
        <v>9.8625290000000003</v>
      </c>
      <c r="I12" s="9">
        <v>96.077709999999996</v>
      </c>
      <c r="J12" s="9">
        <v>9.3230149999999998</v>
      </c>
      <c r="K12" s="9">
        <v>7.4008050000000001</v>
      </c>
      <c r="L12" s="9">
        <v>25</v>
      </c>
      <c r="M12" s="9">
        <v>0</v>
      </c>
      <c r="N12" s="9">
        <v>56.276707999999999</v>
      </c>
      <c r="O12" s="9">
        <v>7.5446609999999996</v>
      </c>
      <c r="P12" s="9">
        <v>48.732045999999997</v>
      </c>
      <c r="Q12" s="10">
        <v>27</v>
      </c>
      <c r="R12" s="9">
        <v>60.734321999999999</v>
      </c>
      <c r="S12" s="9">
        <v>57.246267000000003</v>
      </c>
      <c r="T12" s="9">
        <v>55.952384000000002</v>
      </c>
      <c r="U12" s="9">
        <v>54.714848000000003</v>
      </c>
      <c r="V12" s="9">
        <v>53.530104999999999</v>
      </c>
    </row>
    <row r="13" spans="1:22" x14ac:dyDescent="0.25">
      <c r="A13" s="8">
        <v>46022</v>
      </c>
      <c r="B13" s="7" t="s">
        <v>58</v>
      </c>
      <c r="C13" s="7" t="s">
        <v>59</v>
      </c>
      <c r="D13" s="7" t="s">
        <v>60</v>
      </c>
      <c r="E13" s="9">
        <v>85.318895999999995</v>
      </c>
      <c r="F13" s="9">
        <v>4.2630100000000004</v>
      </c>
      <c r="G13" s="9">
        <v>81.055886000000001</v>
      </c>
      <c r="H13" s="9">
        <v>0</v>
      </c>
      <c r="I13" s="9">
        <v>88.953774999999993</v>
      </c>
      <c r="J13" s="9">
        <v>13.473939</v>
      </c>
      <c r="K13" s="9">
        <v>4.1575579999999999</v>
      </c>
      <c r="L13" s="9">
        <v>9.5177940000000003</v>
      </c>
      <c r="M13" s="9">
        <v>0</v>
      </c>
      <c r="N13" s="9">
        <v>-35.047181000000002</v>
      </c>
      <c r="O13" s="9">
        <v>0</v>
      </c>
      <c r="P13" s="9">
        <v>-35.047181000000002</v>
      </c>
      <c r="Q13" s="10">
        <v>29.74</v>
      </c>
      <c r="R13" s="9">
        <v>9.8677510000000002</v>
      </c>
      <c r="S13" s="9">
        <v>-305.09791100000001</v>
      </c>
      <c r="T13" s="9">
        <v>-270.52652899999998</v>
      </c>
      <c r="U13" s="9">
        <v>-241.873189</v>
      </c>
      <c r="V13" s="9">
        <v>-217.90872999999999</v>
      </c>
    </row>
    <row r="14" spans="1:22" x14ac:dyDescent="0.25">
      <c r="A14" s="8">
        <v>46022</v>
      </c>
      <c r="B14" s="7" t="s">
        <v>61</v>
      </c>
      <c r="C14" s="7" t="s">
        <v>62</v>
      </c>
      <c r="D14" s="7" t="s">
        <v>51</v>
      </c>
      <c r="E14" s="9">
        <v>3184.5192280000001</v>
      </c>
      <c r="F14" s="9">
        <v>273.22149200000001</v>
      </c>
      <c r="G14" s="9">
        <v>2911.297736</v>
      </c>
      <c r="H14" s="9">
        <v>48.716594000000001</v>
      </c>
      <c r="I14" s="9">
        <v>663.74517200000003</v>
      </c>
      <c r="J14" s="9">
        <v>35.000005000000002</v>
      </c>
      <c r="K14" s="9">
        <v>-93.335697999999994</v>
      </c>
      <c r="L14" s="9">
        <v>179.99999600000001</v>
      </c>
      <c r="M14" s="9">
        <v>0</v>
      </c>
      <c r="N14" s="9">
        <v>2077.171668</v>
      </c>
      <c r="O14" s="9">
        <v>480.724084</v>
      </c>
      <c r="P14" s="9">
        <v>1596.447584</v>
      </c>
      <c r="Q14" s="10">
        <v>25</v>
      </c>
      <c r="R14" s="9">
        <v>240.93962999999999</v>
      </c>
      <c r="S14" s="9">
        <v>13102.889639000001</v>
      </c>
      <c r="T14" s="9">
        <v>11623.905826</v>
      </c>
      <c r="U14" s="9">
        <v>10395.851436000001</v>
      </c>
      <c r="V14" s="9">
        <v>9367.1929650000002</v>
      </c>
    </row>
    <row r="15" spans="1:22" x14ac:dyDescent="0.25">
      <c r="A15" s="8">
        <v>46022</v>
      </c>
      <c r="B15" s="7" t="s">
        <v>63</v>
      </c>
      <c r="C15" s="7" t="s">
        <v>64</v>
      </c>
      <c r="D15" s="7" t="s">
        <v>65</v>
      </c>
      <c r="E15" s="9">
        <v>551.91634299999998</v>
      </c>
      <c r="F15" s="9">
        <v>15.067869</v>
      </c>
      <c r="G15" s="9">
        <v>536.84847400000001</v>
      </c>
      <c r="H15" s="9">
        <v>27.595762000000001</v>
      </c>
      <c r="I15" s="9">
        <v>563.28133300000002</v>
      </c>
      <c r="J15" s="9">
        <v>21.602716000000001</v>
      </c>
      <c r="K15" s="9">
        <v>38.358870000000003</v>
      </c>
      <c r="L15" s="9">
        <v>5.9996479999999996</v>
      </c>
      <c r="M15" s="9">
        <v>0</v>
      </c>
      <c r="N15" s="9">
        <v>-119.989856</v>
      </c>
      <c r="O15" s="9">
        <v>0</v>
      </c>
      <c r="P15" s="9">
        <v>-119.989856</v>
      </c>
      <c r="Q15" s="10">
        <v>27</v>
      </c>
      <c r="R15" s="9">
        <v>87.763349000000005</v>
      </c>
      <c r="S15" s="9">
        <v>-326.315967</v>
      </c>
      <c r="T15" s="9">
        <v>-312.93757799999997</v>
      </c>
      <c r="U15" s="9">
        <v>-300.12477100000001</v>
      </c>
      <c r="V15" s="9">
        <v>-287.93422199999998</v>
      </c>
    </row>
    <row r="16" spans="1:22" x14ac:dyDescent="0.25">
      <c r="A16" s="8">
        <v>46022</v>
      </c>
      <c r="B16" s="7" t="s">
        <v>66</v>
      </c>
      <c r="C16" s="7" t="s">
        <v>67</v>
      </c>
      <c r="D16" s="7" t="s">
        <v>68</v>
      </c>
      <c r="E16" s="9">
        <v>277.34097500000001</v>
      </c>
      <c r="F16" s="9">
        <v>95.846587</v>
      </c>
      <c r="G16" s="9">
        <v>181.49438699999999</v>
      </c>
      <c r="H16" s="9">
        <v>0</v>
      </c>
      <c r="I16" s="9">
        <v>178.10409899999999</v>
      </c>
      <c r="J16" s="9">
        <v>1.518248</v>
      </c>
      <c r="K16" s="9">
        <v>3.6203829999999999</v>
      </c>
      <c r="L16" s="9">
        <v>19.442060000000001</v>
      </c>
      <c r="M16" s="9">
        <v>0</v>
      </c>
      <c r="N16" s="9">
        <v>-21.190403</v>
      </c>
      <c r="O16" s="9">
        <v>0</v>
      </c>
      <c r="P16" s="9">
        <v>-21.190403</v>
      </c>
      <c r="Q16" s="10">
        <v>26.5</v>
      </c>
      <c r="R16" s="9">
        <v>34.284973999999998</v>
      </c>
      <c r="S16" s="9">
        <v>-50.294263000000001</v>
      </c>
      <c r="T16" s="9">
        <v>-49.315286</v>
      </c>
      <c r="U16" s="9">
        <v>-48.195498999999998</v>
      </c>
      <c r="V16" s="9">
        <v>-46.988275999999999</v>
      </c>
    </row>
    <row r="17" spans="1:22" x14ac:dyDescent="0.25">
      <c r="A17" s="8">
        <v>46022</v>
      </c>
      <c r="B17" s="7" t="s">
        <v>69</v>
      </c>
      <c r="C17" s="7" t="s">
        <v>70</v>
      </c>
      <c r="D17" s="7" t="s">
        <v>71</v>
      </c>
      <c r="E17" s="9">
        <v>45.304333</v>
      </c>
      <c r="F17" s="9">
        <v>16.377738000000001</v>
      </c>
      <c r="G17" s="9">
        <v>28.926594999999999</v>
      </c>
      <c r="H17" s="9">
        <v>2.1449180000000001</v>
      </c>
      <c r="I17" s="9">
        <v>28.864322999999999</v>
      </c>
      <c r="J17" s="9">
        <v>1.5</v>
      </c>
      <c r="K17" s="9">
        <v>3.7287620000000001</v>
      </c>
      <c r="L17" s="9">
        <v>2</v>
      </c>
      <c r="M17" s="9">
        <v>15</v>
      </c>
      <c r="N17" s="9">
        <v>-24.311408</v>
      </c>
      <c r="O17" s="9">
        <v>0</v>
      </c>
      <c r="P17" s="9">
        <v>-24.311408</v>
      </c>
      <c r="Q17" s="10">
        <v>30</v>
      </c>
      <c r="R17" s="9">
        <v>10.864114000000001</v>
      </c>
      <c r="S17" s="9">
        <v>-28.886289999999999</v>
      </c>
      <c r="T17" s="9">
        <v>-28.017388</v>
      </c>
      <c r="U17" s="9">
        <v>-27.205615000000002</v>
      </c>
      <c r="V17" s="9">
        <v>-26.445557000000001</v>
      </c>
    </row>
    <row r="18" spans="1:22" x14ac:dyDescent="0.25">
      <c r="A18" s="8">
        <v>46022</v>
      </c>
      <c r="B18" s="7" t="s">
        <v>72</v>
      </c>
      <c r="C18" s="7" t="s">
        <v>73</v>
      </c>
      <c r="D18" s="7" t="s">
        <v>65</v>
      </c>
      <c r="E18" s="9">
        <v>653.03340300000002</v>
      </c>
      <c r="F18" s="9">
        <v>26.642810999999998</v>
      </c>
      <c r="G18" s="9">
        <v>626.39059199999997</v>
      </c>
      <c r="H18" s="9">
        <v>8.9516369999999998</v>
      </c>
      <c r="I18" s="9">
        <v>572.75754700000005</v>
      </c>
      <c r="J18" s="9">
        <v>3.2725360000000001</v>
      </c>
      <c r="K18" s="9">
        <v>11.973136999999999</v>
      </c>
      <c r="L18" s="9">
        <v>85.913634000000002</v>
      </c>
      <c r="M18" s="9">
        <v>0</v>
      </c>
      <c r="N18" s="9">
        <v>-56.477901000000003</v>
      </c>
      <c r="O18" s="9">
        <v>0</v>
      </c>
      <c r="P18" s="9">
        <v>-56.477901000000003</v>
      </c>
      <c r="Q18" s="10">
        <v>27</v>
      </c>
      <c r="R18" s="9">
        <v>140.54105300000001</v>
      </c>
      <c r="S18" s="9">
        <v>-416.10983199999998</v>
      </c>
      <c r="T18" s="9">
        <v>-348.90926400000001</v>
      </c>
      <c r="U18" s="9">
        <v>-298.74026800000001</v>
      </c>
      <c r="V18" s="9">
        <v>-260.49148200000002</v>
      </c>
    </row>
    <row r="19" spans="1:22" x14ac:dyDescent="0.25">
      <c r="A19" s="8">
        <v>46022</v>
      </c>
      <c r="B19" s="7" t="s">
        <v>74</v>
      </c>
      <c r="C19" s="7" t="s">
        <v>75</v>
      </c>
      <c r="D19" s="7" t="s">
        <v>51</v>
      </c>
      <c r="E19" s="9">
        <v>126.216853</v>
      </c>
      <c r="F19" s="9">
        <v>18.827323</v>
      </c>
      <c r="G19" s="9">
        <v>107.38952999999999</v>
      </c>
      <c r="H19" s="9">
        <v>3.0961639999999999</v>
      </c>
      <c r="I19" s="9">
        <v>34.141635999999998</v>
      </c>
      <c r="J19" s="9">
        <v>4.3748459999999998</v>
      </c>
      <c r="K19" s="9">
        <v>0.49551200000000001</v>
      </c>
      <c r="L19" s="9">
        <v>1.7174199999999999</v>
      </c>
      <c r="M19" s="9">
        <v>0</v>
      </c>
      <c r="N19" s="9">
        <v>63.563952</v>
      </c>
      <c r="O19" s="9">
        <v>9.2343770000000003</v>
      </c>
      <c r="P19" s="9">
        <v>54.329574999999998</v>
      </c>
      <c r="Q19" s="10">
        <v>15</v>
      </c>
      <c r="R19" s="9">
        <v>4.2143709999999999</v>
      </c>
      <c r="S19" s="9">
        <v>462.13207799999998</v>
      </c>
      <c r="T19" s="9">
        <v>409.68100500000003</v>
      </c>
      <c r="U19" s="9">
        <v>366.23570000000001</v>
      </c>
      <c r="V19" s="9">
        <v>329.91973200000001</v>
      </c>
    </row>
    <row r="20" spans="1:22" x14ac:dyDescent="0.25">
      <c r="A20" s="8">
        <v>46022</v>
      </c>
      <c r="B20" s="7" t="s">
        <v>76</v>
      </c>
      <c r="C20" s="7" t="s">
        <v>77</v>
      </c>
      <c r="D20" s="7" t="s">
        <v>71</v>
      </c>
      <c r="E20" s="9">
        <v>636.49511500000006</v>
      </c>
      <c r="F20" s="9">
        <v>33.227207</v>
      </c>
      <c r="G20" s="9">
        <v>603.26790800000003</v>
      </c>
      <c r="H20" s="9">
        <v>16.546977999999999</v>
      </c>
      <c r="I20" s="9">
        <v>582.51837899999998</v>
      </c>
      <c r="J20" s="9">
        <v>3.6239949999999999</v>
      </c>
      <c r="K20" s="9">
        <v>-8.5284390000000005</v>
      </c>
      <c r="L20" s="9">
        <v>26.786273000000001</v>
      </c>
      <c r="M20" s="9">
        <v>0</v>
      </c>
      <c r="N20" s="9">
        <v>-17.679276999999999</v>
      </c>
      <c r="O20" s="9">
        <v>0</v>
      </c>
      <c r="P20" s="9">
        <v>-17.679276999999999</v>
      </c>
      <c r="Q20" s="10">
        <v>30</v>
      </c>
      <c r="R20" s="9">
        <v>45.111846999999997</v>
      </c>
      <c r="S20" s="9">
        <v>378.25216999999998</v>
      </c>
      <c r="T20" s="9">
        <v>280.64890100000002</v>
      </c>
      <c r="U20" s="9">
        <v>211.15465499999999</v>
      </c>
      <c r="V20" s="9">
        <v>160.86180100000001</v>
      </c>
    </row>
    <row r="21" spans="1:22" x14ac:dyDescent="0.25">
      <c r="A21" s="8">
        <v>46022</v>
      </c>
      <c r="B21" s="7" t="s">
        <v>78</v>
      </c>
      <c r="C21" s="7" t="s">
        <v>79</v>
      </c>
      <c r="D21" s="7" t="s">
        <v>80</v>
      </c>
      <c r="E21" s="9">
        <v>12973.500700000001</v>
      </c>
      <c r="F21" s="9">
        <v>1293.268118</v>
      </c>
      <c r="G21" s="9">
        <v>11680.232582000001</v>
      </c>
      <c r="H21" s="9">
        <v>869.69808799999998</v>
      </c>
      <c r="I21" s="9">
        <v>2470.789186</v>
      </c>
      <c r="J21" s="9">
        <v>687.49037099999998</v>
      </c>
      <c r="K21" s="9">
        <v>-218.41431299999999</v>
      </c>
      <c r="L21" s="9">
        <v>921.09934399999997</v>
      </c>
      <c r="M21" s="9">
        <v>0</v>
      </c>
      <c r="N21" s="9">
        <v>6949.5699070000001</v>
      </c>
      <c r="O21" s="9">
        <v>1348.635143</v>
      </c>
      <c r="P21" s="9">
        <v>5600.9347639999996</v>
      </c>
      <c r="Q21" s="10">
        <v>20</v>
      </c>
      <c r="R21" s="9">
        <v>909.07922299999996</v>
      </c>
      <c r="S21" s="9">
        <v>45629.862123999999</v>
      </c>
      <c r="T21" s="9">
        <v>40529.839362999999</v>
      </c>
      <c r="U21" s="9">
        <v>36295.332324000003</v>
      </c>
      <c r="V21" s="9">
        <v>32747.614527000002</v>
      </c>
    </row>
    <row r="22" spans="1:22" x14ac:dyDescent="0.25">
      <c r="A22" s="8">
        <v>46022</v>
      </c>
      <c r="B22" s="7" t="s">
        <v>81</v>
      </c>
      <c r="C22" s="7" t="s">
        <v>82</v>
      </c>
      <c r="D22" s="7" t="s">
        <v>71</v>
      </c>
      <c r="E22" s="9">
        <v>166.715238</v>
      </c>
      <c r="F22" s="9">
        <v>5.3244069999999999</v>
      </c>
      <c r="G22" s="9">
        <v>161.39083099999999</v>
      </c>
      <c r="H22" s="9">
        <v>8.2316920000000007</v>
      </c>
      <c r="I22" s="9">
        <v>99.794049999999999</v>
      </c>
      <c r="J22" s="9">
        <v>5.9249999999999998</v>
      </c>
      <c r="K22" s="9">
        <v>-19.339002000000001</v>
      </c>
      <c r="L22" s="9">
        <v>5.4001029999999997</v>
      </c>
      <c r="M22" s="9">
        <v>0</v>
      </c>
      <c r="N22" s="9">
        <v>61.378987000000002</v>
      </c>
      <c r="O22" s="9">
        <v>0</v>
      </c>
      <c r="P22" s="9">
        <v>61.378987000000002</v>
      </c>
      <c r="Q22" s="10">
        <v>30</v>
      </c>
      <c r="R22" s="9">
        <v>70.383322000000007</v>
      </c>
      <c r="S22" s="9">
        <v>109.609143</v>
      </c>
      <c r="T22" s="9">
        <v>106.674119</v>
      </c>
      <c r="U22" s="9">
        <v>103.876964</v>
      </c>
      <c r="V22" s="9">
        <v>101.208713</v>
      </c>
    </row>
    <row r="23" spans="1:22" x14ac:dyDescent="0.25">
      <c r="A23" s="8">
        <v>46022</v>
      </c>
      <c r="B23" s="7" t="s">
        <v>83</v>
      </c>
      <c r="C23" s="7" t="s">
        <v>84</v>
      </c>
      <c r="D23" s="7" t="s">
        <v>85</v>
      </c>
      <c r="E23" s="9">
        <v>593.93245000000002</v>
      </c>
      <c r="F23" s="9">
        <v>166.258544</v>
      </c>
      <c r="G23" s="9">
        <v>427.67390699999999</v>
      </c>
      <c r="H23" s="9">
        <v>10.393791999999999</v>
      </c>
      <c r="I23" s="9">
        <v>260.58749799999998</v>
      </c>
      <c r="J23" s="9">
        <v>18.658697</v>
      </c>
      <c r="K23" s="9">
        <v>3.8017789999999998</v>
      </c>
      <c r="L23" s="9">
        <v>7.8000020000000001</v>
      </c>
      <c r="M23" s="9">
        <v>0</v>
      </c>
      <c r="N23" s="9">
        <v>126.43213900000001</v>
      </c>
      <c r="O23" s="9">
        <v>15.604348999999999</v>
      </c>
      <c r="P23" s="9">
        <v>110.82778999999999</v>
      </c>
      <c r="Q23" s="10">
        <v>30</v>
      </c>
      <c r="R23" s="9">
        <v>86.019423000000003</v>
      </c>
      <c r="S23" s="9">
        <v>858.24320899999998</v>
      </c>
      <c r="T23" s="9">
        <v>763.24742400000002</v>
      </c>
      <c r="U23" s="9">
        <v>684.28070700000001</v>
      </c>
      <c r="V23" s="9">
        <v>618.04830900000002</v>
      </c>
    </row>
    <row r="24" spans="1:22" x14ac:dyDescent="0.25">
      <c r="A24" s="8">
        <v>46022</v>
      </c>
      <c r="B24" s="7" t="s">
        <v>86</v>
      </c>
      <c r="C24" s="7" t="s">
        <v>87</v>
      </c>
      <c r="D24" s="7" t="s">
        <v>65</v>
      </c>
      <c r="E24" s="9">
        <v>671.15455799999995</v>
      </c>
      <c r="F24" s="9">
        <v>34.365056000000003</v>
      </c>
      <c r="G24" s="9">
        <v>636.78950199999997</v>
      </c>
      <c r="H24" s="9">
        <v>6.4467160000000003</v>
      </c>
      <c r="I24" s="9">
        <v>503.87033000000002</v>
      </c>
      <c r="J24" s="9">
        <v>14.939106000000001</v>
      </c>
      <c r="K24" s="9">
        <v>-41.133187</v>
      </c>
      <c r="L24" s="9">
        <v>71.940894</v>
      </c>
      <c r="M24" s="9">
        <v>0</v>
      </c>
      <c r="N24" s="9">
        <v>80.725641999999993</v>
      </c>
      <c r="O24" s="9">
        <v>6.4064110000000003</v>
      </c>
      <c r="P24" s="9">
        <v>74.319231000000002</v>
      </c>
      <c r="Q24" s="10">
        <v>27</v>
      </c>
      <c r="R24" s="9">
        <v>87.805902000000003</v>
      </c>
      <c r="S24" s="9">
        <v>1500.381151</v>
      </c>
      <c r="T24" s="9">
        <v>1330.7236760000001</v>
      </c>
      <c r="U24" s="9">
        <v>1187.871977</v>
      </c>
      <c r="V24" s="9">
        <v>1066.6893809999999</v>
      </c>
    </row>
    <row r="25" spans="1:22" x14ac:dyDescent="0.25">
      <c r="A25" s="8">
        <v>46022</v>
      </c>
      <c r="B25" s="7" t="s">
        <v>88</v>
      </c>
      <c r="C25" s="7" t="s">
        <v>89</v>
      </c>
      <c r="D25" s="7" t="s">
        <v>90</v>
      </c>
      <c r="E25" s="9">
        <v>525.86245099999996</v>
      </c>
      <c r="F25" s="9">
        <v>84.103289000000004</v>
      </c>
      <c r="G25" s="9">
        <v>441.759162</v>
      </c>
      <c r="H25" s="9">
        <v>8.0739629999999991</v>
      </c>
      <c r="I25" s="9">
        <v>450.03439100000003</v>
      </c>
      <c r="J25" s="9">
        <v>53.392792</v>
      </c>
      <c r="K25" s="9">
        <v>6.1836000000000002E-2</v>
      </c>
      <c r="L25" s="9">
        <v>80</v>
      </c>
      <c r="M25" s="9">
        <v>0</v>
      </c>
      <c r="N25" s="9">
        <v>-149.80382</v>
      </c>
      <c r="O25" s="9">
        <v>0</v>
      </c>
      <c r="P25" s="9">
        <v>-149.80382</v>
      </c>
      <c r="Q25" s="10">
        <v>20</v>
      </c>
      <c r="R25" s="9">
        <v>256</v>
      </c>
      <c r="S25" s="9">
        <v>-713.07228799999996</v>
      </c>
      <c r="T25" s="9">
        <v>-626.921108</v>
      </c>
      <c r="U25" s="9">
        <v>-555.82557599999996</v>
      </c>
      <c r="V25" s="9">
        <v>-496.81897099999998</v>
      </c>
    </row>
    <row r="26" spans="1:22" x14ac:dyDescent="0.25">
      <c r="A26" s="8">
        <v>46022</v>
      </c>
      <c r="B26" s="7" t="s">
        <v>91</v>
      </c>
      <c r="C26" s="7" t="s">
        <v>92</v>
      </c>
      <c r="D26" s="7" t="s">
        <v>65</v>
      </c>
      <c r="E26" s="9">
        <v>503.95921600000003</v>
      </c>
      <c r="F26" s="9">
        <v>76.928415999999999</v>
      </c>
      <c r="G26" s="9">
        <v>427.030799</v>
      </c>
      <c r="H26" s="9">
        <v>9.9959849999999992</v>
      </c>
      <c r="I26" s="9">
        <v>195.86763300000001</v>
      </c>
      <c r="J26" s="9">
        <v>0.19831699999999999</v>
      </c>
      <c r="K26" s="9">
        <v>-11.405272999999999</v>
      </c>
      <c r="L26" s="9">
        <v>19.539660000000001</v>
      </c>
      <c r="M26" s="9">
        <v>0.38956600000000002</v>
      </c>
      <c r="N26" s="9">
        <v>212.44491099999999</v>
      </c>
      <c r="O26" s="9">
        <v>50.255299999999998</v>
      </c>
      <c r="P26" s="9">
        <v>162.18961100000001</v>
      </c>
      <c r="Q26" s="10">
        <v>27</v>
      </c>
      <c r="R26" s="9">
        <v>34.838123000000003</v>
      </c>
      <c r="S26" s="9">
        <v>1578.7689800000001</v>
      </c>
      <c r="T26" s="9">
        <v>1350.167449</v>
      </c>
      <c r="U26" s="9">
        <v>1172.655949</v>
      </c>
      <c r="V26" s="9">
        <v>1032.292048</v>
      </c>
    </row>
    <row r="27" spans="1:22" x14ac:dyDescent="0.25">
      <c r="A27" s="8">
        <v>46022</v>
      </c>
      <c r="B27" s="7" t="s">
        <v>93</v>
      </c>
      <c r="C27" s="7" t="s">
        <v>94</v>
      </c>
      <c r="D27" s="7" t="s">
        <v>65</v>
      </c>
      <c r="E27" s="9">
        <v>255.61818299999999</v>
      </c>
      <c r="F27" s="9">
        <v>12.51056</v>
      </c>
      <c r="G27" s="9">
        <v>243.10762299999999</v>
      </c>
      <c r="H27" s="9">
        <v>5.7841950000000004</v>
      </c>
      <c r="I27" s="9">
        <v>257.35038700000001</v>
      </c>
      <c r="J27" s="9">
        <v>1.8278300000000001</v>
      </c>
      <c r="K27" s="9">
        <v>4.1778199999999996</v>
      </c>
      <c r="L27" s="9">
        <v>5.4043580000000002</v>
      </c>
      <c r="M27" s="9">
        <v>0</v>
      </c>
      <c r="N27" s="9">
        <v>-31.436968</v>
      </c>
      <c r="O27" s="9">
        <v>0</v>
      </c>
      <c r="P27" s="9">
        <v>-31.436968</v>
      </c>
      <c r="Q27" s="10">
        <v>27</v>
      </c>
      <c r="R27" s="9">
        <v>21.889415</v>
      </c>
      <c r="S27" s="9">
        <v>-301.43487699999997</v>
      </c>
      <c r="T27" s="9">
        <v>-251.514061</v>
      </c>
      <c r="U27" s="9">
        <v>-214.05674099999999</v>
      </c>
      <c r="V27" s="9">
        <v>-185.41325399999999</v>
      </c>
    </row>
    <row r="28" spans="1:22" x14ac:dyDescent="0.25">
      <c r="A28" s="8">
        <v>46022</v>
      </c>
      <c r="B28" s="7" t="s">
        <v>95</v>
      </c>
      <c r="C28" s="7" t="s">
        <v>96</v>
      </c>
      <c r="D28" s="7" t="s">
        <v>65</v>
      </c>
      <c r="E28" s="9">
        <v>465.29565300000002</v>
      </c>
      <c r="F28" s="9">
        <v>18.381720999999999</v>
      </c>
      <c r="G28" s="9">
        <v>446.91393299999999</v>
      </c>
      <c r="H28" s="9">
        <v>1.048654</v>
      </c>
      <c r="I28" s="9">
        <v>408.54372699999999</v>
      </c>
      <c r="J28" s="9">
        <v>12.041454</v>
      </c>
      <c r="K28" s="9">
        <v>8.2870830000000009</v>
      </c>
      <c r="L28" s="9">
        <v>36.593741000000001</v>
      </c>
      <c r="M28" s="9">
        <v>0</v>
      </c>
      <c r="N28" s="9">
        <v>-19.600726000000002</v>
      </c>
      <c r="O28" s="9">
        <v>0</v>
      </c>
      <c r="P28" s="9">
        <v>-19.600726000000002</v>
      </c>
      <c r="Q28" s="10">
        <v>27</v>
      </c>
      <c r="R28" s="9">
        <v>54.021844999999999</v>
      </c>
      <c r="S28" s="9">
        <v>-226.612574</v>
      </c>
      <c r="T28" s="9">
        <v>-185.862031</v>
      </c>
      <c r="U28" s="9">
        <v>-154.98899700000001</v>
      </c>
      <c r="V28" s="9">
        <v>-131.26435799999999</v>
      </c>
    </row>
    <row r="29" spans="1:22" x14ac:dyDescent="0.25">
      <c r="A29" s="8">
        <v>46022</v>
      </c>
      <c r="B29" s="7" t="s">
        <v>97</v>
      </c>
      <c r="C29" s="7" t="s">
        <v>98</v>
      </c>
      <c r="D29" s="7" t="s">
        <v>65</v>
      </c>
      <c r="E29" s="9">
        <v>1697.897876</v>
      </c>
      <c r="F29" s="9">
        <v>488.77142700000002</v>
      </c>
      <c r="G29" s="9">
        <v>1209.1264490000001</v>
      </c>
      <c r="H29" s="9">
        <v>7.0296649999999996</v>
      </c>
      <c r="I29" s="9">
        <v>399.359082</v>
      </c>
      <c r="J29" s="9">
        <v>36.869242</v>
      </c>
      <c r="K29" s="9">
        <v>28.892598</v>
      </c>
      <c r="L29" s="9">
        <v>452.21004599999998</v>
      </c>
      <c r="M29" s="9">
        <v>0</v>
      </c>
      <c r="N29" s="9">
        <v>284.76581599999997</v>
      </c>
      <c r="O29" s="9">
        <v>71.790642000000005</v>
      </c>
      <c r="P29" s="9">
        <v>212.97517300000001</v>
      </c>
      <c r="Q29" s="10">
        <v>27</v>
      </c>
      <c r="R29" s="9">
        <v>499.977192</v>
      </c>
      <c r="S29" s="9">
        <v>2482.023353</v>
      </c>
      <c r="T29" s="9">
        <v>2106.2121240000001</v>
      </c>
      <c r="U29" s="9">
        <v>1817.1678710000001</v>
      </c>
      <c r="V29" s="9">
        <v>1590.5915580000001</v>
      </c>
    </row>
    <row r="30" spans="1:22" x14ac:dyDescent="0.25">
      <c r="A30" s="8">
        <v>46022</v>
      </c>
      <c r="B30" s="7" t="s">
        <v>99</v>
      </c>
      <c r="C30" s="7" t="s">
        <v>100</v>
      </c>
      <c r="D30" s="7" t="s">
        <v>54</v>
      </c>
      <c r="E30" s="9">
        <v>420.165797</v>
      </c>
      <c r="F30" s="9">
        <v>76.793470999999997</v>
      </c>
      <c r="G30" s="9">
        <v>343.37232599999999</v>
      </c>
      <c r="H30" s="9">
        <v>23.109151000000001</v>
      </c>
      <c r="I30" s="9">
        <v>125.95162500000001</v>
      </c>
      <c r="J30" s="9">
        <v>1.5</v>
      </c>
      <c r="K30" s="9">
        <v>21.163851000000001</v>
      </c>
      <c r="L30" s="9">
        <v>18.892745000000001</v>
      </c>
      <c r="M30" s="9">
        <v>0</v>
      </c>
      <c r="N30" s="9">
        <v>152.754954</v>
      </c>
      <c r="O30" s="9">
        <v>50.474693000000002</v>
      </c>
      <c r="P30" s="9">
        <v>102.280261</v>
      </c>
      <c r="Q30" s="10">
        <v>34</v>
      </c>
      <c r="R30" s="9">
        <v>44.356569999999998</v>
      </c>
      <c r="S30" s="9">
        <v>1157.9724180000001</v>
      </c>
      <c r="T30" s="9">
        <v>1025.079958</v>
      </c>
      <c r="U30" s="9">
        <v>914.74844800000005</v>
      </c>
      <c r="V30" s="9">
        <v>822.35062200000004</v>
      </c>
    </row>
    <row r="31" spans="1:22" x14ac:dyDescent="0.25">
      <c r="A31" s="8">
        <v>46022</v>
      </c>
      <c r="B31" s="7" t="s">
        <v>101</v>
      </c>
      <c r="C31" s="7" t="s">
        <v>102</v>
      </c>
      <c r="D31" s="7" t="s">
        <v>65</v>
      </c>
      <c r="E31" s="9">
        <v>1228.252322</v>
      </c>
      <c r="F31" s="9">
        <v>108.580533</v>
      </c>
      <c r="G31" s="9">
        <v>1119.671789</v>
      </c>
      <c r="H31" s="9">
        <v>6.2345189999999997</v>
      </c>
      <c r="I31" s="9">
        <v>887.89401799999996</v>
      </c>
      <c r="J31" s="9">
        <v>29.409236</v>
      </c>
      <c r="K31" s="9">
        <v>-2.569197</v>
      </c>
      <c r="L31" s="9">
        <v>127.772217</v>
      </c>
      <c r="M31" s="9">
        <v>20.180648999999999</v>
      </c>
      <c r="N31" s="9">
        <v>50.750348000000002</v>
      </c>
      <c r="O31" s="9">
        <v>15.134061000000001</v>
      </c>
      <c r="P31" s="9">
        <v>35.616287</v>
      </c>
      <c r="Q31" s="10">
        <v>27</v>
      </c>
      <c r="R31" s="9">
        <v>140.08194</v>
      </c>
      <c r="S31" s="9">
        <v>464.09900499999998</v>
      </c>
      <c r="T31" s="9">
        <v>411.72269499999999</v>
      </c>
      <c r="U31" s="9">
        <v>367.746759</v>
      </c>
      <c r="V31" s="9">
        <v>330.56115499999999</v>
      </c>
    </row>
    <row r="32" spans="1:22" x14ac:dyDescent="0.25">
      <c r="A32" s="8">
        <v>46022</v>
      </c>
      <c r="B32" s="7" t="s">
        <v>103</v>
      </c>
      <c r="C32" s="7" t="s">
        <v>104</v>
      </c>
      <c r="D32" s="7" t="s">
        <v>105</v>
      </c>
      <c r="E32" s="9">
        <v>359.52989200000002</v>
      </c>
      <c r="F32" s="9">
        <v>35.907077999999998</v>
      </c>
      <c r="G32" s="9">
        <v>323.62281400000001</v>
      </c>
      <c r="H32" s="9">
        <v>13.606832000000001</v>
      </c>
      <c r="I32" s="9">
        <v>262.07164</v>
      </c>
      <c r="J32" s="9">
        <v>6.6430910000000001</v>
      </c>
      <c r="K32" s="9">
        <v>-2.447282</v>
      </c>
      <c r="L32" s="9">
        <v>54.141694999999999</v>
      </c>
      <c r="M32" s="9">
        <v>0</v>
      </c>
      <c r="N32" s="9">
        <v>-10.393162</v>
      </c>
      <c r="O32" s="9">
        <v>0</v>
      </c>
      <c r="P32" s="9">
        <v>-10.393162</v>
      </c>
      <c r="Q32" s="10">
        <v>24.72</v>
      </c>
      <c r="R32" s="9">
        <v>56.620581999999999</v>
      </c>
      <c r="S32" s="9">
        <v>-81.842534999999998</v>
      </c>
      <c r="T32" s="9">
        <v>-75.289433000000002</v>
      </c>
      <c r="U32" s="9">
        <v>-69.504925</v>
      </c>
      <c r="V32" s="9">
        <v>-64.378879999999995</v>
      </c>
    </row>
    <row r="33" spans="1:22" x14ac:dyDescent="0.25">
      <c r="A33" s="8">
        <v>46022</v>
      </c>
      <c r="B33" s="7" t="s">
        <v>106</v>
      </c>
      <c r="C33" s="7" t="s">
        <v>107</v>
      </c>
      <c r="D33" s="7" t="s">
        <v>65</v>
      </c>
      <c r="E33" s="9">
        <v>415.16993000000002</v>
      </c>
      <c r="F33" s="9">
        <v>17.197732999999999</v>
      </c>
      <c r="G33" s="9">
        <v>397.97219799999999</v>
      </c>
      <c r="H33" s="9">
        <v>11.968431000000001</v>
      </c>
      <c r="I33" s="9">
        <v>212.37230700000001</v>
      </c>
      <c r="J33" s="9">
        <v>10.452273</v>
      </c>
      <c r="K33" s="9">
        <v>7.123405</v>
      </c>
      <c r="L33" s="9">
        <v>139.65772999999999</v>
      </c>
      <c r="M33" s="9">
        <v>23.725892999999999</v>
      </c>
      <c r="N33" s="9">
        <v>-7.3278410000000003</v>
      </c>
      <c r="O33" s="9">
        <v>5.5455959999999997</v>
      </c>
      <c r="P33" s="9">
        <v>-12.873438</v>
      </c>
      <c r="Q33" s="10">
        <v>27</v>
      </c>
      <c r="R33" s="9">
        <v>142.63994099999999</v>
      </c>
      <c r="S33" s="9">
        <v>291.92812099999998</v>
      </c>
      <c r="T33" s="9">
        <v>238.628837</v>
      </c>
      <c r="U33" s="9">
        <v>198.04440099999999</v>
      </c>
      <c r="V33" s="9">
        <v>166.58935099999999</v>
      </c>
    </row>
    <row r="34" spans="1:22" x14ac:dyDescent="0.25">
      <c r="A34" s="8">
        <v>46022</v>
      </c>
      <c r="B34" s="7" t="s">
        <v>108</v>
      </c>
      <c r="C34" s="7" t="s">
        <v>109</v>
      </c>
      <c r="D34" s="7" t="s">
        <v>60</v>
      </c>
      <c r="E34" s="9">
        <v>204.765344</v>
      </c>
      <c r="F34" s="9">
        <v>73.912257999999994</v>
      </c>
      <c r="G34" s="9">
        <v>130.85308599999999</v>
      </c>
      <c r="H34" s="9">
        <v>0</v>
      </c>
      <c r="I34" s="9">
        <v>37.696570000000001</v>
      </c>
      <c r="J34" s="9">
        <v>2.4111180000000001</v>
      </c>
      <c r="K34" s="9">
        <v>-8.878736</v>
      </c>
      <c r="L34" s="9">
        <v>4.4512960000000001</v>
      </c>
      <c r="M34" s="9">
        <v>0</v>
      </c>
      <c r="N34" s="9">
        <v>95.172837000000001</v>
      </c>
      <c r="O34" s="9">
        <v>25.608706999999999</v>
      </c>
      <c r="P34" s="9">
        <v>69.564130000000006</v>
      </c>
      <c r="Q34" s="10">
        <v>29.7399997711182</v>
      </c>
      <c r="R34" s="9">
        <v>4.6367669999999999</v>
      </c>
      <c r="S34" s="9">
        <v>545.36988199999996</v>
      </c>
      <c r="T34" s="9">
        <v>482.856425</v>
      </c>
      <c r="U34" s="9">
        <v>431.146545</v>
      </c>
      <c r="V34" s="9">
        <v>387.98598099999998</v>
      </c>
    </row>
    <row r="35" spans="1:22" x14ac:dyDescent="0.25">
      <c r="A35" s="8">
        <v>46022</v>
      </c>
      <c r="B35" s="7" t="s">
        <v>110</v>
      </c>
      <c r="C35" s="7" t="s">
        <v>111</v>
      </c>
      <c r="D35" s="7" t="s">
        <v>54</v>
      </c>
      <c r="E35" s="9">
        <v>460.07785000000001</v>
      </c>
      <c r="F35" s="9">
        <v>4.6075670000000004</v>
      </c>
      <c r="G35" s="9">
        <v>455.470282</v>
      </c>
      <c r="H35" s="9">
        <v>9.2015569999999993</v>
      </c>
      <c r="I35" s="9">
        <v>315.82723199999998</v>
      </c>
      <c r="J35" s="9">
        <v>13.264652999999999</v>
      </c>
      <c r="K35" s="9">
        <v>0.233157</v>
      </c>
      <c r="L35" s="9">
        <v>76.178796000000006</v>
      </c>
      <c r="M35" s="9">
        <v>260.00001099999997</v>
      </c>
      <c r="N35" s="9">
        <v>-219.23512400000001</v>
      </c>
      <c r="O35" s="9">
        <v>0</v>
      </c>
      <c r="P35" s="9">
        <v>-219.23512400000001</v>
      </c>
      <c r="Q35" s="10">
        <v>34</v>
      </c>
      <c r="R35" s="9">
        <v>123.27051</v>
      </c>
      <c r="S35" s="9">
        <v>135.46523099999999</v>
      </c>
      <c r="T35" s="9">
        <v>96.996071999999998</v>
      </c>
      <c r="U35" s="9">
        <v>65.581804000000005</v>
      </c>
      <c r="V35" s="9">
        <v>39.760119000000003</v>
      </c>
    </row>
    <row r="36" spans="1:22" x14ac:dyDescent="0.25">
      <c r="A36" s="8">
        <v>46022</v>
      </c>
      <c r="B36" s="7" t="s">
        <v>112</v>
      </c>
      <c r="C36" s="7" t="s">
        <v>113</v>
      </c>
      <c r="D36" s="7" t="s">
        <v>68</v>
      </c>
      <c r="E36" s="9">
        <v>800.76637200000005</v>
      </c>
      <c r="F36" s="9">
        <v>138.97121100000001</v>
      </c>
      <c r="G36" s="9">
        <v>661.79516100000001</v>
      </c>
      <c r="H36" s="9">
        <v>31.842670999999999</v>
      </c>
      <c r="I36" s="9">
        <v>439.06412899999998</v>
      </c>
      <c r="J36" s="9">
        <v>2.1621069999999998</v>
      </c>
      <c r="K36" s="9">
        <v>-13.231147999999999</v>
      </c>
      <c r="L36" s="9">
        <v>45.440106</v>
      </c>
      <c r="M36" s="9">
        <v>0</v>
      </c>
      <c r="N36" s="9">
        <v>156.51729599999999</v>
      </c>
      <c r="O36" s="9">
        <v>4.2697919999999998</v>
      </c>
      <c r="P36" s="9">
        <v>152.24750299999999</v>
      </c>
      <c r="Q36" s="10">
        <v>26.3</v>
      </c>
      <c r="R36" s="9">
        <v>172.49130199999999</v>
      </c>
      <c r="S36" s="9">
        <v>605.79816300000005</v>
      </c>
      <c r="T36" s="9">
        <v>559.16337999999996</v>
      </c>
      <c r="U36" s="9">
        <v>518.28038900000001</v>
      </c>
      <c r="V36" s="9">
        <v>482.27167700000001</v>
      </c>
    </row>
    <row r="37" spans="1:22" x14ac:dyDescent="0.25">
      <c r="A37" s="8">
        <v>46022</v>
      </c>
      <c r="B37" s="7" t="s">
        <v>114</v>
      </c>
      <c r="C37" s="7" t="s">
        <v>115</v>
      </c>
      <c r="D37" s="7" t="s">
        <v>116</v>
      </c>
      <c r="E37" s="9">
        <v>415.28477800000002</v>
      </c>
      <c r="F37" s="9">
        <v>133.84002799999999</v>
      </c>
      <c r="G37" s="9">
        <v>281.44475</v>
      </c>
      <c r="H37" s="9">
        <v>0</v>
      </c>
      <c r="I37" s="9">
        <v>156.32144</v>
      </c>
      <c r="J37" s="9">
        <v>5.7796459999999996</v>
      </c>
      <c r="K37" s="9">
        <v>-18.247897999999999</v>
      </c>
      <c r="L37" s="9">
        <v>19.265488000000001</v>
      </c>
      <c r="M37" s="9">
        <v>0</v>
      </c>
      <c r="N37" s="9">
        <v>118.32607400000001</v>
      </c>
      <c r="O37" s="9">
        <v>24.648382000000002</v>
      </c>
      <c r="P37" s="9">
        <v>93.677691999999993</v>
      </c>
      <c r="Q37" s="10">
        <v>30</v>
      </c>
      <c r="R37" s="9">
        <v>37.182392</v>
      </c>
      <c r="S37" s="9">
        <v>363.751237</v>
      </c>
      <c r="T37" s="9">
        <v>344.99284399999999</v>
      </c>
      <c r="U37" s="9">
        <v>327.73317700000001</v>
      </c>
      <c r="V37" s="9">
        <v>311.82049799999999</v>
      </c>
    </row>
    <row r="38" spans="1:22" x14ac:dyDescent="0.25">
      <c r="A38" s="8">
        <v>46022</v>
      </c>
      <c r="B38" s="7" t="s">
        <v>117</v>
      </c>
      <c r="C38" s="7" t="s">
        <v>118</v>
      </c>
      <c r="D38" s="7" t="s">
        <v>65</v>
      </c>
      <c r="E38" s="9">
        <v>81.494870000000006</v>
      </c>
      <c r="F38" s="9">
        <v>12.90826</v>
      </c>
      <c r="G38" s="9">
        <v>68.586609999999993</v>
      </c>
      <c r="H38" s="9">
        <v>4.0747340000000003</v>
      </c>
      <c r="I38" s="9">
        <v>66.244670999999997</v>
      </c>
      <c r="J38" s="9">
        <v>3.4220619999999999</v>
      </c>
      <c r="K38" s="9">
        <v>6.8906970000000003</v>
      </c>
      <c r="L38" s="9">
        <v>22</v>
      </c>
      <c r="M38" s="9">
        <v>320</v>
      </c>
      <c r="N38" s="9">
        <v>-354.04555399999998</v>
      </c>
      <c r="O38" s="9">
        <v>0</v>
      </c>
      <c r="P38" s="9">
        <v>-354.04555399999998</v>
      </c>
      <c r="Q38" s="10">
        <v>27</v>
      </c>
      <c r="R38" s="9">
        <v>26.334543</v>
      </c>
      <c r="S38" s="9">
        <v>874.48759299999995</v>
      </c>
      <c r="T38" s="9">
        <v>629.98338200000001</v>
      </c>
      <c r="U38" s="9">
        <v>443.11216300000001</v>
      </c>
      <c r="V38" s="9">
        <v>298.63578699999999</v>
      </c>
    </row>
    <row r="39" spans="1:22" x14ac:dyDescent="0.25">
      <c r="A39" s="8">
        <v>46022</v>
      </c>
      <c r="B39" s="7" t="s">
        <v>119</v>
      </c>
      <c r="C39" s="7" t="s">
        <v>120</v>
      </c>
      <c r="D39" s="7" t="s">
        <v>121</v>
      </c>
      <c r="E39" s="9">
        <v>352.45235700000001</v>
      </c>
      <c r="F39" s="9">
        <v>75.515015000000005</v>
      </c>
      <c r="G39" s="9">
        <v>276.937342</v>
      </c>
      <c r="H39" s="9">
        <v>6.857761</v>
      </c>
      <c r="I39" s="9">
        <v>198.57209800000001</v>
      </c>
      <c r="J39" s="9">
        <v>11.261462</v>
      </c>
      <c r="K39" s="9">
        <v>1.027439</v>
      </c>
      <c r="L39" s="9">
        <v>24.829673</v>
      </c>
      <c r="M39" s="9">
        <v>0</v>
      </c>
      <c r="N39" s="9">
        <v>34.388908999999998</v>
      </c>
      <c r="O39" s="9">
        <v>1.730691</v>
      </c>
      <c r="P39" s="9">
        <v>32.658217999999998</v>
      </c>
      <c r="Q39" s="10">
        <v>22</v>
      </c>
      <c r="R39" s="9">
        <v>52.379241</v>
      </c>
      <c r="S39" s="9">
        <v>357.30386800000002</v>
      </c>
      <c r="T39" s="9">
        <v>303.14415100000002</v>
      </c>
      <c r="U39" s="9">
        <v>261.52679799999999</v>
      </c>
      <c r="V39" s="9">
        <v>228.931985</v>
      </c>
    </row>
    <row r="40" spans="1:22" x14ac:dyDescent="0.25">
      <c r="A40" s="8">
        <v>46022</v>
      </c>
      <c r="B40" s="7" t="s">
        <v>122</v>
      </c>
      <c r="C40" s="7" t="s">
        <v>123</v>
      </c>
      <c r="D40" s="7" t="s">
        <v>65</v>
      </c>
      <c r="E40" s="9">
        <v>876.31293300000004</v>
      </c>
      <c r="F40" s="9">
        <v>74.252886000000004</v>
      </c>
      <c r="G40" s="9">
        <v>802.06004700000005</v>
      </c>
      <c r="H40" s="9">
        <v>4.4018259999999998</v>
      </c>
      <c r="I40" s="9">
        <v>796.27906099999996</v>
      </c>
      <c r="J40" s="9">
        <v>46.315900999999997</v>
      </c>
      <c r="K40" s="9">
        <v>1.507153</v>
      </c>
      <c r="L40" s="9">
        <v>105.33242199999999</v>
      </c>
      <c r="M40" s="9">
        <v>0</v>
      </c>
      <c r="N40" s="9">
        <v>-151.77631500000001</v>
      </c>
      <c r="O40" s="9">
        <v>0</v>
      </c>
      <c r="P40" s="9">
        <v>-151.77631500000001</v>
      </c>
      <c r="Q40" s="10">
        <v>27</v>
      </c>
      <c r="R40" s="9">
        <v>112.699685</v>
      </c>
      <c r="S40" s="9">
        <v>-1562.044245</v>
      </c>
      <c r="T40" s="9">
        <v>-1328.392012</v>
      </c>
      <c r="U40" s="9">
        <v>-1148.7156729999999</v>
      </c>
      <c r="V40" s="9">
        <v>-1007.858985</v>
      </c>
    </row>
    <row r="41" spans="1:22" x14ac:dyDescent="0.25">
      <c r="A41" s="8">
        <v>46022</v>
      </c>
      <c r="B41" s="7" t="s">
        <v>124</v>
      </c>
      <c r="C41" s="7" t="s">
        <v>125</v>
      </c>
      <c r="D41" s="7" t="s">
        <v>126</v>
      </c>
      <c r="E41" s="9">
        <v>799.96361400000001</v>
      </c>
      <c r="F41" s="9">
        <v>366.060137</v>
      </c>
      <c r="G41" s="9">
        <v>433.90347700000001</v>
      </c>
      <c r="H41" s="9">
        <v>3.1384110000000001</v>
      </c>
      <c r="I41" s="9">
        <v>355.293588</v>
      </c>
      <c r="J41" s="9">
        <v>23.025010999999999</v>
      </c>
      <c r="K41" s="9">
        <v>29.290244999999999</v>
      </c>
      <c r="L41" s="9">
        <v>17.934988000000001</v>
      </c>
      <c r="M41" s="9">
        <v>0</v>
      </c>
      <c r="N41" s="9">
        <v>5.2212360000000002</v>
      </c>
      <c r="O41" s="9">
        <v>0</v>
      </c>
      <c r="P41" s="9">
        <v>5.2212360000000002</v>
      </c>
      <c r="Q41" s="10">
        <v>35</v>
      </c>
      <c r="R41" s="9">
        <v>31.240386999999998</v>
      </c>
      <c r="S41" s="9">
        <v>578.02694599999995</v>
      </c>
      <c r="T41" s="9">
        <v>484.413591</v>
      </c>
      <c r="U41" s="9">
        <v>411.99355100000002</v>
      </c>
      <c r="V41" s="9">
        <v>354.96853199999998</v>
      </c>
    </row>
    <row r="42" spans="1:22" x14ac:dyDescent="0.25">
      <c r="A42" s="8">
        <v>46022</v>
      </c>
      <c r="B42" s="7" t="s">
        <v>127</v>
      </c>
      <c r="C42" s="7" t="s">
        <v>128</v>
      </c>
      <c r="D42" s="7" t="s">
        <v>121</v>
      </c>
      <c r="E42" s="9">
        <v>1264.7558100000001</v>
      </c>
      <c r="F42" s="9">
        <v>269.254346</v>
      </c>
      <c r="G42" s="9">
        <v>995.50146500000005</v>
      </c>
      <c r="H42" s="9">
        <v>64.882853999999995</v>
      </c>
      <c r="I42" s="9">
        <v>624.69885999999997</v>
      </c>
      <c r="J42" s="9">
        <v>7.3814120000000001</v>
      </c>
      <c r="K42" s="9">
        <v>-55.790751</v>
      </c>
      <c r="L42" s="9">
        <v>86.497895</v>
      </c>
      <c r="M42" s="9">
        <v>0</v>
      </c>
      <c r="N42" s="9">
        <v>267.83119499999998</v>
      </c>
      <c r="O42" s="9">
        <v>39.269483999999999</v>
      </c>
      <c r="P42" s="9">
        <v>228.561711</v>
      </c>
      <c r="Q42" s="10">
        <v>25</v>
      </c>
      <c r="R42" s="9">
        <v>141.46040300000001</v>
      </c>
      <c r="S42" s="9">
        <v>1381.7537259999999</v>
      </c>
      <c r="T42" s="9">
        <v>1237.3368720000001</v>
      </c>
      <c r="U42" s="9">
        <v>1116.7410359999999</v>
      </c>
      <c r="V42" s="9">
        <v>1015.137062</v>
      </c>
    </row>
    <row r="43" spans="1:22" x14ac:dyDescent="0.25">
      <c r="A43" s="8">
        <v>46022</v>
      </c>
      <c r="B43" s="7" t="s">
        <v>129</v>
      </c>
      <c r="C43" s="7" t="s">
        <v>130</v>
      </c>
      <c r="D43" s="7" t="s">
        <v>57</v>
      </c>
      <c r="E43" s="9">
        <v>299.036406</v>
      </c>
      <c r="F43" s="9">
        <v>16.041011000000001</v>
      </c>
      <c r="G43" s="9">
        <v>282.99539499999997</v>
      </c>
      <c r="H43" s="9">
        <v>0</v>
      </c>
      <c r="I43" s="9">
        <v>263.94083799999999</v>
      </c>
      <c r="J43" s="9">
        <v>23.202846000000001</v>
      </c>
      <c r="K43" s="9">
        <v>-11.312516</v>
      </c>
      <c r="L43" s="9">
        <v>72.172103000000007</v>
      </c>
      <c r="M43" s="9">
        <v>13.657182000000001</v>
      </c>
      <c r="N43" s="9">
        <v>-78.665058999999999</v>
      </c>
      <c r="O43" s="9">
        <v>0</v>
      </c>
      <c r="P43" s="9">
        <v>-78.665058999999999</v>
      </c>
      <c r="Q43" s="10">
        <v>27</v>
      </c>
      <c r="R43" s="9">
        <v>31.755725000000002</v>
      </c>
      <c r="S43" s="9">
        <v>433.402671</v>
      </c>
      <c r="T43" s="9">
        <v>305.98189000000002</v>
      </c>
      <c r="U43" s="9">
        <v>213.42122800000001</v>
      </c>
      <c r="V43" s="9">
        <v>145.28578200000001</v>
      </c>
    </row>
    <row r="44" spans="1:22" x14ac:dyDescent="0.25">
      <c r="A44" s="8">
        <v>46022</v>
      </c>
      <c r="B44" s="7" t="s">
        <v>131</v>
      </c>
      <c r="C44" s="7" t="s">
        <v>132</v>
      </c>
      <c r="D44" s="7" t="s">
        <v>51</v>
      </c>
      <c r="E44" s="9">
        <v>49.326742000000003</v>
      </c>
      <c r="F44" s="9">
        <v>12.321496</v>
      </c>
      <c r="G44" s="9">
        <v>37.005246</v>
      </c>
      <c r="H44" s="9">
        <v>1.0205010000000001</v>
      </c>
      <c r="I44" s="9">
        <v>14.240717999999999</v>
      </c>
      <c r="J44" s="9">
        <v>2.261031</v>
      </c>
      <c r="K44" s="9">
        <v>7.8960000000000002E-3</v>
      </c>
      <c r="L44" s="9">
        <v>1.713352</v>
      </c>
      <c r="M44" s="9">
        <v>0</v>
      </c>
      <c r="N44" s="9">
        <v>17.761748000000001</v>
      </c>
      <c r="O44" s="9">
        <v>4.8160309999999997</v>
      </c>
      <c r="P44" s="9">
        <v>12.945717</v>
      </c>
      <c r="Q44" s="10">
        <v>25</v>
      </c>
      <c r="R44" s="9">
        <v>0.21887400000000001</v>
      </c>
      <c r="S44" s="9">
        <v>116.383275</v>
      </c>
      <c r="T44" s="9">
        <v>102.621758</v>
      </c>
      <c r="U44" s="9">
        <v>91.289927000000006</v>
      </c>
      <c r="V44" s="9">
        <v>81.870345999999998</v>
      </c>
    </row>
    <row r="45" spans="1:22" x14ac:dyDescent="0.25">
      <c r="A45" s="8">
        <v>46022</v>
      </c>
      <c r="B45" s="7" t="s">
        <v>133</v>
      </c>
      <c r="C45" s="7" t="s">
        <v>134</v>
      </c>
      <c r="D45" s="7" t="s">
        <v>54</v>
      </c>
      <c r="E45" s="9">
        <v>527.55573900000002</v>
      </c>
      <c r="F45" s="9">
        <v>7.1853939999999996</v>
      </c>
      <c r="G45" s="9">
        <v>520.37034500000004</v>
      </c>
      <c r="H45" s="9">
        <v>10.551137000000001</v>
      </c>
      <c r="I45" s="9">
        <v>369.23083800000001</v>
      </c>
      <c r="J45" s="9">
        <v>21.657475999999999</v>
      </c>
      <c r="K45" s="9">
        <v>-3.0350999999999999</v>
      </c>
      <c r="L45" s="9">
        <v>26.345344999999998</v>
      </c>
      <c r="M45" s="9">
        <v>0</v>
      </c>
      <c r="N45" s="9">
        <v>95.620648000000003</v>
      </c>
      <c r="O45" s="9">
        <v>8.0121760000000002</v>
      </c>
      <c r="P45" s="9">
        <v>87.608472000000006</v>
      </c>
      <c r="Q45" s="10">
        <v>34</v>
      </c>
      <c r="R45" s="9">
        <v>95.365669999999994</v>
      </c>
      <c r="S45" s="9">
        <v>585.35112400000003</v>
      </c>
      <c r="T45" s="9">
        <v>526.11926000000005</v>
      </c>
      <c r="U45" s="9">
        <v>476.50839300000001</v>
      </c>
      <c r="V45" s="9">
        <v>434.562746</v>
      </c>
    </row>
    <row r="46" spans="1:22" x14ac:dyDescent="0.25">
      <c r="A46" s="8">
        <v>46022</v>
      </c>
      <c r="B46" s="7" t="s">
        <v>135</v>
      </c>
      <c r="C46" s="7" t="s">
        <v>136</v>
      </c>
      <c r="D46" s="7" t="s">
        <v>65</v>
      </c>
      <c r="E46" s="9">
        <v>478.31796200000002</v>
      </c>
      <c r="F46" s="9">
        <v>75.862949</v>
      </c>
      <c r="G46" s="9">
        <v>402.45501300000001</v>
      </c>
      <c r="H46" s="9">
        <v>9.8082759999999993</v>
      </c>
      <c r="I46" s="9">
        <v>104.537177</v>
      </c>
      <c r="J46" s="9">
        <v>0.91490499999999997</v>
      </c>
      <c r="K46" s="9">
        <v>-0.30781999999999998</v>
      </c>
      <c r="L46" s="9">
        <v>33.145111999999997</v>
      </c>
      <c r="M46" s="9">
        <v>0</v>
      </c>
      <c r="N46" s="9">
        <v>254.35736199999999</v>
      </c>
      <c r="O46" s="9">
        <v>58.204821000000003</v>
      </c>
      <c r="P46" s="9">
        <v>196.15254100000001</v>
      </c>
      <c r="Q46" s="10">
        <v>27</v>
      </c>
      <c r="R46" s="9">
        <v>71.621244000000004</v>
      </c>
      <c r="S46" s="9">
        <v>2115.638402</v>
      </c>
      <c r="T46" s="9">
        <v>1793.227112</v>
      </c>
      <c r="U46" s="9">
        <v>1545.7888660000001</v>
      </c>
      <c r="V46" s="9">
        <v>1352.226484</v>
      </c>
    </row>
    <row r="47" spans="1:22" x14ac:dyDescent="0.25">
      <c r="A47" s="8">
        <v>46022</v>
      </c>
      <c r="B47" s="7" t="s">
        <v>137</v>
      </c>
      <c r="C47" s="7" t="s">
        <v>138</v>
      </c>
      <c r="D47" s="7" t="s">
        <v>139</v>
      </c>
      <c r="E47" s="9">
        <v>590.76168299999995</v>
      </c>
      <c r="F47" s="9">
        <v>43.390442</v>
      </c>
      <c r="G47" s="9">
        <v>547.37124100000005</v>
      </c>
      <c r="H47" s="9">
        <v>47.260877000000001</v>
      </c>
      <c r="I47" s="9">
        <v>321.31326300000001</v>
      </c>
      <c r="J47" s="9">
        <v>8.0000009999999993</v>
      </c>
      <c r="K47" s="9">
        <v>7.5090149999999998</v>
      </c>
      <c r="L47" s="9">
        <v>19</v>
      </c>
      <c r="M47" s="9">
        <v>3</v>
      </c>
      <c r="N47" s="9">
        <v>141.28808599999999</v>
      </c>
      <c r="O47" s="9">
        <v>59.778984999999999</v>
      </c>
      <c r="P47" s="9">
        <v>81.509101000000001</v>
      </c>
      <c r="Q47" s="10">
        <v>35</v>
      </c>
      <c r="R47" s="9">
        <v>0</v>
      </c>
      <c r="S47" s="9">
        <v>190.96037899999999</v>
      </c>
      <c r="T47" s="9">
        <v>186.393066</v>
      </c>
      <c r="U47" s="9">
        <v>181.73984400000001</v>
      </c>
      <c r="V47" s="9">
        <v>177.06367</v>
      </c>
    </row>
    <row r="48" spans="1:22" x14ac:dyDescent="0.25">
      <c r="A48" s="8">
        <v>46022</v>
      </c>
      <c r="B48" s="7" t="s">
        <v>140</v>
      </c>
      <c r="C48" s="7" t="s">
        <v>141</v>
      </c>
      <c r="D48" s="7" t="s">
        <v>51</v>
      </c>
      <c r="E48" s="9">
        <v>150.065946</v>
      </c>
      <c r="F48" s="9">
        <v>36.323438000000003</v>
      </c>
      <c r="G48" s="9">
        <v>113.742508</v>
      </c>
      <c r="H48" s="9">
        <v>9.0039909999999992</v>
      </c>
      <c r="I48" s="9">
        <v>46.796804999999999</v>
      </c>
      <c r="J48" s="9">
        <v>5.4834630000000004</v>
      </c>
      <c r="K48" s="9">
        <v>1.6712340000000001</v>
      </c>
      <c r="L48" s="9">
        <v>1.622533</v>
      </c>
      <c r="M48" s="9">
        <v>0</v>
      </c>
      <c r="N48" s="9">
        <v>49.164482</v>
      </c>
      <c r="O48" s="9">
        <v>6.9438930000000001</v>
      </c>
      <c r="P48" s="9">
        <v>42.220587999999999</v>
      </c>
      <c r="Q48" s="10">
        <v>15</v>
      </c>
      <c r="R48" s="9">
        <v>6.1656259999999996</v>
      </c>
      <c r="S48" s="9">
        <v>355.26693899999998</v>
      </c>
      <c r="T48" s="9">
        <v>316.72362500000003</v>
      </c>
      <c r="U48" s="9">
        <v>284.48176100000001</v>
      </c>
      <c r="V48" s="9">
        <v>257.28963099999999</v>
      </c>
    </row>
    <row r="49" spans="1:22" x14ac:dyDescent="0.25">
      <c r="A49" s="8">
        <v>46022</v>
      </c>
      <c r="B49" s="7" t="s">
        <v>142</v>
      </c>
      <c r="C49" s="7" t="s">
        <v>143</v>
      </c>
      <c r="D49" s="7" t="s">
        <v>65</v>
      </c>
      <c r="E49" s="9">
        <v>162.19894600000001</v>
      </c>
      <c r="F49" s="9">
        <v>31.674036999999998</v>
      </c>
      <c r="G49" s="9">
        <v>130.52490800000001</v>
      </c>
      <c r="H49" s="9">
        <v>0.88291200000000003</v>
      </c>
      <c r="I49" s="9">
        <v>176.24837299999999</v>
      </c>
      <c r="J49" s="9">
        <v>1.910037</v>
      </c>
      <c r="K49" s="9">
        <v>3.372169</v>
      </c>
      <c r="L49" s="9">
        <v>5.615437</v>
      </c>
      <c r="M49" s="9">
        <v>90.517210000000006</v>
      </c>
      <c r="N49" s="9">
        <v>-148.02122900000001</v>
      </c>
      <c r="O49" s="9">
        <v>0</v>
      </c>
      <c r="P49" s="9">
        <v>-148.02122900000001</v>
      </c>
      <c r="Q49" s="10">
        <v>27</v>
      </c>
      <c r="R49" s="9">
        <v>30.915177</v>
      </c>
      <c r="S49" s="9">
        <v>-682.22093600000005</v>
      </c>
      <c r="T49" s="9">
        <v>-590.039356</v>
      </c>
      <c r="U49" s="9">
        <v>-518.87174400000004</v>
      </c>
      <c r="V49" s="9">
        <v>-462.83836700000001</v>
      </c>
    </row>
    <row r="50" spans="1:22" x14ac:dyDescent="0.25">
      <c r="A50" s="8">
        <v>46022</v>
      </c>
      <c r="B50" s="7" t="s">
        <v>144</v>
      </c>
      <c r="C50" s="7" t="s">
        <v>145</v>
      </c>
      <c r="D50" s="7" t="s">
        <v>126</v>
      </c>
      <c r="E50" s="9">
        <v>576.45222899999999</v>
      </c>
      <c r="F50" s="9">
        <v>152.64452299999999</v>
      </c>
      <c r="G50" s="9">
        <v>423.807706</v>
      </c>
      <c r="H50" s="9">
        <v>0</v>
      </c>
      <c r="I50" s="9">
        <v>515.481583</v>
      </c>
      <c r="J50" s="9">
        <v>15.951033000000001</v>
      </c>
      <c r="K50" s="9">
        <v>-21.194997999999998</v>
      </c>
      <c r="L50" s="9">
        <v>72.134640000000005</v>
      </c>
      <c r="M50" s="9">
        <v>0</v>
      </c>
      <c r="N50" s="9">
        <v>-158.56455099999999</v>
      </c>
      <c r="O50" s="9">
        <v>0</v>
      </c>
      <c r="P50" s="9">
        <v>-158.56455099999999</v>
      </c>
      <c r="Q50" s="10">
        <v>35</v>
      </c>
      <c r="R50" s="9">
        <v>141.17779200000001</v>
      </c>
      <c r="S50" s="9">
        <v>-1591.631167</v>
      </c>
      <c r="T50" s="9">
        <v>-1403.6001209999999</v>
      </c>
      <c r="U50" s="9">
        <v>-1248.2890130000001</v>
      </c>
      <c r="V50" s="9">
        <v>-1118.8541070000001</v>
      </c>
    </row>
    <row r="51" spans="1:22" x14ac:dyDescent="0.25">
      <c r="A51" s="8">
        <v>46022</v>
      </c>
      <c r="B51" s="7" t="s">
        <v>146</v>
      </c>
      <c r="C51" s="7" t="s">
        <v>147</v>
      </c>
      <c r="D51" s="7" t="s">
        <v>60</v>
      </c>
      <c r="E51" s="9">
        <v>221.82914</v>
      </c>
      <c r="F51" s="9">
        <v>90.359645</v>
      </c>
      <c r="G51" s="9">
        <v>131.46949499999999</v>
      </c>
      <c r="H51" s="9">
        <v>0</v>
      </c>
      <c r="I51" s="9">
        <v>46.335889000000002</v>
      </c>
      <c r="J51" s="9">
        <v>3.5784039999999999</v>
      </c>
      <c r="K51" s="9">
        <v>-6.7769649999999997</v>
      </c>
      <c r="L51" s="9">
        <v>4.6367659999999997</v>
      </c>
      <c r="M51" s="9">
        <v>0</v>
      </c>
      <c r="N51" s="9">
        <v>83.695401000000004</v>
      </c>
      <c r="O51" s="9">
        <v>23.495635</v>
      </c>
      <c r="P51" s="9">
        <v>60.199765999999997</v>
      </c>
      <c r="Q51" s="10">
        <v>30.620000839233398</v>
      </c>
      <c r="R51" s="9">
        <v>4.8222370000000003</v>
      </c>
      <c r="S51" s="9">
        <v>469.97408000000001</v>
      </c>
      <c r="T51" s="9">
        <v>416.61583400000001</v>
      </c>
      <c r="U51" s="9">
        <v>372.430409</v>
      </c>
      <c r="V51" s="9">
        <v>335.50897400000002</v>
      </c>
    </row>
    <row r="52" spans="1:22" x14ac:dyDescent="0.25">
      <c r="A52" s="8">
        <v>46022</v>
      </c>
      <c r="B52" s="7" t="s">
        <v>148</v>
      </c>
      <c r="C52" s="7" t="s">
        <v>149</v>
      </c>
      <c r="D52" s="7" t="s">
        <v>54</v>
      </c>
      <c r="E52" s="9">
        <v>285.59869200000003</v>
      </c>
      <c r="F52" s="9">
        <v>42.560208000000003</v>
      </c>
      <c r="G52" s="9">
        <v>243.03848400000001</v>
      </c>
      <c r="H52" s="9">
        <v>15.144508999999999</v>
      </c>
      <c r="I52" s="9">
        <v>90.527006</v>
      </c>
      <c r="J52" s="9">
        <v>8.5000009999999993</v>
      </c>
      <c r="K52" s="9">
        <v>-7.7597160000000001</v>
      </c>
      <c r="L52" s="9">
        <v>36.210800999999996</v>
      </c>
      <c r="M52" s="9">
        <v>0</v>
      </c>
      <c r="N52" s="9">
        <v>100.415882</v>
      </c>
      <c r="O52" s="9">
        <v>19.726499</v>
      </c>
      <c r="P52" s="9">
        <v>80.689383000000007</v>
      </c>
      <c r="Q52" s="10">
        <v>34</v>
      </c>
      <c r="R52" s="9">
        <v>70.847852000000003</v>
      </c>
      <c r="S52" s="9">
        <v>282.37928499999998</v>
      </c>
      <c r="T52" s="9">
        <v>268.88841400000001</v>
      </c>
      <c r="U52" s="9">
        <v>256.42336299999999</v>
      </c>
      <c r="V52" s="9">
        <v>244.88378</v>
      </c>
    </row>
    <row r="53" spans="1:22" x14ac:dyDescent="0.25">
      <c r="A53" s="8">
        <v>46022</v>
      </c>
      <c r="B53" s="7" t="s">
        <v>150</v>
      </c>
      <c r="C53" s="7" t="s">
        <v>151</v>
      </c>
      <c r="D53" s="7" t="s">
        <v>152</v>
      </c>
      <c r="E53" s="9">
        <v>299.12463400000001</v>
      </c>
      <c r="F53" s="9">
        <v>169.37151399999999</v>
      </c>
      <c r="G53" s="9">
        <v>129.75312</v>
      </c>
      <c r="H53" s="9">
        <v>14.956283000000001</v>
      </c>
      <c r="I53" s="9">
        <v>116.61171299999999</v>
      </c>
      <c r="J53" s="9">
        <v>7.6467029999999996</v>
      </c>
      <c r="K53" s="9">
        <v>4.7385910000000004</v>
      </c>
      <c r="L53" s="9">
        <v>29.152926000000001</v>
      </c>
      <c r="M53" s="9">
        <v>0</v>
      </c>
      <c r="N53" s="9">
        <v>-43.353096000000001</v>
      </c>
      <c r="O53" s="9">
        <v>0</v>
      </c>
      <c r="P53" s="9">
        <v>-43.353096000000001</v>
      </c>
      <c r="Q53" s="10">
        <v>35</v>
      </c>
      <c r="R53" s="9">
        <v>51.866190000000003</v>
      </c>
      <c r="S53" s="9">
        <v>-11.122064</v>
      </c>
      <c r="T53" s="9">
        <v>-16.215211</v>
      </c>
      <c r="U53" s="9">
        <v>-20.402802000000001</v>
      </c>
      <c r="V53" s="9">
        <v>-23.83821</v>
      </c>
    </row>
    <row r="54" spans="1:22" x14ac:dyDescent="0.25">
      <c r="A54" s="8">
        <v>46022</v>
      </c>
      <c r="B54" s="7" t="s">
        <v>153</v>
      </c>
      <c r="C54" s="7" t="s">
        <v>154</v>
      </c>
      <c r="D54" s="7" t="s">
        <v>65</v>
      </c>
      <c r="E54" s="9">
        <v>549.262068</v>
      </c>
      <c r="F54" s="9">
        <v>41.136339999999997</v>
      </c>
      <c r="G54" s="9">
        <v>508.12572799999998</v>
      </c>
      <c r="H54" s="9">
        <v>0.93157900000000005</v>
      </c>
      <c r="I54" s="9">
        <v>263.28466600000002</v>
      </c>
      <c r="J54" s="9">
        <v>11.661356</v>
      </c>
      <c r="K54" s="9">
        <v>-17.012794</v>
      </c>
      <c r="L54" s="9">
        <v>6.5823330000000002</v>
      </c>
      <c r="M54" s="9">
        <v>5.2396969999999996</v>
      </c>
      <c r="N54" s="9">
        <v>237.43888999999999</v>
      </c>
      <c r="O54" s="9">
        <v>58.727843</v>
      </c>
      <c r="P54" s="9">
        <v>178.71104700000001</v>
      </c>
      <c r="Q54" s="10">
        <v>27</v>
      </c>
      <c r="R54" s="9">
        <v>14.737596999999999</v>
      </c>
      <c r="S54" s="9">
        <v>914.18244400000003</v>
      </c>
      <c r="T54" s="9">
        <v>844.30166299999996</v>
      </c>
      <c r="U54" s="9">
        <v>783.130178</v>
      </c>
      <c r="V54" s="9">
        <v>729.27955599999996</v>
      </c>
    </row>
    <row r="55" spans="1:22" x14ac:dyDescent="0.25">
      <c r="A55" s="8">
        <v>46022</v>
      </c>
      <c r="B55" s="7" t="s">
        <v>155</v>
      </c>
      <c r="C55" s="7" t="s">
        <v>156</v>
      </c>
      <c r="D55" s="7" t="s">
        <v>121</v>
      </c>
      <c r="E55" s="9">
        <v>1697.2129299999999</v>
      </c>
      <c r="F55" s="9">
        <v>209.06066000000001</v>
      </c>
      <c r="G55" s="9">
        <v>1488.1522709999999</v>
      </c>
      <c r="H55" s="9">
        <v>27.289294000000002</v>
      </c>
      <c r="I55" s="9">
        <v>575.36678900000004</v>
      </c>
      <c r="J55" s="9">
        <v>18.253699999999998</v>
      </c>
      <c r="K55" s="9">
        <v>7.2972729999999997</v>
      </c>
      <c r="L55" s="9">
        <v>12.502534000000001</v>
      </c>
      <c r="M55" s="9">
        <v>0</v>
      </c>
      <c r="N55" s="9">
        <v>847.44268</v>
      </c>
      <c r="O55" s="9">
        <v>184.98747700000001</v>
      </c>
      <c r="P55" s="9">
        <v>662.45520199999999</v>
      </c>
      <c r="Q55" s="10">
        <v>22</v>
      </c>
      <c r="R55" s="9">
        <v>26.390317</v>
      </c>
      <c r="S55" s="9">
        <v>7351.8821189999999</v>
      </c>
      <c r="T55" s="9">
        <v>6247.7485800000004</v>
      </c>
      <c r="U55" s="9">
        <v>5390.6915040000004</v>
      </c>
      <c r="V55" s="9">
        <v>4714.8515280000001</v>
      </c>
    </row>
    <row r="56" spans="1:22" x14ac:dyDescent="0.25">
      <c r="A56" s="8">
        <v>46022</v>
      </c>
      <c r="B56" s="7" t="s">
        <v>157</v>
      </c>
      <c r="C56" s="7" t="s">
        <v>158</v>
      </c>
      <c r="D56" s="7" t="s">
        <v>116</v>
      </c>
      <c r="E56" s="9">
        <v>603.31677500000001</v>
      </c>
      <c r="F56" s="9">
        <v>139.800757</v>
      </c>
      <c r="G56" s="9">
        <v>463.51601799999997</v>
      </c>
      <c r="H56" s="9">
        <v>22.063483000000002</v>
      </c>
      <c r="I56" s="9">
        <v>152.996756</v>
      </c>
      <c r="J56" s="9">
        <v>7.5954740000000003</v>
      </c>
      <c r="K56" s="9">
        <v>-8.8429380000000002</v>
      </c>
      <c r="L56" s="9">
        <v>20.254595999999999</v>
      </c>
      <c r="M56" s="9">
        <v>0</v>
      </c>
      <c r="N56" s="9">
        <v>269.44864699999999</v>
      </c>
      <c r="O56" s="9">
        <v>50.332546999999998</v>
      </c>
      <c r="P56" s="9">
        <v>219.11609899999999</v>
      </c>
      <c r="Q56" s="10">
        <v>25</v>
      </c>
      <c r="R56" s="9">
        <v>79.530116000000007</v>
      </c>
      <c r="S56" s="9">
        <v>2027.901055</v>
      </c>
      <c r="T56" s="9">
        <v>1767.197349</v>
      </c>
      <c r="U56" s="9">
        <v>1556.894372</v>
      </c>
      <c r="V56" s="9">
        <v>1385.2501319999999</v>
      </c>
    </row>
    <row r="57" spans="1:22" x14ac:dyDescent="0.25">
      <c r="A57" s="8">
        <v>46022</v>
      </c>
      <c r="B57" s="7" t="s">
        <v>159</v>
      </c>
      <c r="C57" s="7" t="s">
        <v>160</v>
      </c>
      <c r="D57" s="7" t="s">
        <v>161</v>
      </c>
      <c r="E57" s="9">
        <v>659.75013200000001</v>
      </c>
      <c r="F57" s="9">
        <v>85.931319000000002</v>
      </c>
      <c r="G57" s="9">
        <v>573.81881299999998</v>
      </c>
      <c r="H57" s="9">
        <v>0</v>
      </c>
      <c r="I57" s="9">
        <v>448.86503299999998</v>
      </c>
      <c r="J57" s="9">
        <v>25.839676000000001</v>
      </c>
      <c r="K57" s="9">
        <v>-50.066937000000003</v>
      </c>
      <c r="L57" s="9">
        <v>75.978255000000004</v>
      </c>
      <c r="M57" s="9">
        <v>0</v>
      </c>
      <c r="N57" s="9">
        <v>73.202783999999994</v>
      </c>
      <c r="O57" s="9">
        <v>0</v>
      </c>
      <c r="P57" s="9">
        <v>73.202783999999994</v>
      </c>
      <c r="Q57" s="10">
        <v>20</v>
      </c>
      <c r="R57" s="9">
        <v>122.730766</v>
      </c>
      <c r="S57" s="9">
        <v>250.691079</v>
      </c>
      <c r="T57" s="9">
        <v>226.15006199999999</v>
      </c>
      <c r="U57" s="9">
        <v>205.73857599999999</v>
      </c>
      <c r="V57" s="9">
        <v>188.600076</v>
      </c>
    </row>
    <row r="58" spans="1:22" x14ac:dyDescent="0.25">
      <c r="A58" s="8">
        <v>46022</v>
      </c>
      <c r="B58" s="7" t="s">
        <v>162</v>
      </c>
      <c r="C58" s="7" t="s">
        <v>163</v>
      </c>
      <c r="D58" s="7" t="s">
        <v>105</v>
      </c>
      <c r="E58" s="9">
        <v>333.31674099999998</v>
      </c>
      <c r="F58" s="9">
        <v>48.591735999999997</v>
      </c>
      <c r="G58" s="9">
        <v>284.72500500000001</v>
      </c>
      <c r="H58" s="9">
        <v>8.0348450000000007</v>
      </c>
      <c r="I58" s="9">
        <v>193.72932299999999</v>
      </c>
      <c r="J58" s="9">
        <v>8.2626259999999991</v>
      </c>
      <c r="K58" s="9">
        <v>-6.6004709999999998</v>
      </c>
      <c r="L58" s="9">
        <v>35.608665999999999</v>
      </c>
      <c r="M58" s="9">
        <v>6.5181959999999997</v>
      </c>
      <c r="N58" s="9">
        <v>39.171819999999997</v>
      </c>
      <c r="O58" s="9">
        <v>5.1358569999999997</v>
      </c>
      <c r="P58" s="9">
        <v>34.035963000000002</v>
      </c>
      <c r="Q58" s="10">
        <v>24.72</v>
      </c>
      <c r="R58" s="9">
        <v>53.922091999999999</v>
      </c>
      <c r="S58" s="9">
        <v>316.38144899999998</v>
      </c>
      <c r="T58" s="9">
        <v>276.21061700000001</v>
      </c>
      <c r="U58" s="9">
        <v>243.581276</v>
      </c>
      <c r="V58" s="9">
        <v>216.793631</v>
      </c>
    </row>
    <row r="59" spans="1:22" x14ac:dyDescent="0.25">
      <c r="A59" s="8">
        <v>46022</v>
      </c>
      <c r="B59" s="7" t="s">
        <v>164</v>
      </c>
      <c r="C59" s="7" t="s">
        <v>165</v>
      </c>
      <c r="D59" s="7" t="s">
        <v>65</v>
      </c>
      <c r="E59" s="9">
        <v>567.336005</v>
      </c>
      <c r="F59" s="9">
        <v>112.68767800000001</v>
      </c>
      <c r="G59" s="9">
        <v>454.64832699999999</v>
      </c>
      <c r="H59" s="9">
        <v>4.0867950000000004</v>
      </c>
      <c r="I59" s="9">
        <v>86.657442000000003</v>
      </c>
      <c r="J59" s="9">
        <v>14.375183</v>
      </c>
      <c r="K59" s="9">
        <v>30.480433999999999</v>
      </c>
      <c r="L59" s="9">
        <v>38.271503000000003</v>
      </c>
      <c r="M59" s="9">
        <v>90.115268</v>
      </c>
      <c r="N59" s="9">
        <v>190.66170199999999</v>
      </c>
      <c r="O59" s="9">
        <v>90.997804000000002</v>
      </c>
      <c r="P59" s="9">
        <v>99.663897000000006</v>
      </c>
      <c r="Q59" s="10">
        <v>27</v>
      </c>
      <c r="R59" s="9">
        <v>12.500000999999999</v>
      </c>
      <c r="S59" s="9">
        <v>3579.1793299999999</v>
      </c>
      <c r="T59" s="9">
        <v>2994.8173510000001</v>
      </c>
      <c r="U59" s="9">
        <v>2547.7174180000002</v>
      </c>
      <c r="V59" s="9">
        <v>2199.1754409999999</v>
      </c>
    </row>
    <row r="60" spans="1:22" x14ac:dyDescent="0.25">
      <c r="A60" s="8">
        <v>46022</v>
      </c>
      <c r="B60" s="7" t="s">
        <v>166</v>
      </c>
      <c r="C60" s="7" t="s">
        <v>167</v>
      </c>
      <c r="D60" s="7" t="s">
        <v>105</v>
      </c>
      <c r="E60" s="9">
        <v>931.56297400000005</v>
      </c>
      <c r="F60" s="9">
        <v>109.743002</v>
      </c>
      <c r="G60" s="9">
        <v>821.81997100000001</v>
      </c>
      <c r="H60" s="9">
        <v>30.642797000000002</v>
      </c>
      <c r="I60" s="9">
        <v>453.97171800000001</v>
      </c>
      <c r="J60" s="9">
        <v>45.634579000000002</v>
      </c>
      <c r="K60" s="9">
        <v>23.047618</v>
      </c>
      <c r="L60" s="9">
        <v>122.497575</v>
      </c>
      <c r="M60" s="9">
        <v>99.999998000000005</v>
      </c>
      <c r="N60" s="9">
        <v>46.025686</v>
      </c>
      <c r="O60" s="9">
        <v>27.277087999999999</v>
      </c>
      <c r="P60" s="9">
        <v>18.748598999999999</v>
      </c>
      <c r="Q60" s="10">
        <v>25</v>
      </c>
      <c r="R60" s="9">
        <v>182.46252799999999</v>
      </c>
      <c r="S60" s="9">
        <v>1306.010933</v>
      </c>
      <c r="T60" s="9">
        <v>1108.7061409999999</v>
      </c>
      <c r="U60" s="9">
        <v>954.23820699999999</v>
      </c>
      <c r="V60" s="9">
        <v>831.40682100000004</v>
      </c>
    </row>
    <row r="61" spans="1:22" x14ac:dyDescent="0.25">
      <c r="A61" s="8">
        <v>46022</v>
      </c>
      <c r="B61" s="7" t="s">
        <v>168</v>
      </c>
      <c r="C61" s="7" t="s">
        <v>169</v>
      </c>
      <c r="D61" s="7" t="s">
        <v>161</v>
      </c>
      <c r="E61" s="9">
        <v>456.94987500000002</v>
      </c>
      <c r="F61" s="9">
        <v>87.064814999999996</v>
      </c>
      <c r="G61" s="9">
        <v>369.88506000000001</v>
      </c>
      <c r="H61" s="9">
        <v>0</v>
      </c>
      <c r="I61" s="9">
        <v>52.881115000000001</v>
      </c>
      <c r="J61" s="9">
        <v>6.5000049999999998</v>
      </c>
      <c r="K61" s="9">
        <v>-2.8262640000000001</v>
      </c>
      <c r="L61" s="9">
        <v>112.031116</v>
      </c>
      <c r="M61" s="9">
        <v>10.640631000000001</v>
      </c>
      <c r="N61" s="9">
        <v>190.658457</v>
      </c>
      <c r="O61" s="9">
        <v>60.403422999999997</v>
      </c>
      <c r="P61" s="9">
        <v>130.25503399999999</v>
      </c>
      <c r="Q61" s="10">
        <v>20</v>
      </c>
      <c r="R61" s="9">
        <v>8.4868249999999996</v>
      </c>
      <c r="S61" s="9">
        <v>991.94268899999997</v>
      </c>
      <c r="T61" s="9">
        <v>918.43934400000001</v>
      </c>
      <c r="U61" s="9">
        <v>852.88245300000005</v>
      </c>
      <c r="V61" s="9">
        <v>794.21925899999997</v>
      </c>
    </row>
    <row r="62" spans="1:22" x14ac:dyDescent="0.25">
      <c r="A62" s="8">
        <v>46022</v>
      </c>
      <c r="B62" s="7" t="s">
        <v>170</v>
      </c>
      <c r="C62" s="7" t="s">
        <v>171</v>
      </c>
      <c r="D62" s="7" t="s">
        <v>172</v>
      </c>
      <c r="E62" s="9">
        <v>651.41373399999998</v>
      </c>
      <c r="F62" s="9">
        <v>237.90175500000001</v>
      </c>
      <c r="G62" s="9">
        <v>413.511979</v>
      </c>
      <c r="H62" s="9">
        <v>32.570708000000003</v>
      </c>
      <c r="I62" s="9">
        <v>23.198484000000001</v>
      </c>
      <c r="J62" s="9">
        <v>1.1003700000000001</v>
      </c>
      <c r="K62" s="9">
        <v>38.368862</v>
      </c>
      <c r="L62" s="9">
        <v>2.5</v>
      </c>
      <c r="M62" s="9">
        <v>10.000000999999999</v>
      </c>
      <c r="N62" s="9">
        <v>305.77355599999999</v>
      </c>
      <c r="O62" s="9">
        <v>0</v>
      </c>
      <c r="P62" s="9">
        <v>305.77355599999999</v>
      </c>
      <c r="Q62" s="10">
        <v>0</v>
      </c>
      <c r="R62" s="9">
        <v>3.285272</v>
      </c>
      <c r="S62" s="9">
        <v>3517.6745310000001</v>
      </c>
      <c r="T62" s="9">
        <v>3007.2424470000001</v>
      </c>
      <c r="U62" s="9">
        <v>2609.3484830000002</v>
      </c>
      <c r="V62" s="9">
        <v>2293.9194379999999</v>
      </c>
    </row>
    <row r="63" spans="1:22" x14ac:dyDescent="0.25">
      <c r="A63" s="8">
        <v>46022</v>
      </c>
      <c r="B63" s="7" t="s">
        <v>173</v>
      </c>
      <c r="C63" s="7" t="s">
        <v>174</v>
      </c>
      <c r="D63" s="7" t="s">
        <v>152</v>
      </c>
      <c r="E63" s="9">
        <v>66.011842000000001</v>
      </c>
      <c r="F63" s="9">
        <v>16.149729000000001</v>
      </c>
      <c r="G63" s="9">
        <v>49.862113000000001</v>
      </c>
      <c r="H63" s="9">
        <v>3.3005789999999999</v>
      </c>
      <c r="I63" s="9">
        <v>21.226929999999999</v>
      </c>
      <c r="J63" s="9">
        <v>4.6010689999999999</v>
      </c>
      <c r="K63" s="9">
        <v>1.1038969999999999</v>
      </c>
      <c r="L63" s="9">
        <v>4.8</v>
      </c>
      <c r="M63" s="9">
        <v>0</v>
      </c>
      <c r="N63" s="9">
        <v>14.829639</v>
      </c>
      <c r="O63" s="9">
        <v>0</v>
      </c>
      <c r="P63" s="9">
        <v>14.829639</v>
      </c>
      <c r="Q63" s="10">
        <v>35</v>
      </c>
      <c r="R63" s="9">
        <v>23.282126999999999</v>
      </c>
      <c r="S63" s="9">
        <v>91.495197000000005</v>
      </c>
      <c r="T63" s="9">
        <v>85.837744000000001</v>
      </c>
      <c r="U63" s="9">
        <v>80.697924</v>
      </c>
      <c r="V63" s="9">
        <v>76.016963000000004</v>
      </c>
    </row>
    <row r="64" spans="1:22" x14ac:dyDescent="0.25">
      <c r="A64" s="8">
        <v>46022</v>
      </c>
      <c r="B64" s="7" t="s">
        <v>175</v>
      </c>
      <c r="C64" s="7" t="s">
        <v>176</v>
      </c>
      <c r="D64" s="7" t="s">
        <v>68</v>
      </c>
      <c r="E64" s="9">
        <v>1561.407234</v>
      </c>
      <c r="F64" s="9">
        <v>216.250156</v>
      </c>
      <c r="G64" s="9">
        <v>1345.157078</v>
      </c>
      <c r="H64" s="9">
        <v>0</v>
      </c>
      <c r="I64" s="9">
        <v>846.18307100000004</v>
      </c>
      <c r="J64" s="9">
        <v>20.784407000000002</v>
      </c>
      <c r="K64" s="9">
        <v>36.684888999999998</v>
      </c>
      <c r="L64" s="9">
        <v>161.43071499999999</v>
      </c>
      <c r="M64" s="9">
        <v>0</v>
      </c>
      <c r="N64" s="9">
        <v>280.07399600000002</v>
      </c>
      <c r="O64" s="9">
        <v>76.968823</v>
      </c>
      <c r="P64" s="9">
        <v>203.10517300000001</v>
      </c>
      <c r="Q64" s="10">
        <v>26.5</v>
      </c>
      <c r="R64" s="9">
        <v>187.74121099999999</v>
      </c>
      <c r="S64" s="9">
        <v>2369.210337</v>
      </c>
      <c r="T64" s="9">
        <v>2041.3699469999999</v>
      </c>
      <c r="U64" s="9">
        <v>1781.12033</v>
      </c>
      <c r="V64" s="9">
        <v>1571.6869799999999</v>
      </c>
    </row>
    <row r="65" spans="1:22" x14ac:dyDescent="0.25">
      <c r="A65" s="8">
        <v>46022</v>
      </c>
      <c r="B65" s="7" t="s">
        <v>177</v>
      </c>
      <c r="C65" s="7" t="s">
        <v>178</v>
      </c>
      <c r="D65" s="7" t="s">
        <v>65</v>
      </c>
      <c r="E65" s="9">
        <v>291.53248200000002</v>
      </c>
      <c r="F65" s="9">
        <v>27.642002000000002</v>
      </c>
      <c r="G65" s="9">
        <v>263.89048000000003</v>
      </c>
      <c r="H65" s="9">
        <v>0.78323200000000004</v>
      </c>
      <c r="I65" s="9">
        <v>238.022807</v>
      </c>
      <c r="J65" s="9">
        <v>19.53651</v>
      </c>
      <c r="K65" s="9">
        <v>-4.3721759999999996</v>
      </c>
      <c r="L65" s="9">
        <v>4.8004119999999997</v>
      </c>
      <c r="M65" s="9">
        <v>0</v>
      </c>
      <c r="N65" s="9">
        <v>5.1196950000000001</v>
      </c>
      <c r="O65" s="9">
        <v>0</v>
      </c>
      <c r="P65" s="9">
        <v>5.1196950000000001</v>
      </c>
      <c r="Q65" s="10">
        <v>27</v>
      </c>
      <c r="R65" s="9">
        <v>55.679943000000002</v>
      </c>
      <c r="S65" s="9">
        <v>85.483091000000002</v>
      </c>
      <c r="T65" s="9">
        <v>79.641323999999997</v>
      </c>
      <c r="U65" s="9">
        <v>74.315189000000004</v>
      </c>
      <c r="V65" s="9">
        <v>69.450238999999996</v>
      </c>
    </row>
    <row r="66" spans="1:22" x14ac:dyDescent="0.25">
      <c r="A66" s="8">
        <v>46022</v>
      </c>
      <c r="B66" s="7" t="s">
        <v>179</v>
      </c>
      <c r="C66" s="7" t="s">
        <v>180</v>
      </c>
      <c r="D66" s="7" t="s">
        <v>65</v>
      </c>
      <c r="E66" s="9">
        <v>50.636485999999998</v>
      </c>
      <c r="F66" s="9">
        <v>4.7851549999999996</v>
      </c>
      <c r="G66" s="9">
        <v>45.851329999999997</v>
      </c>
      <c r="H66" s="9">
        <v>0</v>
      </c>
      <c r="I66" s="9">
        <v>29.126622999999999</v>
      </c>
      <c r="J66" s="9">
        <v>0.43231900000000001</v>
      </c>
      <c r="K66" s="9">
        <v>-1.8036559999999999</v>
      </c>
      <c r="L66" s="9">
        <v>1.2851090000000001</v>
      </c>
      <c r="M66" s="9">
        <v>0</v>
      </c>
      <c r="N66" s="9">
        <v>16.810936000000002</v>
      </c>
      <c r="O66" s="9">
        <v>3.5942799999999999</v>
      </c>
      <c r="P66" s="9">
        <v>13.216654999999999</v>
      </c>
      <c r="Q66" s="10">
        <v>27</v>
      </c>
      <c r="R66" s="9">
        <v>2.9802390000000001</v>
      </c>
      <c r="S66" s="9">
        <v>72.583153999999993</v>
      </c>
      <c r="T66" s="9">
        <v>67.413430000000005</v>
      </c>
      <c r="U66" s="9">
        <v>62.800904000000003</v>
      </c>
      <c r="V66" s="9">
        <v>58.671401000000003</v>
      </c>
    </row>
    <row r="67" spans="1:22" x14ac:dyDescent="0.25">
      <c r="A67" s="8">
        <v>46022</v>
      </c>
      <c r="B67" s="7" t="s">
        <v>181</v>
      </c>
      <c r="C67" s="7" t="s">
        <v>182</v>
      </c>
      <c r="D67" s="7" t="s">
        <v>68</v>
      </c>
      <c r="E67" s="9">
        <v>268.049848</v>
      </c>
      <c r="F67" s="9">
        <v>45.054535000000001</v>
      </c>
      <c r="G67" s="9">
        <v>222.99531300000001</v>
      </c>
      <c r="H67" s="9">
        <v>0</v>
      </c>
      <c r="I67" s="9">
        <v>231.022333</v>
      </c>
      <c r="J67" s="9">
        <v>1.0373760000000001</v>
      </c>
      <c r="K67" s="9">
        <v>-0.16750899999999999</v>
      </c>
      <c r="L67" s="9">
        <v>41.534218000000003</v>
      </c>
      <c r="M67" s="9">
        <v>200</v>
      </c>
      <c r="N67" s="9">
        <v>-250.431105</v>
      </c>
      <c r="O67" s="9">
        <v>0</v>
      </c>
      <c r="P67" s="9">
        <v>-250.431105</v>
      </c>
      <c r="Q67" s="10">
        <v>26.3</v>
      </c>
      <c r="R67" s="9">
        <v>110.48586299999999</v>
      </c>
      <c r="S67" s="9">
        <v>147.24093500000001</v>
      </c>
      <c r="T67" s="9">
        <v>82.792170999999996</v>
      </c>
      <c r="U67" s="9">
        <v>31.089046</v>
      </c>
      <c r="V67" s="9">
        <v>-10.578538</v>
      </c>
    </row>
    <row r="68" spans="1:22" x14ac:dyDescent="0.25">
      <c r="A68" s="8">
        <v>46022</v>
      </c>
      <c r="B68" s="7" t="s">
        <v>183</v>
      </c>
      <c r="C68" s="7" t="s">
        <v>184</v>
      </c>
      <c r="D68" s="7" t="s">
        <v>185</v>
      </c>
      <c r="E68" s="9">
        <v>50.932510000000001</v>
      </c>
      <c r="F68" s="9">
        <v>10.93324</v>
      </c>
      <c r="G68" s="9">
        <v>39.999270000000003</v>
      </c>
      <c r="H68" s="9">
        <v>3.2392590000000001</v>
      </c>
      <c r="I68" s="9">
        <v>27.963559</v>
      </c>
      <c r="J68" s="9">
        <v>2.0005700000000002</v>
      </c>
      <c r="K68" s="9">
        <v>5.1754699999999998</v>
      </c>
      <c r="L68" s="9">
        <v>6.4049990000000001</v>
      </c>
      <c r="M68" s="9">
        <v>1.9999990000000001</v>
      </c>
      <c r="N68" s="9">
        <v>-6.7845870000000001</v>
      </c>
      <c r="O68" s="9">
        <v>0</v>
      </c>
      <c r="P68" s="9">
        <v>-6.7845870000000001</v>
      </c>
      <c r="Q68" s="10">
        <v>50</v>
      </c>
      <c r="R68" s="9">
        <v>17.666789000000001</v>
      </c>
      <c r="S68" s="9">
        <v>-203.90649500000001</v>
      </c>
      <c r="T68" s="9">
        <v>-189.61282</v>
      </c>
      <c r="U68" s="9">
        <v>-176.68725499999999</v>
      </c>
      <c r="V68" s="9">
        <v>-164.971239</v>
      </c>
    </row>
    <row r="69" spans="1:22" x14ac:dyDescent="0.25">
      <c r="A69" s="8">
        <v>46022</v>
      </c>
      <c r="B69" s="7" t="s">
        <v>186</v>
      </c>
      <c r="C69" s="7" t="s">
        <v>187</v>
      </c>
      <c r="D69" s="7" t="s">
        <v>65</v>
      </c>
      <c r="E69" s="9">
        <v>660.98124299999995</v>
      </c>
      <c r="F69" s="9">
        <v>36.804853000000001</v>
      </c>
      <c r="G69" s="9">
        <v>624.17638999999997</v>
      </c>
      <c r="H69" s="9">
        <v>0</v>
      </c>
      <c r="I69" s="9">
        <v>370.436643</v>
      </c>
      <c r="J69" s="9">
        <v>7.9599089999999997</v>
      </c>
      <c r="K69" s="9">
        <v>4.9067350000000003</v>
      </c>
      <c r="L69" s="9">
        <v>198.860795</v>
      </c>
      <c r="M69" s="9">
        <v>0</v>
      </c>
      <c r="N69" s="9">
        <v>42.012307999999997</v>
      </c>
      <c r="O69" s="9">
        <v>8.1041139999999992</v>
      </c>
      <c r="P69" s="9">
        <v>33.908194000000002</v>
      </c>
      <c r="Q69" s="10">
        <v>27</v>
      </c>
      <c r="R69" s="9">
        <v>215.764602</v>
      </c>
      <c r="S69" s="9">
        <v>8.1112409999999997</v>
      </c>
      <c r="T69" s="9">
        <v>14.829335</v>
      </c>
      <c r="U69" s="9">
        <v>19.733241</v>
      </c>
      <c r="V69" s="9">
        <v>23.290338999999999</v>
      </c>
    </row>
    <row r="70" spans="1:22" x14ac:dyDescent="0.25">
      <c r="A70" s="8">
        <v>46022</v>
      </c>
      <c r="B70" s="7" t="s">
        <v>188</v>
      </c>
      <c r="C70" s="7" t="s">
        <v>189</v>
      </c>
      <c r="D70" s="7" t="s">
        <v>68</v>
      </c>
      <c r="E70" s="9">
        <v>571.87619299999994</v>
      </c>
      <c r="F70" s="9">
        <v>102.612347</v>
      </c>
      <c r="G70" s="9">
        <v>469.263846</v>
      </c>
      <c r="H70" s="9">
        <v>16.012685999999999</v>
      </c>
      <c r="I70" s="9">
        <v>675.63562100000001</v>
      </c>
      <c r="J70" s="9">
        <v>10.317053</v>
      </c>
      <c r="K70" s="9">
        <v>11.260429999999999</v>
      </c>
      <c r="L70" s="9">
        <v>42.155144</v>
      </c>
      <c r="M70" s="9">
        <v>52</v>
      </c>
      <c r="N70" s="9">
        <v>-338.11708800000002</v>
      </c>
      <c r="O70" s="9">
        <v>0</v>
      </c>
      <c r="P70" s="9">
        <v>-338.11708800000002</v>
      </c>
      <c r="Q70" s="10">
        <v>26.5</v>
      </c>
      <c r="R70" s="9">
        <v>324.14299699999998</v>
      </c>
      <c r="S70" s="9">
        <v>-2607.5667779999999</v>
      </c>
      <c r="T70" s="9">
        <v>-2362.5077460000002</v>
      </c>
      <c r="U70" s="9">
        <v>-2150.8092240000001</v>
      </c>
      <c r="V70" s="9">
        <v>-1966.9915659999999</v>
      </c>
    </row>
    <row r="71" spans="1:22" x14ac:dyDescent="0.25">
      <c r="A71" s="8">
        <v>46022</v>
      </c>
      <c r="B71" s="7" t="s">
        <v>190</v>
      </c>
      <c r="C71" s="7" t="s">
        <v>191</v>
      </c>
      <c r="D71" s="7" t="s">
        <v>65</v>
      </c>
      <c r="E71" s="9">
        <v>96.506888000000004</v>
      </c>
      <c r="F71" s="9">
        <v>12.291945</v>
      </c>
      <c r="G71" s="9">
        <v>84.214943000000005</v>
      </c>
      <c r="H71" s="9">
        <v>0.44595299999999999</v>
      </c>
      <c r="I71" s="9">
        <v>59.131269000000003</v>
      </c>
      <c r="J71" s="9">
        <v>3.6194470000000001</v>
      </c>
      <c r="K71" s="9">
        <v>-2.9634930000000002</v>
      </c>
      <c r="L71" s="9">
        <v>2.3652489999999999</v>
      </c>
      <c r="M71" s="9">
        <v>0</v>
      </c>
      <c r="N71" s="9">
        <v>21.616517999999999</v>
      </c>
      <c r="O71" s="9">
        <v>3.6374360000000001</v>
      </c>
      <c r="P71" s="9">
        <v>17.979081999999998</v>
      </c>
      <c r="Q71" s="10">
        <v>27</v>
      </c>
      <c r="R71" s="9">
        <v>7.5462889999999998</v>
      </c>
      <c r="S71" s="9">
        <v>29.595503000000001</v>
      </c>
      <c r="T71" s="9">
        <v>28.826262</v>
      </c>
      <c r="U71" s="9">
        <v>28.092600999999998</v>
      </c>
      <c r="V71" s="9">
        <v>27.392227999999999</v>
      </c>
    </row>
  </sheetData>
  <mergeCells count="23">
    <mergeCell ref="T6:T9"/>
    <mergeCell ref="U6:U9"/>
    <mergeCell ref="V6:V9"/>
    <mergeCell ref="O6:O9"/>
    <mergeCell ref="P6:P9"/>
    <mergeCell ref="Q6:Q9"/>
    <mergeCell ref="R6:R9"/>
    <mergeCell ref="S6:S9"/>
    <mergeCell ref="J6:J9"/>
    <mergeCell ref="K6:K9"/>
    <mergeCell ref="L6:L9"/>
    <mergeCell ref="M6:M9"/>
    <mergeCell ref="N6:N9"/>
    <mergeCell ref="E6:E9"/>
    <mergeCell ref="F6:F9"/>
    <mergeCell ref="G6:G9"/>
    <mergeCell ref="H6:H9"/>
    <mergeCell ref="I6:I9"/>
    <mergeCell ref="A1:D1"/>
    <mergeCell ref="A6:A9"/>
    <mergeCell ref="B6:B9"/>
    <mergeCell ref="C6:C9"/>
    <mergeCell ref="D6:D9"/>
  </mergeCells>
  <pageMargins left="0.7" right="0.7" top="0.75" bottom="0.75" header="0.3" footer="0.3"/>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102"/>
  <sheetViews>
    <sheetView topLeftCell="A87" zoomScale="80" zoomScaleNormal="80" workbookViewId="0">
      <selection activeCell="A2" sqref="A2:S102"/>
    </sheetView>
  </sheetViews>
  <sheetFormatPr defaultRowHeight="15" x14ac:dyDescent="0.25"/>
  <cols>
    <col min="1" max="1" width="48.5703125" customWidth="1"/>
    <col min="2" max="2" width="24" customWidth="1"/>
    <col min="3" max="3" width="16.140625" customWidth="1"/>
    <col min="4" max="4" width="48.5703125" customWidth="1"/>
    <col min="5" max="5" width="18.5703125" customWidth="1"/>
    <col min="6" max="6" width="16.140625" customWidth="1"/>
    <col min="7" max="7" width="39" style="15" customWidth="1"/>
  </cols>
  <sheetData>
    <row r="1" spans="1:19" ht="39.950000000000003" customHeight="1" x14ac:dyDescent="0.25">
      <c r="A1" s="3"/>
      <c r="B1" s="3"/>
      <c r="C1" s="3"/>
      <c r="D1" s="3"/>
    </row>
    <row r="2" spans="1:19" ht="30" customHeight="1" x14ac:dyDescent="0.3">
      <c r="A2" s="4" t="s">
        <v>316</v>
      </c>
      <c r="B2" s="5"/>
      <c r="C2" s="5"/>
      <c r="D2" s="5"/>
      <c r="E2" s="5"/>
      <c r="F2" s="5"/>
      <c r="G2" s="16"/>
      <c r="H2" s="5"/>
      <c r="I2" s="5"/>
      <c r="J2" s="5"/>
      <c r="K2" s="5"/>
      <c r="L2" s="5"/>
    </row>
    <row r="3" spans="1:19" x14ac:dyDescent="0.25">
      <c r="A3" s="6" t="s">
        <v>0</v>
      </c>
    </row>
    <row r="4" spans="1:19" x14ac:dyDescent="0.25">
      <c r="A4" s="6" t="s">
        <v>1</v>
      </c>
    </row>
    <row r="5" spans="1:19" x14ac:dyDescent="0.25">
      <c r="A5" s="7"/>
    </row>
    <row r="6" spans="1:19" x14ac:dyDescent="0.25">
      <c r="A6" s="2" t="s">
        <v>3</v>
      </c>
      <c r="B6" s="2" t="s">
        <v>4</v>
      </c>
      <c r="C6" s="2" t="s">
        <v>5</v>
      </c>
      <c r="D6" s="2" t="s">
        <v>255</v>
      </c>
      <c r="E6" s="1" t="s">
        <v>256</v>
      </c>
      <c r="F6" s="1" t="s">
        <v>257</v>
      </c>
      <c r="G6" s="2" t="s">
        <v>317</v>
      </c>
      <c r="H6" s="2" t="s">
        <v>318</v>
      </c>
      <c r="I6" s="2" t="s">
        <v>319</v>
      </c>
      <c r="J6" s="2" t="s">
        <v>320</v>
      </c>
      <c r="K6" s="2" t="s">
        <v>321</v>
      </c>
      <c r="L6" s="2" t="s">
        <v>322</v>
      </c>
      <c r="M6" s="2" t="s">
        <v>323</v>
      </c>
      <c r="N6" s="2" t="s">
        <v>324</v>
      </c>
      <c r="O6" s="2" t="s">
        <v>325</v>
      </c>
      <c r="P6" s="2" t="s">
        <v>326</v>
      </c>
      <c r="Q6" s="2" t="s">
        <v>327</v>
      </c>
      <c r="R6" s="2" t="s">
        <v>328</v>
      </c>
      <c r="S6" s="2" t="s">
        <v>329</v>
      </c>
    </row>
    <row r="7" spans="1:19" x14ac:dyDescent="0.25">
      <c r="A7" s="2"/>
      <c r="B7" s="2"/>
      <c r="C7" s="2"/>
      <c r="D7" s="2"/>
      <c r="E7" s="1"/>
      <c r="F7" s="1"/>
      <c r="G7" s="12"/>
      <c r="H7" s="2"/>
      <c r="I7" s="2"/>
      <c r="J7" s="2"/>
      <c r="K7" s="2"/>
      <c r="L7" s="2"/>
      <c r="M7" s="2"/>
      <c r="N7" s="2"/>
      <c r="O7" s="2"/>
      <c r="P7" s="2"/>
      <c r="Q7" s="2"/>
      <c r="R7" s="2"/>
      <c r="S7" s="2"/>
    </row>
    <row r="8" spans="1:19" x14ac:dyDescent="0.25">
      <c r="A8" s="2"/>
      <c r="B8" s="2"/>
      <c r="C8" s="2"/>
      <c r="D8" s="2"/>
      <c r="E8" s="1"/>
      <c r="F8" s="1"/>
      <c r="G8" s="12"/>
      <c r="H8" s="2"/>
      <c r="I8" s="2"/>
      <c r="J8" s="2"/>
      <c r="K8" s="2"/>
      <c r="L8" s="2"/>
      <c r="M8" s="2"/>
      <c r="N8" s="2"/>
      <c r="O8" s="2"/>
      <c r="P8" s="2"/>
      <c r="Q8" s="2"/>
      <c r="R8" s="2"/>
      <c r="S8" s="2"/>
    </row>
    <row r="9" spans="1:19" x14ac:dyDescent="0.25">
      <c r="A9" s="2"/>
      <c r="B9" s="2"/>
      <c r="C9" s="2"/>
      <c r="D9" s="2"/>
      <c r="E9" s="1"/>
      <c r="F9" s="1"/>
      <c r="G9" s="12"/>
      <c r="H9" s="2"/>
      <c r="I9" s="2"/>
      <c r="J9" s="2"/>
      <c r="K9" s="2"/>
      <c r="L9" s="2"/>
      <c r="M9" s="2"/>
      <c r="N9" s="2"/>
      <c r="O9" s="2"/>
      <c r="P9" s="2"/>
      <c r="Q9" s="2"/>
      <c r="R9" s="2"/>
      <c r="S9" s="2"/>
    </row>
    <row r="10" spans="1:19" ht="105" x14ac:dyDescent="0.25">
      <c r="A10" s="8">
        <v>46022</v>
      </c>
      <c r="B10" s="7" t="s">
        <v>49</v>
      </c>
      <c r="C10" s="7" t="s">
        <v>50</v>
      </c>
      <c r="D10" s="7" t="s">
        <v>258</v>
      </c>
      <c r="E10" s="11">
        <v>4355482</v>
      </c>
      <c r="F10" s="10">
        <v>100</v>
      </c>
      <c r="G10" s="13" t="str">
        <f>[1]!SNLData("243327", $C10, "OWNER_LIST")</f>
        <v>Xinjiang Xinxin Mining Industry Co., Ltd.  100%</v>
      </c>
      <c r="H10" s="14">
        <f>[1]!SNLData("243327", C10, "OWNER_SNL_INSTN_KEY", "Owner 1")</f>
        <v>4355482</v>
      </c>
      <c r="I10" s="14" t="str">
        <f>[1]!SNLData("243327", C10, "OWNER_SNL_INSTN_KEY", "Owner 2")</f>
        <v>NA</v>
      </c>
      <c r="J10" s="13" t="str">
        <f>_xll.SNL.Clients.Office.Excel.Functions.SPG(H10, "SP_ULT_PARENT_COMPANY_NAME")</f>
        <v>Xinjiang NonFerrous Metal Industry (Group) Co.Ltd</v>
      </c>
      <c r="K10" s="13" t="str">
        <f>_xll.SNL.Clients.Office.Excel.Functions.SPG(H10, "SP_ULT_PARENT_COUNTRY")</f>
        <v>China</v>
      </c>
      <c r="L10" s="13" t="str">
        <f>_xll.SNL.Clients.Office.Excel.Functions.SPG(H10, "SP_PARENT_COMPANY_NAME")</f>
        <v>Xinjiang NonFerrous Metal Industry (Group) Co.Ltd</v>
      </c>
      <c r="M10" s="13" t="str">
        <f>_xll.SNL.Clients.Office.Excel.Functions.SPG(H10, "SP_PARENT_COUNTRY")</f>
        <v>China</v>
      </c>
      <c r="N10" s="13" t="str">
        <f>_xll.SNL.Clients.Office.Excel.Functions.SPG(H10, "SP_COUNTRY_NAME")</f>
        <v>China</v>
      </c>
      <c r="O10" s="13" t="str">
        <f>_xll.SNL.Clients.Office.Excel.Functions.SPG(I10, "SP_ULT_PARENT_COMPANY_NAME")</f>
        <v/>
      </c>
      <c r="P10" s="13" t="str">
        <f>_xll.SNL.Clients.Office.Excel.Functions.SPG(I10, "SP_ULT_PARENT_COUNTRY")</f>
        <v/>
      </c>
      <c r="Q10" s="13" t="str">
        <f>_xll.SNL.Clients.Office.Excel.Functions.SPG(I10, "SP_PARENT_COMPANY_NAME")</f>
        <v/>
      </c>
      <c r="R10" s="13" t="str">
        <f>_xll.SNL.Clients.Office.Excel.Functions.SPG(I10, "SP_PARENT_COUNTRY")</f>
        <v/>
      </c>
      <c r="S10" s="13" t="str">
        <f>_xll.SNL.Clients.Office.Excel.Functions.SPG(I10, "SP_COUNTRY_NAME")</f>
        <v>China</v>
      </c>
    </row>
    <row r="11" spans="1:19" ht="30" x14ac:dyDescent="0.25">
      <c r="A11" s="8">
        <v>46022</v>
      </c>
      <c r="B11" s="7" t="s">
        <v>86</v>
      </c>
      <c r="C11" s="7" t="s">
        <v>87</v>
      </c>
      <c r="D11" s="7" t="s">
        <v>259</v>
      </c>
      <c r="E11" s="11">
        <v>4348055</v>
      </c>
      <c r="F11" s="10">
        <v>100</v>
      </c>
      <c r="G11" s="13" t="str">
        <f>[1]!SNLData("243327", $C11, "OWNER_LIST")</f>
        <v>Valterra Platinum Limited  100%</v>
      </c>
      <c r="H11" s="14">
        <f>[1]!SNLData("243327", C11, "OWNER_SNL_INSTN_KEY", "Owner 1")</f>
        <v>4348055</v>
      </c>
      <c r="I11" s="14" t="str">
        <f>[1]!SNLData("243327", C11, "OWNER_SNL_INSTN_KEY", "Owner 2")</f>
        <v>NA</v>
      </c>
      <c r="J11" s="13" t="str">
        <f>_xll.SNL.Clients.Office.Excel.Functions.SPG(H11, "SP_ULT_PARENT_COMPANY_NAME")</f>
        <v/>
      </c>
      <c r="K11" s="13" t="str">
        <f>_xll.SNL.Clients.Office.Excel.Functions.SPG(H11, "SP_ULT_PARENT_COUNTRY")</f>
        <v/>
      </c>
      <c r="L11" s="13" t="str">
        <f>_xll.SNL.Clients.Office.Excel.Functions.SPG(H11, "SP_PARENT_COMPANY_NAME")</f>
        <v/>
      </c>
      <c r="M11" s="13" t="str">
        <f>_xll.SNL.Clients.Office.Excel.Functions.SPG(H11, "SP_PARENT_COUNTRY")</f>
        <v/>
      </c>
      <c r="N11" s="13" t="str">
        <f>_xll.SNL.Clients.Office.Excel.Functions.SPG(H11, "SP_COUNTRY_NAME")</f>
        <v>South Africa</v>
      </c>
      <c r="O11" s="13" t="str">
        <f>_xll.SNL.Clients.Office.Excel.Functions.SPG(I11, "SP_ULT_PARENT_COMPANY_NAME")</f>
        <v/>
      </c>
      <c r="P11" s="13" t="str">
        <f>_xll.SNL.Clients.Office.Excel.Functions.SPG(I11, "SP_ULT_PARENT_COUNTRY")</f>
        <v/>
      </c>
      <c r="Q11" s="13" t="str">
        <f>_xll.SNL.Clients.Office.Excel.Functions.SPG(I11, "SP_PARENT_COMPANY_NAME")</f>
        <v/>
      </c>
      <c r="R11" s="13" t="str">
        <f>_xll.SNL.Clients.Office.Excel.Functions.SPG(I11, "SP_PARENT_COUNTRY")</f>
        <v/>
      </c>
      <c r="S11" s="13" t="str">
        <f>_xll.SNL.Clients.Office.Excel.Functions.SPG(I11, "SP_COUNTRY_NAME")</f>
        <v>China</v>
      </c>
    </row>
    <row r="12" spans="1:19" ht="60" x14ac:dyDescent="0.25">
      <c r="A12" s="8">
        <v>46022</v>
      </c>
      <c r="B12" s="7" t="s">
        <v>88</v>
      </c>
      <c r="C12" s="7" t="s">
        <v>89</v>
      </c>
      <c r="D12" s="7" t="s">
        <v>260</v>
      </c>
      <c r="E12" s="11">
        <v>4351671</v>
      </c>
      <c r="F12" s="10">
        <v>45.82</v>
      </c>
      <c r="G12" s="13" t="str">
        <f>[1]!SNLData("243327", $C12, "OWNER_LIST")</f>
        <v>Unnamed Owner (Fractional) %; Korea Mine Rehabilitation and Mineral Resources Corporation (Venturer) 45.82%; Sumitomo Corporation (Venturer) 54.17%</v>
      </c>
      <c r="H12" s="14">
        <f>[1]!SNLData("243327", C12, "OWNER_SNL_INSTN_KEY", "Owner 1")</f>
        <v>4047416</v>
      </c>
      <c r="I12" s="14">
        <f>[1]!SNLData("243327", C12, "OWNER_SNL_INSTN_KEY", "Owner 2")</f>
        <v>4351671</v>
      </c>
      <c r="J12" s="13" t="str">
        <f>_xll.SNL.Clients.Office.Excel.Functions.SPG(H12, "SP_ULT_PARENT_COMPANY_NAME")</f>
        <v/>
      </c>
      <c r="K12" s="13" t="str">
        <f>_xll.SNL.Clients.Office.Excel.Functions.SPG(H12, "SP_ULT_PARENT_COUNTRY")</f>
        <v/>
      </c>
      <c r="L12" s="13" t="str">
        <f>_xll.SNL.Clients.Office.Excel.Functions.SPG(H12, "SP_PARENT_COMPANY_NAME")</f>
        <v/>
      </c>
      <c r="M12" s="13" t="str">
        <f>_xll.SNL.Clients.Office.Excel.Functions.SPG(H12, "SP_PARENT_COUNTRY")</f>
        <v/>
      </c>
      <c r="N12" s="13" t="str">
        <f>_xll.SNL.Clients.Office.Excel.Functions.SPG(H12, "SP_COUNTRY_NAME")</f>
        <v>Japan</v>
      </c>
      <c r="O12" s="13" t="str">
        <f>_xll.SNL.Clients.Office.Excel.Functions.SPG(I12, "SP_ULT_PARENT_COMPANY_NAME")</f>
        <v>South Korea</v>
      </c>
      <c r="P12" s="13" t="str">
        <f>_xll.SNL.Clients.Office.Excel.Functions.SPG(I12, "SP_ULT_PARENT_COUNTRY")</f>
        <v>South Korea</v>
      </c>
      <c r="Q12" s="13" t="str">
        <f>_xll.SNL.Clients.Office.Excel.Functions.SPG(I12, "SP_PARENT_COMPANY_NAME")</f>
        <v>South Korea</v>
      </c>
      <c r="R12" s="13" t="str">
        <f>_xll.SNL.Clients.Office.Excel.Functions.SPG(I12, "SP_PARENT_COUNTRY")</f>
        <v>South Korea</v>
      </c>
      <c r="S12" s="13" t="str">
        <f>_xll.SNL.Clients.Office.Excel.Functions.SPG(I12, "SP_COUNTRY_NAME")</f>
        <v>South Korea</v>
      </c>
    </row>
    <row r="13" spans="1:19" ht="60" x14ac:dyDescent="0.25">
      <c r="A13" s="8">
        <v>46022</v>
      </c>
      <c r="B13" s="7" t="s">
        <v>88</v>
      </c>
      <c r="C13" s="7" t="s">
        <v>89</v>
      </c>
      <c r="D13" s="7" t="s">
        <v>261</v>
      </c>
      <c r="E13" s="11">
        <v>4047416</v>
      </c>
      <c r="F13" s="10">
        <v>54.17</v>
      </c>
      <c r="G13" s="13" t="str">
        <f>[1]!SNLData("243327", $C13, "OWNER_LIST")</f>
        <v>Unnamed Owner (Fractional) %; Korea Mine Rehabilitation and Mineral Resources Corporation (Venturer) 45.82%; Sumitomo Corporation (Venturer) 54.17%</v>
      </c>
      <c r="H13" s="14">
        <f>[1]!SNLData("243327", C13, "OWNER_SNL_INSTN_KEY", "Owner 1")</f>
        <v>4047416</v>
      </c>
      <c r="I13" s="14">
        <f>[1]!SNLData("243327", C13, "OWNER_SNL_INSTN_KEY", "Owner 2")</f>
        <v>4351671</v>
      </c>
      <c r="J13" s="13" t="str">
        <f>_xll.SNL.Clients.Office.Excel.Functions.SPG(H13, "SP_ULT_PARENT_COMPANY_NAME")</f>
        <v/>
      </c>
      <c r="K13" s="13" t="str">
        <f>_xll.SNL.Clients.Office.Excel.Functions.SPG(H13, "SP_ULT_PARENT_COUNTRY")</f>
        <v/>
      </c>
      <c r="L13" s="13" t="str">
        <f>_xll.SNL.Clients.Office.Excel.Functions.SPG(H13, "SP_PARENT_COMPANY_NAME")</f>
        <v/>
      </c>
      <c r="M13" s="13" t="str">
        <f>_xll.SNL.Clients.Office.Excel.Functions.SPG(H13, "SP_PARENT_COUNTRY")</f>
        <v/>
      </c>
      <c r="N13" s="13" t="str">
        <f>_xll.SNL.Clients.Office.Excel.Functions.SPG(H13, "SP_COUNTRY_NAME")</f>
        <v>Japan</v>
      </c>
      <c r="O13" s="13" t="str">
        <f>_xll.SNL.Clients.Office.Excel.Functions.SPG(I13, "SP_ULT_PARENT_COMPANY_NAME")</f>
        <v>South Korea</v>
      </c>
      <c r="P13" s="13" t="str">
        <f>_xll.SNL.Clients.Office.Excel.Functions.SPG(I13, "SP_ULT_PARENT_COUNTRY")</f>
        <v>South Korea</v>
      </c>
      <c r="Q13" s="13" t="str">
        <f>_xll.SNL.Clients.Office.Excel.Functions.SPG(I13, "SP_PARENT_COMPANY_NAME")</f>
        <v>South Korea</v>
      </c>
      <c r="R13" s="13" t="str">
        <f>_xll.SNL.Clients.Office.Excel.Functions.SPG(I13, "SP_PARENT_COUNTRY")</f>
        <v>South Korea</v>
      </c>
      <c r="S13" s="13" t="str">
        <f>_xll.SNL.Clients.Office.Excel.Functions.SPG(I13, "SP_COUNTRY_NAME")</f>
        <v>South Korea</v>
      </c>
    </row>
    <row r="14" spans="1:19" ht="30" x14ac:dyDescent="0.25">
      <c r="A14" s="8">
        <v>46022</v>
      </c>
      <c r="B14" s="7" t="s">
        <v>133</v>
      </c>
      <c r="C14" s="7" t="s">
        <v>134</v>
      </c>
      <c r="D14" s="7" t="s">
        <v>262</v>
      </c>
      <c r="E14" s="11">
        <v>4193273</v>
      </c>
      <c r="F14" s="10">
        <v>100</v>
      </c>
      <c r="G14" s="13" t="str">
        <f>[1]!SNLData("243327", $C14, "OWNER_LIST")</f>
        <v>Anglo American plc  100%</v>
      </c>
      <c r="H14" s="14">
        <f>[1]!SNLData("243327", C14, "OWNER_SNL_INSTN_KEY", "Owner 1")</f>
        <v>4193273</v>
      </c>
      <c r="I14" s="14" t="str">
        <f>[1]!SNLData("243327", C14, "OWNER_SNL_INSTN_KEY", "Owner 2")</f>
        <v>NA</v>
      </c>
      <c r="J14" s="13" t="str">
        <f>_xll.SNL.Clients.Office.Excel.Functions.SPG(H14, "SP_ULT_PARENT_COMPANY_NAME")</f>
        <v/>
      </c>
      <c r="K14" s="13" t="str">
        <f>_xll.SNL.Clients.Office.Excel.Functions.SPG(H14, "SP_ULT_PARENT_COUNTRY")</f>
        <v/>
      </c>
      <c r="L14" s="13" t="str">
        <f>_xll.SNL.Clients.Office.Excel.Functions.SPG(H14, "SP_PARENT_COMPANY_NAME")</f>
        <v/>
      </c>
      <c r="M14" s="13" t="str">
        <f>_xll.SNL.Clients.Office.Excel.Functions.SPG(H14, "SP_PARENT_COUNTRY")</f>
        <v/>
      </c>
      <c r="N14" s="13" t="str">
        <f>_xll.SNL.Clients.Office.Excel.Functions.SPG(H14, "SP_COUNTRY_NAME")</f>
        <v>United Kingdom</v>
      </c>
      <c r="O14" s="13" t="str">
        <f>_xll.SNL.Clients.Office.Excel.Functions.SPG(I14, "SP_ULT_PARENT_COMPANY_NAME")</f>
        <v/>
      </c>
      <c r="P14" s="13" t="str">
        <f>_xll.SNL.Clients.Office.Excel.Functions.SPG(I14, "SP_ULT_PARENT_COUNTRY")</f>
        <v/>
      </c>
      <c r="Q14" s="13" t="str">
        <f>_xll.SNL.Clients.Office.Excel.Functions.SPG(I14, "SP_PARENT_COMPANY_NAME")</f>
        <v/>
      </c>
      <c r="R14" s="13" t="str">
        <f>_xll.SNL.Clients.Office.Excel.Functions.SPG(I14, "SP_PARENT_COUNTRY")</f>
        <v/>
      </c>
      <c r="S14" s="13" t="str">
        <f>_xll.SNL.Clients.Office.Excel.Functions.SPG(I14, "SP_COUNTRY_NAME")</f>
        <v>China</v>
      </c>
    </row>
    <row r="15" spans="1:19" x14ac:dyDescent="0.25">
      <c r="A15" s="8">
        <v>46022</v>
      </c>
      <c r="B15" s="7" t="s">
        <v>69</v>
      </c>
      <c r="C15" s="7" t="s">
        <v>70</v>
      </c>
      <c r="D15" s="7" t="s">
        <v>263</v>
      </c>
      <c r="E15" s="11">
        <v>4351260</v>
      </c>
      <c r="F15" s="10">
        <v>100</v>
      </c>
      <c r="G15" s="13" t="str">
        <f>[1]!SNLData("243327", $C15, "OWNER_LIST")</f>
        <v>Maritana Minerals Limited  100%</v>
      </c>
      <c r="H15" s="14">
        <f>[1]!SNLData("243327", C15, "OWNER_SNL_INSTN_KEY", "Owner 1")</f>
        <v>4351260</v>
      </c>
      <c r="I15" s="14" t="str">
        <f>[1]!SNLData("243327", C15, "OWNER_SNL_INSTN_KEY", "Owner 2")</f>
        <v>NA</v>
      </c>
      <c r="J15" s="13" t="str">
        <f>_xll.SNL.Clients.Office.Excel.Functions.SPG(H15, "SP_ULT_PARENT_COMPANY_NAME")</f>
        <v/>
      </c>
      <c r="K15" s="13" t="str">
        <f>_xll.SNL.Clients.Office.Excel.Functions.SPG(H15, "SP_ULT_PARENT_COUNTRY")</f>
        <v/>
      </c>
      <c r="L15" s="13" t="str">
        <f>_xll.SNL.Clients.Office.Excel.Functions.SPG(H15, "SP_PARENT_COMPANY_NAME")</f>
        <v/>
      </c>
      <c r="M15" s="13" t="str">
        <f>_xll.SNL.Clients.Office.Excel.Functions.SPG(H15, "SP_PARENT_COUNTRY")</f>
        <v/>
      </c>
      <c r="N15" s="13" t="str">
        <f>_xll.SNL.Clients.Office.Excel.Functions.SPG(H15, "SP_COUNTRY_NAME")</f>
        <v>Australia</v>
      </c>
      <c r="O15" s="13" t="str">
        <f>_xll.SNL.Clients.Office.Excel.Functions.SPG(I15, "SP_ULT_PARENT_COMPANY_NAME")</f>
        <v/>
      </c>
      <c r="P15" s="13" t="str">
        <f>_xll.SNL.Clients.Office.Excel.Functions.SPG(I15, "SP_ULT_PARENT_COUNTRY")</f>
        <v/>
      </c>
      <c r="Q15" s="13" t="str">
        <f>_xll.SNL.Clients.Office.Excel.Functions.SPG(I15, "SP_PARENT_COMPANY_NAME")</f>
        <v/>
      </c>
      <c r="R15" s="13" t="str">
        <f>_xll.SNL.Clients.Office.Excel.Functions.SPG(I15, "SP_PARENT_COUNTRY")</f>
        <v/>
      </c>
      <c r="S15" s="13" t="str">
        <f>_xll.SNL.Clients.Office.Excel.Functions.SPG(I15, "SP_COUNTRY_NAME")</f>
        <v>China</v>
      </c>
    </row>
    <row r="16" spans="1:19" ht="30" x14ac:dyDescent="0.25">
      <c r="A16" s="8">
        <v>46022</v>
      </c>
      <c r="B16" s="7" t="s">
        <v>135</v>
      </c>
      <c r="C16" s="7" t="s">
        <v>136</v>
      </c>
      <c r="D16" s="7" t="s">
        <v>264</v>
      </c>
      <c r="E16" s="11">
        <v>4264043</v>
      </c>
      <c r="F16" s="10">
        <v>100</v>
      </c>
      <c r="G16" s="13" t="str">
        <f>[1]!SNLData("243327", $C16, "OWNER_LIST")</f>
        <v>Northam Platinum Holdings Limited  100%</v>
      </c>
      <c r="H16" s="14">
        <f>[1]!SNLData("243327", C16, "OWNER_SNL_INSTN_KEY", "Owner 1")</f>
        <v>4264043</v>
      </c>
      <c r="I16" s="14" t="str">
        <f>[1]!SNLData("243327", C16, "OWNER_SNL_INSTN_KEY", "Owner 2")</f>
        <v>NA</v>
      </c>
      <c r="J16" s="13" t="str">
        <f>_xll.SNL.Clients.Office.Excel.Functions.SPG(H16, "SP_ULT_PARENT_COMPANY_NAME")</f>
        <v/>
      </c>
      <c r="K16" s="13" t="str">
        <f>_xll.SNL.Clients.Office.Excel.Functions.SPG(H16, "SP_ULT_PARENT_COUNTRY")</f>
        <v/>
      </c>
      <c r="L16" s="13" t="str">
        <f>_xll.SNL.Clients.Office.Excel.Functions.SPG(H16, "SP_PARENT_COMPANY_NAME")</f>
        <v/>
      </c>
      <c r="M16" s="13" t="str">
        <f>_xll.SNL.Clients.Office.Excel.Functions.SPG(H16, "SP_PARENT_COUNTRY")</f>
        <v/>
      </c>
      <c r="N16" s="13" t="str">
        <f>_xll.SNL.Clients.Office.Excel.Functions.SPG(H16, "SP_COUNTRY_NAME")</f>
        <v>South Africa</v>
      </c>
      <c r="O16" s="13" t="str">
        <f>_xll.SNL.Clients.Office.Excel.Functions.SPG(I16, "SP_ULT_PARENT_COMPANY_NAME")</f>
        <v/>
      </c>
      <c r="P16" s="13" t="str">
        <f>_xll.SNL.Clients.Office.Excel.Functions.SPG(I16, "SP_ULT_PARENT_COUNTRY")</f>
        <v/>
      </c>
      <c r="Q16" s="13" t="str">
        <f>_xll.SNL.Clients.Office.Excel.Functions.SPG(I16, "SP_PARENT_COMPANY_NAME")</f>
        <v/>
      </c>
      <c r="R16" s="13" t="str">
        <f>_xll.SNL.Clients.Office.Excel.Functions.SPG(I16, "SP_PARENT_COUNTRY")</f>
        <v/>
      </c>
      <c r="S16" s="13" t="str">
        <f>_xll.SNL.Clients.Office.Excel.Functions.SPG(I16, "SP_COUNTRY_NAME")</f>
        <v>China</v>
      </c>
    </row>
    <row r="17" spans="1:19" ht="30" x14ac:dyDescent="0.25">
      <c r="A17" s="8">
        <v>46022</v>
      </c>
      <c r="B17" s="7" t="s">
        <v>91</v>
      </c>
      <c r="C17" s="7" t="s">
        <v>92</v>
      </c>
      <c r="D17" s="7" t="s">
        <v>264</v>
      </c>
      <c r="E17" s="11">
        <v>4264043</v>
      </c>
      <c r="F17" s="10">
        <v>100</v>
      </c>
      <c r="G17" s="13" t="str">
        <f>[1]!SNLData("243327", $C17, "OWNER_LIST")</f>
        <v>Northam Platinum Holdings Limited  100%</v>
      </c>
      <c r="H17" s="14">
        <f>[1]!SNLData("243327", C17, "OWNER_SNL_INSTN_KEY", "Owner 1")</f>
        <v>4264043</v>
      </c>
      <c r="I17" s="14" t="str">
        <f>[1]!SNLData("243327", C17, "OWNER_SNL_INSTN_KEY", "Owner 2")</f>
        <v>NA</v>
      </c>
      <c r="J17" s="13" t="str">
        <f>_xll.SNL.Clients.Office.Excel.Functions.SPG(H17, "SP_ULT_PARENT_COMPANY_NAME")</f>
        <v/>
      </c>
      <c r="K17" s="13" t="str">
        <f>_xll.SNL.Clients.Office.Excel.Functions.SPG(H17, "SP_ULT_PARENT_COUNTRY")</f>
        <v/>
      </c>
      <c r="L17" s="13" t="str">
        <f>_xll.SNL.Clients.Office.Excel.Functions.SPG(H17, "SP_PARENT_COMPANY_NAME")</f>
        <v/>
      </c>
      <c r="M17" s="13" t="str">
        <f>_xll.SNL.Clients.Office.Excel.Functions.SPG(H17, "SP_PARENT_COUNTRY")</f>
        <v/>
      </c>
      <c r="N17" s="13" t="str">
        <f>_xll.SNL.Clients.Office.Excel.Functions.SPG(H17, "SP_COUNTRY_NAME")</f>
        <v>South Africa</v>
      </c>
      <c r="O17" s="13" t="str">
        <f>_xll.SNL.Clients.Office.Excel.Functions.SPG(I17, "SP_ULT_PARENT_COMPANY_NAME")</f>
        <v/>
      </c>
      <c r="P17" s="13" t="str">
        <f>_xll.SNL.Clients.Office.Excel.Functions.SPG(I17, "SP_ULT_PARENT_COUNTRY")</f>
        <v/>
      </c>
      <c r="Q17" s="13" t="str">
        <f>_xll.SNL.Clients.Office.Excel.Functions.SPG(I17, "SP_PARENT_COMPANY_NAME")</f>
        <v/>
      </c>
      <c r="R17" s="13" t="str">
        <f>_xll.SNL.Clients.Office.Excel.Functions.SPG(I17, "SP_PARENT_COUNTRY")</f>
        <v/>
      </c>
      <c r="S17" s="13" t="str">
        <f>_xll.SNL.Clients.Office.Excel.Functions.SPG(I17, "SP_COUNTRY_NAME")</f>
        <v>China</v>
      </c>
    </row>
    <row r="18" spans="1:19" ht="30" x14ac:dyDescent="0.25">
      <c r="A18" s="8">
        <v>46022</v>
      </c>
      <c r="B18" s="7" t="s">
        <v>137</v>
      </c>
      <c r="C18" s="7" t="s">
        <v>138</v>
      </c>
      <c r="D18" s="7" t="s">
        <v>265</v>
      </c>
      <c r="E18" s="11">
        <v>138058646</v>
      </c>
      <c r="F18" s="10">
        <v>99.94</v>
      </c>
      <c r="G18" s="13" t="str">
        <f>[1]!SNLData("243327", $C18, "OWNER_LIST")</f>
        <v>CoreX Holding B.V. (Venturer) 99.94%; Mineworkers (Venturer) 0.06%</v>
      </c>
      <c r="H18" s="14">
        <f>[1]!SNLData("243327", C18, "OWNER_SNL_INSTN_KEY", "Owner 1")</f>
        <v>138058646</v>
      </c>
      <c r="I18" s="14">
        <f>[1]!SNLData("243327", C18, "OWNER_SNL_INSTN_KEY", "Owner 2")</f>
        <v>4352468</v>
      </c>
      <c r="J18" s="13" t="str">
        <f>_xll.SNL.Clients.Office.Excel.Functions.SPG(H18, "SP_ULT_PARENT_COMPANY_NAME")</f>
        <v/>
      </c>
      <c r="K18" s="13" t="str">
        <f>_xll.SNL.Clients.Office.Excel.Functions.SPG(H18, "SP_ULT_PARENT_COUNTRY")</f>
        <v/>
      </c>
      <c r="L18" s="13" t="str">
        <f>_xll.SNL.Clients.Office.Excel.Functions.SPG(H18, "SP_PARENT_COMPANY_NAME")</f>
        <v/>
      </c>
      <c r="M18" s="13" t="str">
        <f>_xll.SNL.Clients.Office.Excel.Functions.SPG(H18, "SP_PARENT_COUNTRY")</f>
        <v/>
      </c>
      <c r="N18" s="13" t="str">
        <f>_xll.SNL.Clients.Office.Excel.Functions.SPG(H18, "SP_COUNTRY_NAME")</f>
        <v>Türkiye</v>
      </c>
      <c r="O18" s="13" t="str">
        <f>_xll.SNL.Clients.Office.Excel.Functions.SPG(I18, "SP_ULT_PARENT_COMPANY_NAME")</f>
        <v/>
      </c>
      <c r="P18" s="13" t="str">
        <f>_xll.SNL.Clients.Office.Excel.Functions.SPG(I18, "SP_ULT_PARENT_COUNTRY")</f>
        <v/>
      </c>
      <c r="Q18" s="13" t="str">
        <f>_xll.SNL.Clients.Office.Excel.Functions.SPG(I18, "SP_PARENT_COMPANY_NAME")</f>
        <v/>
      </c>
      <c r="R18" s="13" t="str">
        <f>_xll.SNL.Clients.Office.Excel.Functions.SPG(I18, "SP_PARENT_COUNTRY")</f>
        <v/>
      </c>
      <c r="S18" s="13" t="str">
        <f>_xll.SNL.Clients.Office.Excel.Functions.SPG(I18, "SP_COUNTRY_NAME")</f>
        <v>Colombia</v>
      </c>
    </row>
    <row r="19" spans="1:19" ht="30" x14ac:dyDescent="0.25">
      <c r="A19" s="8">
        <v>46022</v>
      </c>
      <c r="B19" s="7" t="s">
        <v>137</v>
      </c>
      <c r="C19" s="7" t="s">
        <v>138</v>
      </c>
      <c r="D19" s="7" t="s">
        <v>266</v>
      </c>
      <c r="E19" s="11">
        <v>4352468</v>
      </c>
      <c r="F19" s="10">
        <v>0.06</v>
      </c>
      <c r="G19" s="13" t="str">
        <f>[1]!SNLData("243327", $C19, "OWNER_LIST")</f>
        <v>CoreX Holding B.V. (Venturer) 99.94%; Mineworkers (Venturer) 0.06%</v>
      </c>
      <c r="H19" s="14">
        <f>[1]!SNLData("243327", C19, "OWNER_SNL_INSTN_KEY", "Owner 1")</f>
        <v>138058646</v>
      </c>
      <c r="I19" s="14">
        <f>[1]!SNLData("243327", C19, "OWNER_SNL_INSTN_KEY", "Owner 2")</f>
        <v>4352468</v>
      </c>
      <c r="J19" s="13" t="str">
        <f>_xll.SNL.Clients.Office.Excel.Functions.SPG(H19, "SP_ULT_PARENT_COMPANY_NAME")</f>
        <v/>
      </c>
      <c r="K19" s="13" t="str">
        <f>_xll.SNL.Clients.Office.Excel.Functions.SPG(H19, "SP_ULT_PARENT_COUNTRY")</f>
        <v/>
      </c>
      <c r="L19" s="13" t="str">
        <f>_xll.SNL.Clients.Office.Excel.Functions.SPG(H19, "SP_PARENT_COMPANY_NAME")</f>
        <v/>
      </c>
      <c r="M19" s="13" t="str">
        <f>_xll.SNL.Clients.Office.Excel.Functions.SPG(H19, "SP_PARENT_COUNTRY")</f>
        <v/>
      </c>
      <c r="N19" s="13" t="str">
        <f>_xll.SNL.Clients.Office.Excel.Functions.SPG(H19, "SP_COUNTRY_NAME")</f>
        <v>Türkiye</v>
      </c>
      <c r="O19" s="13" t="str">
        <f>_xll.SNL.Clients.Office.Excel.Functions.SPG(I19, "SP_ULT_PARENT_COMPANY_NAME")</f>
        <v/>
      </c>
      <c r="P19" s="13" t="str">
        <f>_xll.SNL.Clients.Office.Excel.Functions.SPG(I19, "SP_ULT_PARENT_COUNTRY")</f>
        <v/>
      </c>
      <c r="Q19" s="13" t="str">
        <f>_xll.SNL.Clients.Office.Excel.Functions.SPG(I19, "SP_PARENT_COMPANY_NAME")</f>
        <v/>
      </c>
      <c r="R19" s="13" t="str">
        <f>_xll.SNL.Clients.Office.Excel.Functions.SPG(I19, "SP_PARENT_COUNTRY")</f>
        <v/>
      </c>
      <c r="S19" s="13" t="str">
        <f>_xll.SNL.Clients.Office.Excel.Functions.SPG(I19, "SP_COUNTRY_NAME")</f>
        <v>Colombia</v>
      </c>
    </row>
    <row r="20" spans="1:19" ht="30" x14ac:dyDescent="0.25">
      <c r="A20" s="8">
        <v>46022</v>
      </c>
      <c r="B20" s="7" t="s">
        <v>52</v>
      </c>
      <c r="C20" s="7" t="s">
        <v>53</v>
      </c>
      <c r="D20" s="7" t="s">
        <v>262</v>
      </c>
      <c r="E20" s="11">
        <v>4193273</v>
      </c>
      <c r="F20" s="10">
        <v>100</v>
      </c>
      <c r="G20" s="13" t="str">
        <f>[1]!SNLData("243327", $C20, "OWNER_LIST")</f>
        <v>Anglo American plc  100%</v>
      </c>
      <c r="H20" s="14">
        <f>[1]!SNLData("243327", C20, "OWNER_SNL_INSTN_KEY", "Owner 1")</f>
        <v>4193273</v>
      </c>
      <c r="I20" s="14" t="str">
        <f>[1]!SNLData("243327", C20, "OWNER_SNL_INSTN_KEY", "Owner 2")</f>
        <v>NA</v>
      </c>
      <c r="J20" s="13" t="str">
        <f>_xll.SNL.Clients.Office.Excel.Functions.SPG(H20, "SP_ULT_PARENT_COMPANY_NAME")</f>
        <v/>
      </c>
      <c r="K20" s="13" t="str">
        <f>_xll.SNL.Clients.Office.Excel.Functions.SPG(H20, "SP_ULT_PARENT_COUNTRY")</f>
        <v/>
      </c>
      <c r="L20" s="13" t="str">
        <f>_xll.SNL.Clients.Office.Excel.Functions.SPG(H20, "SP_PARENT_COMPANY_NAME")</f>
        <v/>
      </c>
      <c r="M20" s="13" t="str">
        <f>_xll.SNL.Clients.Office.Excel.Functions.SPG(H20, "SP_PARENT_COUNTRY")</f>
        <v/>
      </c>
      <c r="N20" s="13" t="str">
        <f>_xll.SNL.Clients.Office.Excel.Functions.SPG(H20, "SP_COUNTRY_NAME")</f>
        <v>United Kingdom</v>
      </c>
      <c r="O20" s="13" t="str">
        <f>_xll.SNL.Clients.Office.Excel.Functions.SPG(I20, "SP_ULT_PARENT_COMPANY_NAME")</f>
        <v/>
      </c>
      <c r="P20" s="13" t="str">
        <f>_xll.SNL.Clients.Office.Excel.Functions.SPG(I20, "SP_ULT_PARENT_COUNTRY")</f>
        <v/>
      </c>
      <c r="Q20" s="13" t="str">
        <f>_xll.SNL.Clients.Office.Excel.Functions.SPG(I20, "SP_PARENT_COMPANY_NAME")</f>
        <v/>
      </c>
      <c r="R20" s="13" t="str">
        <f>_xll.SNL.Clients.Office.Excel.Functions.SPG(I20, "SP_PARENT_COUNTRY")</f>
        <v/>
      </c>
      <c r="S20" s="13" t="str">
        <f>_xll.SNL.Clients.Office.Excel.Functions.SPG(I20, "SP_COUNTRY_NAME")</f>
        <v>China</v>
      </c>
    </row>
    <row r="21" spans="1:19" x14ac:dyDescent="0.25">
      <c r="A21" s="8">
        <v>46022</v>
      </c>
      <c r="B21" s="7" t="s">
        <v>55</v>
      </c>
      <c r="C21" s="7" t="s">
        <v>56</v>
      </c>
      <c r="D21" s="7" t="s">
        <v>267</v>
      </c>
      <c r="E21" s="11">
        <v>4351931</v>
      </c>
      <c r="F21" s="10">
        <v>100</v>
      </c>
      <c r="G21" s="13" t="str">
        <f>[1]!SNLData("243327", $C21, "OWNER_LIST")</f>
        <v>Talon Metals Corp.  100%</v>
      </c>
      <c r="H21" s="14">
        <f>[1]!SNLData("243327", C21, "OWNER_SNL_INSTN_KEY", "Owner 1")</f>
        <v>4354713</v>
      </c>
      <c r="I21" s="14" t="str">
        <f>[1]!SNLData("243327", C21, "OWNER_SNL_INSTN_KEY", "Owner 2")</f>
        <v>NA</v>
      </c>
      <c r="J21" s="13" t="str">
        <f>_xll.SNL.Clients.Office.Excel.Functions.SPG(H21, "SP_ULT_PARENT_COMPANY_NAME")</f>
        <v/>
      </c>
      <c r="K21" s="13" t="str">
        <f>_xll.SNL.Clients.Office.Excel.Functions.SPG(H21, "SP_ULT_PARENT_COUNTRY")</f>
        <v/>
      </c>
      <c r="L21" s="13" t="str">
        <f>_xll.SNL.Clients.Office.Excel.Functions.SPG(H21, "SP_PARENT_COMPANY_NAME")</f>
        <v/>
      </c>
      <c r="M21" s="13" t="str">
        <f>_xll.SNL.Clients.Office.Excel.Functions.SPG(H21, "SP_PARENT_COUNTRY")</f>
        <v/>
      </c>
      <c r="N21" s="13" t="str">
        <f>_xll.SNL.Clients.Office.Excel.Functions.SPG(H21, "SP_COUNTRY_NAME")</f>
        <v>BVI</v>
      </c>
      <c r="O21" s="13" t="str">
        <f>_xll.SNL.Clients.Office.Excel.Functions.SPG(I21, "SP_ULT_PARENT_COMPANY_NAME")</f>
        <v/>
      </c>
      <c r="P21" s="13" t="str">
        <f>_xll.SNL.Clients.Office.Excel.Functions.SPG(I21, "SP_ULT_PARENT_COUNTRY")</f>
        <v/>
      </c>
      <c r="Q21" s="13" t="str">
        <f>_xll.SNL.Clients.Office.Excel.Functions.SPG(I21, "SP_PARENT_COMPANY_NAME")</f>
        <v/>
      </c>
      <c r="R21" s="13" t="str">
        <f>_xll.SNL.Clients.Office.Excel.Functions.SPG(I21, "SP_PARENT_COUNTRY")</f>
        <v/>
      </c>
      <c r="S21" s="13" t="str">
        <f>_xll.SNL.Clients.Office.Excel.Functions.SPG(I21, "SP_COUNTRY_NAME")</f>
        <v>China</v>
      </c>
    </row>
    <row r="22" spans="1:19" ht="105" x14ac:dyDescent="0.25">
      <c r="A22" s="8">
        <v>46022</v>
      </c>
      <c r="B22" s="7" t="s">
        <v>140</v>
      </c>
      <c r="C22" s="7" t="s">
        <v>141</v>
      </c>
      <c r="D22" s="7" t="s">
        <v>258</v>
      </c>
      <c r="E22" s="11">
        <v>4355482</v>
      </c>
      <c r="F22" s="10">
        <v>100</v>
      </c>
      <c r="G22" s="13" t="str">
        <f>[1]!SNLData("243327", $C22, "OWNER_LIST")</f>
        <v>Xinjiang Xinxin Mining Industry Co., Ltd.  100%</v>
      </c>
      <c r="H22" s="14">
        <f>[1]!SNLData("243327", C22, "OWNER_SNL_INSTN_KEY", "Owner 1")</f>
        <v>4355482</v>
      </c>
      <c r="I22" s="14" t="str">
        <f>[1]!SNLData("243327", C22, "OWNER_SNL_INSTN_KEY", "Owner 2")</f>
        <v>NA</v>
      </c>
      <c r="J22" s="13" t="str">
        <f>_xll.SNL.Clients.Office.Excel.Functions.SPG(H22, "SP_ULT_PARENT_COMPANY_NAME")</f>
        <v>Xinjiang NonFerrous Metal Industry (Group) Co.Ltd</v>
      </c>
      <c r="K22" s="13" t="str">
        <f>_xll.SNL.Clients.Office.Excel.Functions.SPG(H22, "SP_ULT_PARENT_COUNTRY")</f>
        <v>China</v>
      </c>
      <c r="L22" s="13" t="str">
        <f>_xll.SNL.Clients.Office.Excel.Functions.SPG(H22, "SP_PARENT_COMPANY_NAME")</f>
        <v>Xinjiang NonFerrous Metal Industry (Group) Co.Ltd</v>
      </c>
      <c r="M22" s="13" t="str">
        <f>_xll.SNL.Clients.Office.Excel.Functions.SPG(H22, "SP_PARENT_COUNTRY")</f>
        <v>China</v>
      </c>
      <c r="N22" s="13" t="str">
        <f>_xll.SNL.Clients.Office.Excel.Functions.SPG(H22, "SP_COUNTRY_NAME")</f>
        <v>China</v>
      </c>
      <c r="O22" s="13" t="str">
        <f>_xll.SNL.Clients.Office.Excel.Functions.SPG(I22, "SP_ULT_PARENT_COMPANY_NAME")</f>
        <v/>
      </c>
      <c r="P22" s="13" t="str">
        <f>_xll.SNL.Clients.Office.Excel.Functions.SPG(I22, "SP_ULT_PARENT_COUNTRY")</f>
        <v/>
      </c>
      <c r="Q22" s="13" t="str">
        <f>_xll.SNL.Clients.Office.Excel.Functions.SPG(I22, "SP_PARENT_COMPANY_NAME")</f>
        <v/>
      </c>
      <c r="R22" s="13" t="str">
        <f>_xll.SNL.Clients.Office.Excel.Functions.SPG(I22, "SP_PARENT_COUNTRY")</f>
        <v/>
      </c>
      <c r="S22" s="13" t="str">
        <f>_xll.SNL.Clients.Office.Excel.Functions.SPG(I22, "SP_COUNTRY_NAME")</f>
        <v>China</v>
      </c>
    </row>
    <row r="23" spans="1:19" ht="30" x14ac:dyDescent="0.25">
      <c r="A23" s="8">
        <v>46022</v>
      </c>
      <c r="B23" s="7" t="s">
        <v>142</v>
      </c>
      <c r="C23" s="7" t="s">
        <v>143</v>
      </c>
      <c r="D23" s="7" t="s">
        <v>264</v>
      </c>
      <c r="E23" s="11">
        <v>4264043</v>
      </c>
      <c r="F23" s="10">
        <v>100</v>
      </c>
      <c r="G23" s="13" t="str">
        <f>[1]!SNLData("243327", $C23, "OWNER_LIST")</f>
        <v>Northam Platinum Holdings Limited  100%</v>
      </c>
      <c r="H23" s="14">
        <f>[1]!SNLData("243327", C23, "OWNER_SNL_INSTN_KEY", "Owner 1")</f>
        <v>4264043</v>
      </c>
      <c r="I23" s="14" t="str">
        <f>[1]!SNLData("243327", C23, "OWNER_SNL_INSTN_KEY", "Owner 2")</f>
        <v>NA</v>
      </c>
      <c r="J23" s="13" t="str">
        <f>_xll.SNL.Clients.Office.Excel.Functions.SPG(H23, "SP_ULT_PARENT_COMPANY_NAME")</f>
        <v/>
      </c>
      <c r="K23" s="13" t="str">
        <f>_xll.SNL.Clients.Office.Excel.Functions.SPG(H23, "SP_ULT_PARENT_COUNTRY")</f>
        <v/>
      </c>
      <c r="L23" s="13" t="str">
        <f>_xll.SNL.Clients.Office.Excel.Functions.SPG(H23, "SP_PARENT_COMPANY_NAME")</f>
        <v/>
      </c>
      <c r="M23" s="13" t="str">
        <f>_xll.SNL.Clients.Office.Excel.Functions.SPG(H23, "SP_PARENT_COUNTRY")</f>
        <v/>
      </c>
      <c r="N23" s="13" t="str">
        <f>_xll.SNL.Clients.Office.Excel.Functions.SPG(H23, "SP_COUNTRY_NAME")</f>
        <v>South Africa</v>
      </c>
      <c r="O23" s="13" t="str">
        <f>_xll.SNL.Clients.Office.Excel.Functions.SPG(I23, "SP_ULT_PARENT_COMPANY_NAME")</f>
        <v/>
      </c>
      <c r="P23" s="13" t="str">
        <f>_xll.SNL.Clients.Office.Excel.Functions.SPG(I23, "SP_ULT_PARENT_COUNTRY")</f>
        <v/>
      </c>
      <c r="Q23" s="13" t="str">
        <f>_xll.SNL.Clients.Office.Excel.Functions.SPG(I23, "SP_PARENT_COMPANY_NAME")</f>
        <v/>
      </c>
      <c r="R23" s="13" t="str">
        <f>_xll.SNL.Clients.Office.Excel.Functions.SPG(I23, "SP_PARENT_COUNTRY")</f>
        <v/>
      </c>
      <c r="S23" s="13" t="str">
        <f>_xll.SNL.Clients.Office.Excel.Functions.SPG(I23, "SP_COUNTRY_NAME")</f>
        <v>China</v>
      </c>
    </row>
    <row r="24" spans="1:19" ht="60" x14ac:dyDescent="0.25">
      <c r="A24" s="8">
        <v>46022</v>
      </c>
      <c r="B24" s="7" t="s">
        <v>144</v>
      </c>
      <c r="C24" s="7" t="s">
        <v>145</v>
      </c>
      <c r="D24" s="7" t="s">
        <v>268</v>
      </c>
      <c r="E24" s="11">
        <v>28696936</v>
      </c>
      <c r="F24" s="10">
        <v>95</v>
      </c>
      <c r="G24" s="13" t="str">
        <f>[1]!SNLData("243327", $C24, "OWNER_LIST")</f>
        <v>Societe de Participation Miniere du Sud Caledonia SAS (Venturer) 5%; Prony Resources New Caledonia consortium (Venturer) 95%</v>
      </c>
      <c r="H24" s="14">
        <f>[1]!SNLData("243327", C24, "OWNER_SNL_INSTN_KEY", "Owner 1")</f>
        <v>28696936</v>
      </c>
      <c r="I24" s="14">
        <f>[1]!SNLData("243327", C24, "OWNER_SNL_INSTN_KEY", "Owner 2")</f>
        <v>4500088</v>
      </c>
      <c r="J24" s="13" t="str">
        <f>_xll.SNL.Clients.Office.Excel.Functions.SPG(H24, "SP_ULT_PARENT_COMPANY_NAME")</f>
        <v/>
      </c>
      <c r="K24" s="13" t="str">
        <f>_xll.SNL.Clients.Office.Excel.Functions.SPG(H24, "SP_ULT_PARENT_COUNTRY")</f>
        <v/>
      </c>
      <c r="L24" s="13" t="str">
        <f>_xll.SNL.Clients.Office.Excel.Functions.SPG(H24, "SP_PARENT_COMPANY_NAME")</f>
        <v/>
      </c>
      <c r="M24" s="13" t="str">
        <f>_xll.SNL.Clients.Office.Excel.Functions.SPG(H24, "SP_PARENT_COUNTRY")</f>
        <v/>
      </c>
      <c r="N24" s="13" t="str">
        <f>_xll.SNL.Clients.Office.Excel.Functions.SPG(H24, "SP_COUNTRY_NAME")</f>
        <v>France</v>
      </c>
      <c r="O24" s="13" t="str">
        <f>_xll.SNL.Clients.Office.Excel.Functions.SPG(I24, "SP_ULT_PARENT_COMPANY_NAME")</f>
        <v/>
      </c>
      <c r="P24" s="13" t="str">
        <f>_xll.SNL.Clients.Office.Excel.Functions.SPG(I24, "SP_ULT_PARENT_COUNTRY")</f>
        <v/>
      </c>
      <c r="Q24" s="13" t="str">
        <f>_xll.SNL.Clients.Office.Excel.Functions.SPG(I24, "SP_PARENT_COMPANY_NAME")</f>
        <v/>
      </c>
      <c r="R24" s="13" t="str">
        <f>_xll.SNL.Clients.Office.Excel.Functions.SPG(I24, "SP_PARENT_COUNTRY")</f>
        <v/>
      </c>
      <c r="S24" s="13" t="str">
        <f>_xll.SNL.Clients.Office.Excel.Functions.SPG(I24, "SP_COUNTRY_NAME")</f>
        <v>France</v>
      </c>
    </row>
    <row r="25" spans="1:19" ht="60" x14ac:dyDescent="0.25">
      <c r="A25" s="8">
        <v>46022</v>
      </c>
      <c r="B25" s="7" t="s">
        <v>144</v>
      </c>
      <c r="C25" s="7" t="s">
        <v>145</v>
      </c>
      <c r="D25" s="7" t="s">
        <v>269</v>
      </c>
      <c r="E25" s="11">
        <v>4500088</v>
      </c>
      <c r="F25" s="10">
        <v>5</v>
      </c>
      <c r="G25" s="13" t="str">
        <f>[1]!SNLData("243327", $C25, "OWNER_LIST")</f>
        <v>Societe de Participation Miniere du Sud Caledonia SAS (Venturer) 5%; Prony Resources New Caledonia consortium (Venturer) 95%</v>
      </c>
      <c r="H25" s="14">
        <f>[1]!SNLData("243327", C25, "OWNER_SNL_INSTN_KEY", "Owner 1")</f>
        <v>28696936</v>
      </c>
      <c r="I25" s="14">
        <f>[1]!SNLData("243327", C25, "OWNER_SNL_INSTN_KEY", "Owner 2")</f>
        <v>4500088</v>
      </c>
      <c r="J25" s="13" t="str">
        <f>_xll.SNL.Clients.Office.Excel.Functions.SPG(H25, "SP_ULT_PARENT_COMPANY_NAME")</f>
        <v/>
      </c>
      <c r="K25" s="13" t="str">
        <f>_xll.SNL.Clients.Office.Excel.Functions.SPG(H25, "SP_ULT_PARENT_COUNTRY")</f>
        <v/>
      </c>
      <c r="L25" s="13" t="str">
        <f>_xll.SNL.Clients.Office.Excel.Functions.SPG(H25, "SP_PARENT_COMPANY_NAME")</f>
        <v/>
      </c>
      <c r="M25" s="13" t="str">
        <f>_xll.SNL.Clients.Office.Excel.Functions.SPG(H25, "SP_PARENT_COUNTRY")</f>
        <v/>
      </c>
      <c r="N25" s="13" t="str">
        <f>_xll.SNL.Clients.Office.Excel.Functions.SPG(H25, "SP_COUNTRY_NAME")</f>
        <v>France</v>
      </c>
      <c r="O25" s="13" t="str">
        <f>_xll.SNL.Clients.Office.Excel.Functions.SPG(I25, "SP_ULT_PARENT_COMPANY_NAME")</f>
        <v/>
      </c>
      <c r="P25" s="13" t="str">
        <f>_xll.SNL.Clients.Office.Excel.Functions.SPG(I25, "SP_ULT_PARENT_COUNTRY")</f>
        <v/>
      </c>
      <c r="Q25" s="13" t="str">
        <f>_xll.SNL.Clients.Office.Excel.Functions.SPG(I25, "SP_PARENT_COMPANY_NAME")</f>
        <v/>
      </c>
      <c r="R25" s="13" t="str">
        <f>_xll.SNL.Clients.Office.Excel.Functions.SPG(I25, "SP_PARENT_COUNTRY")</f>
        <v/>
      </c>
      <c r="S25" s="13" t="str">
        <f>_xll.SNL.Clients.Office.Excel.Functions.SPG(I25, "SP_COUNTRY_NAME")</f>
        <v>France</v>
      </c>
    </row>
    <row r="26" spans="1:19" x14ac:dyDescent="0.25">
      <c r="A26" s="8">
        <v>46022</v>
      </c>
      <c r="B26" s="7" t="s">
        <v>58</v>
      </c>
      <c r="C26" s="7" t="s">
        <v>59</v>
      </c>
      <c r="D26" s="7" t="s">
        <v>270</v>
      </c>
      <c r="E26" s="11">
        <v>4557435</v>
      </c>
      <c r="F26" s="10">
        <v>100</v>
      </c>
      <c r="G26" s="13" t="str">
        <f>[1]!SNLData("243327", $C26, "OWNER_LIST")</f>
        <v/>
      </c>
      <c r="H26" s="14" t="str">
        <f>[1]!SNLData("243327", C26, "OWNER_SNL_INSTN_KEY", "Owner 1")</f>
        <v>NA</v>
      </c>
      <c r="I26" s="14" t="str">
        <f>[1]!SNLData("243327", C26, "OWNER_SNL_INSTN_KEY", "Owner 2")</f>
        <v>NA</v>
      </c>
      <c r="J26" s="13" t="str">
        <f>_xll.SNL.Clients.Office.Excel.Functions.SPG(H26, "SP_ULT_PARENT_COMPANY_NAME")</f>
        <v/>
      </c>
      <c r="K26" s="13" t="str">
        <f>_xll.SNL.Clients.Office.Excel.Functions.SPG(H26, "SP_ULT_PARENT_COUNTRY")</f>
        <v/>
      </c>
      <c r="L26" s="13" t="str">
        <f>_xll.SNL.Clients.Office.Excel.Functions.SPG(H26, "SP_PARENT_COMPANY_NAME")</f>
        <v/>
      </c>
      <c r="M26" s="13" t="str">
        <f>_xll.SNL.Clients.Office.Excel.Functions.SPG(H26, "SP_PARENT_COUNTRY")</f>
        <v/>
      </c>
      <c r="N26" s="13" t="str">
        <f>_xll.SNL.Clients.Office.Excel.Functions.SPG(H26, "SP_COUNTRY_NAME")</f>
        <v>China</v>
      </c>
      <c r="O26" s="13" t="str">
        <f>_xll.SNL.Clients.Office.Excel.Functions.SPG(I26, "SP_ULT_PARENT_COMPANY_NAME")</f>
        <v/>
      </c>
      <c r="P26" s="13" t="str">
        <f>_xll.SNL.Clients.Office.Excel.Functions.SPG(I26, "SP_ULT_PARENT_COUNTRY")</f>
        <v/>
      </c>
      <c r="Q26" s="13" t="str">
        <f>_xll.SNL.Clients.Office.Excel.Functions.SPG(I26, "SP_PARENT_COMPANY_NAME")</f>
        <v/>
      </c>
      <c r="R26" s="13" t="str">
        <f>_xll.SNL.Clients.Office.Excel.Functions.SPG(I26, "SP_PARENT_COUNTRY")</f>
        <v/>
      </c>
      <c r="S26" s="13" t="str">
        <f>_xll.SNL.Clients.Office.Excel.Functions.SPG(I26, "SP_COUNTRY_NAME")</f>
        <v>China</v>
      </c>
    </row>
    <row r="27" spans="1:19" x14ac:dyDescent="0.25">
      <c r="A27" s="8">
        <v>46022</v>
      </c>
      <c r="B27" s="7" t="s">
        <v>146</v>
      </c>
      <c r="C27" s="7" t="s">
        <v>147</v>
      </c>
      <c r="D27" s="7" t="s">
        <v>271</v>
      </c>
      <c r="E27" s="11">
        <v>4360792</v>
      </c>
      <c r="F27" s="10">
        <v>100</v>
      </c>
      <c r="G27" s="13" t="str">
        <f>[1]!SNLData("243327", $C27, "OWNER_LIST")</f>
        <v/>
      </c>
      <c r="H27" s="14" t="str">
        <f>[1]!SNLData("243327", C27, "OWNER_SNL_INSTN_KEY", "Owner 1")</f>
        <v>NA</v>
      </c>
      <c r="I27" s="14" t="str">
        <f>[1]!SNLData("243327", C27, "OWNER_SNL_INSTN_KEY", "Owner 2")</f>
        <v>NA</v>
      </c>
      <c r="J27" s="13" t="str">
        <f>_xll.SNL.Clients.Office.Excel.Functions.SPG(H27, "SP_ULT_PARENT_COMPANY_NAME")</f>
        <v/>
      </c>
      <c r="K27" s="13" t="str">
        <f>_xll.SNL.Clients.Office.Excel.Functions.SPG(H27, "SP_ULT_PARENT_COUNTRY")</f>
        <v/>
      </c>
      <c r="L27" s="13" t="str">
        <f>_xll.SNL.Clients.Office.Excel.Functions.SPG(H27, "SP_PARENT_COMPANY_NAME")</f>
        <v/>
      </c>
      <c r="M27" s="13" t="str">
        <f>_xll.SNL.Clients.Office.Excel.Functions.SPG(H27, "SP_PARENT_COUNTRY")</f>
        <v/>
      </c>
      <c r="N27" s="13" t="str">
        <f>_xll.SNL.Clients.Office.Excel.Functions.SPG(H27, "SP_COUNTRY_NAME")</f>
        <v>China</v>
      </c>
      <c r="O27" s="13" t="str">
        <f>_xll.SNL.Clients.Office.Excel.Functions.SPG(I27, "SP_ULT_PARENT_COMPANY_NAME")</f>
        <v/>
      </c>
      <c r="P27" s="13" t="str">
        <f>_xll.SNL.Clients.Office.Excel.Functions.SPG(I27, "SP_ULT_PARENT_COUNTRY")</f>
        <v/>
      </c>
      <c r="Q27" s="13" t="str">
        <f>_xll.SNL.Clients.Office.Excel.Functions.SPG(I27, "SP_PARENT_COMPANY_NAME")</f>
        <v/>
      </c>
      <c r="R27" s="13" t="str">
        <f>_xll.SNL.Clients.Office.Excel.Functions.SPG(I27, "SP_PARENT_COUNTRY")</f>
        <v/>
      </c>
      <c r="S27" s="13" t="str">
        <f>_xll.SNL.Clients.Office.Excel.Functions.SPG(I27, "SP_COUNTRY_NAME")</f>
        <v>China</v>
      </c>
    </row>
    <row r="28" spans="1:19" ht="45" x14ac:dyDescent="0.25">
      <c r="A28" s="8">
        <v>46022</v>
      </c>
      <c r="B28" s="7" t="s">
        <v>72</v>
      </c>
      <c r="C28" s="7" t="s">
        <v>73</v>
      </c>
      <c r="D28" s="7" t="s">
        <v>272</v>
      </c>
      <c r="E28" s="11">
        <v>4351190</v>
      </c>
      <c r="F28" s="10">
        <v>87</v>
      </c>
      <c r="G28" s="13" t="str">
        <f>[1]!SNLData("243327", $C28, "OWNER_LIST")</f>
        <v>Private Interest (Venturer) 13%; Impala Platinum Holdings Limited (Venturer) 87%</v>
      </c>
      <c r="H28" s="14">
        <f>[1]!SNLData("243327", C28, "OWNER_SNL_INSTN_KEY", "Owner 1")</f>
        <v>4351190</v>
      </c>
      <c r="I28" s="14">
        <f>[1]!SNLData("243327", C28, "OWNER_SNL_INSTN_KEY", "Owner 2")</f>
        <v>4353456</v>
      </c>
      <c r="J28" s="13" t="str">
        <f>_xll.SNL.Clients.Office.Excel.Functions.SPG(H28, "SP_ULT_PARENT_COMPANY_NAME")</f>
        <v/>
      </c>
      <c r="K28" s="13" t="str">
        <f>_xll.SNL.Clients.Office.Excel.Functions.SPG(H28, "SP_ULT_PARENT_COUNTRY")</f>
        <v/>
      </c>
      <c r="L28" s="13" t="str">
        <f>_xll.SNL.Clients.Office.Excel.Functions.SPG(H28, "SP_PARENT_COMPANY_NAME")</f>
        <v/>
      </c>
      <c r="M28" s="13" t="str">
        <f>_xll.SNL.Clients.Office.Excel.Functions.SPG(H28, "SP_PARENT_COUNTRY")</f>
        <v/>
      </c>
      <c r="N28" s="13" t="str">
        <f>_xll.SNL.Clients.Office.Excel.Functions.SPG(H28, "SP_COUNTRY_NAME")</f>
        <v>South Africa</v>
      </c>
      <c r="O28" s="13" t="str">
        <f>_xll.SNL.Clients.Office.Excel.Functions.SPG(I28, "SP_ULT_PARENT_COMPANY_NAME")</f>
        <v/>
      </c>
      <c r="P28" s="13" t="str">
        <f>_xll.SNL.Clients.Office.Excel.Functions.SPG(I28, "SP_ULT_PARENT_COUNTRY")</f>
        <v/>
      </c>
      <c r="Q28" s="13" t="str">
        <f>_xll.SNL.Clients.Office.Excel.Functions.SPG(I28, "SP_PARENT_COMPANY_NAME")</f>
        <v/>
      </c>
      <c r="R28" s="13" t="str">
        <f>_xll.SNL.Clients.Office.Excel.Functions.SPG(I28, "SP_PARENT_COUNTRY")</f>
        <v/>
      </c>
      <c r="S28" s="13" t="str">
        <f>_xll.SNL.Clients.Office.Excel.Functions.SPG(I28, "SP_COUNTRY_NAME")</f>
        <v>China</v>
      </c>
    </row>
    <row r="29" spans="1:19" ht="45" x14ac:dyDescent="0.25">
      <c r="A29" s="8">
        <v>46022</v>
      </c>
      <c r="B29" s="7" t="s">
        <v>72</v>
      </c>
      <c r="C29" s="7" t="s">
        <v>73</v>
      </c>
      <c r="D29" s="7" t="s">
        <v>273</v>
      </c>
      <c r="E29" s="11">
        <v>4353456</v>
      </c>
      <c r="F29" s="10">
        <v>13</v>
      </c>
      <c r="G29" s="13" t="str">
        <f>[1]!SNLData("243327", $C29, "OWNER_LIST")</f>
        <v>Private Interest (Venturer) 13%; Impala Platinum Holdings Limited (Venturer) 87%</v>
      </c>
      <c r="H29" s="14">
        <f>[1]!SNLData("243327", C29, "OWNER_SNL_INSTN_KEY", "Owner 1")</f>
        <v>4351190</v>
      </c>
      <c r="I29" s="14">
        <f>[1]!SNLData("243327", C29, "OWNER_SNL_INSTN_KEY", "Owner 2")</f>
        <v>4353456</v>
      </c>
      <c r="J29" s="13" t="str">
        <f>_xll.SNL.Clients.Office.Excel.Functions.SPG(H29, "SP_ULT_PARENT_COMPANY_NAME")</f>
        <v/>
      </c>
      <c r="K29" s="13" t="str">
        <f>_xll.SNL.Clients.Office.Excel.Functions.SPG(H29, "SP_ULT_PARENT_COUNTRY")</f>
        <v/>
      </c>
      <c r="L29" s="13" t="str">
        <f>_xll.SNL.Clients.Office.Excel.Functions.SPG(H29, "SP_PARENT_COMPANY_NAME")</f>
        <v/>
      </c>
      <c r="M29" s="13" t="str">
        <f>_xll.SNL.Clients.Office.Excel.Functions.SPG(H29, "SP_PARENT_COUNTRY")</f>
        <v/>
      </c>
      <c r="N29" s="13" t="str">
        <f>_xll.SNL.Clients.Office.Excel.Functions.SPG(H29, "SP_COUNTRY_NAME")</f>
        <v>South Africa</v>
      </c>
      <c r="O29" s="13" t="str">
        <f>_xll.SNL.Clients.Office.Excel.Functions.SPG(I29, "SP_ULT_PARENT_COMPANY_NAME")</f>
        <v/>
      </c>
      <c r="P29" s="13" t="str">
        <f>_xll.SNL.Clients.Office.Excel.Functions.SPG(I29, "SP_ULT_PARENT_COUNTRY")</f>
        <v/>
      </c>
      <c r="Q29" s="13" t="str">
        <f>_xll.SNL.Clients.Office.Excel.Functions.SPG(I29, "SP_PARENT_COMPANY_NAME")</f>
        <v/>
      </c>
      <c r="R29" s="13" t="str">
        <f>_xll.SNL.Clients.Office.Excel.Functions.SPG(I29, "SP_PARENT_COUNTRY")</f>
        <v/>
      </c>
      <c r="S29" s="13" t="str">
        <f>_xll.SNL.Clients.Office.Excel.Functions.SPG(I29, "SP_COUNTRY_NAME")</f>
        <v>China</v>
      </c>
    </row>
    <row r="30" spans="1:19" ht="180" x14ac:dyDescent="0.25">
      <c r="A30" s="8">
        <v>46022</v>
      </c>
      <c r="B30" s="7" t="s">
        <v>61</v>
      </c>
      <c r="C30" s="7" t="s">
        <v>62</v>
      </c>
      <c r="D30" s="7" t="s">
        <v>274</v>
      </c>
      <c r="E30" s="11">
        <v>4351437</v>
      </c>
      <c r="F30" s="10">
        <v>100</v>
      </c>
      <c r="G30" s="13" t="str">
        <f>[1]!SNLData("243327", $C30, "OWNER_LIST")</f>
        <v>JinChuan Group Co.,Ltd  100%</v>
      </c>
      <c r="H30" s="14">
        <f>[1]!SNLData("243327", C30, "OWNER_SNL_INSTN_KEY", "Owner 1")</f>
        <v>4351437</v>
      </c>
      <c r="I30" s="14" t="str">
        <f>[1]!SNLData("243327", C30, "OWNER_SNL_INSTN_KEY", "Owner 2")</f>
        <v>NA</v>
      </c>
      <c r="J30" s="13" t="str">
        <f>_xll.SNL.Clients.Office.Excel.Functions.SPG(H30, "SP_ULT_PARENT_COMPANY_NAME")</f>
        <v>State-Owned Assets Supervision And Administration Commission Of Gansu Provincial</v>
      </c>
      <c r="K30" s="13" t="str">
        <f>_xll.SNL.Clients.Office.Excel.Functions.SPG(H30, "SP_ULT_PARENT_COUNTRY")</f>
        <v>China</v>
      </c>
      <c r="L30" s="13" t="str">
        <f>_xll.SNL.Clients.Office.Excel.Functions.SPG(H30, "SP_PARENT_COMPANY_NAME")</f>
        <v>State-Owned Assets Supervision And Administration Commission Of Gansu Provincial</v>
      </c>
      <c r="M30" s="13" t="str">
        <f>_xll.SNL.Clients.Office.Excel.Functions.SPG(H30, "SP_PARENT_COUNTRY")</f>
        <v>China</v>
      </c>
      <c r="N30" s="13" t="str">
        <f>_xll.SNL.Clients.Office.Excel.Functions.SPG(H30, "SP_COUNTRY_NAME")</f>
        <v>China</v>
      </c>
      <c r="O30" s="13" t="str">
        <f>_xll.SNL.Clients.Office.Excel.Functions.SPG(I30, "SP_ULT_PARENT_COMPANY_NAME")</f>
        <v/>
      </c>
      <c r="P30" s="13" t="str">
        <f>_xll.SNL.Clients.Office.Excel.Functions.SPG(I30, "SP_ULT_PARENT_COUNTRY")</f>
        <v/>
      </c>
      <c r="Q30" s="13" t="str">
        <f>_xll.SNL.Clients.Office.Excel.Functions.SPG(I30, "SP_PARENT_COMPANY_NAME")</f>
        <v/>
      </c>
      <c r="R30" s="13" t="str">
        <f>_xll.SNL.Clients.Office.Excel.Functions.SPG(I30, "SP_PARENT_COUNTRY")</f>
        <v/>
      </c>
      <c r="S30" s="13" t="str">
        <f>_xll.SNL.Clients.Office.Excel.Functions.SPG(I30, "SP_COUNTRY_NAME")</f>
        <v>China</v>
      </c>
    </row>
    <row r="31" spans="1:19" ht="105" x14ac:dyDescent="0.25">
      <c r="A31" s="8">
        <v>46022</v>
      </c>
      <c r="B31" s="7" t="s">
        <v>74</v>
      </c>
      <c r="C31" s="7" t="s">
        <v>75</v>
      </c>
      <c r="D31" s="7" t="s">
        <v>258</v>
      </c>
      <c r="E31" s="11">
        <v>4355482</v>
      </c>
      <c r="F31" s="10">
        <v>100</v>
      </c>
      <c r="G31" s="13" t="str">
        <f>[1]!SNLData("243327", $C31, "OWNER_LIST")</f>
        <v>Xinjiang Xinxin Mining Industry Co., Ltd.  100%</v>
      </c>
      <c r="H31" s="14">
        <f>[1]!SNLData("243327", C31, "OWNER_SNL_INSTN_KEY", "Owner 1")</f>
        <v>4355482</v>
      </c>
      <c r="I31" s="14" t="str">
        <f>[1]!SNLData("243327", C31, "OWNER_SNL_INSTN_KEY", "Owner 2")</f>
        <v>NA</v>
      </c>
      <c r="J31" s="13" t="str">
        <f>_xll.SNL.Clients.Office.Excel.Functions.SPG(H31, "SP_ULT_PARENT_COMPANY_NAME")</f>
        <v>Xinjiang NonFerrous Metal Industry (Group) Co.Ltd</v>
      </c>
      <c r="K31" s="13" t="str">
        <f>_xll.SNL.Clients.Office.Excel.Functions.SPG(H31, "SP_ULT_PARENT_COUNTRY")</f>
        <v>China</v>
      </c>
      <c r="L31" s="13" t="str">
        <f>_xll.SNL.Clients.Office.Excel.Functions.SPG(H31, "SP_PARENT_COMPANY_NAME")</f>
        <v>Xinjiang NonFerrous Metal Industry (Group) Co.Ltd</v>
      </c>
      <c r="M31" s="13" t="str">
        <f>_xll.SNL.Clients.Office.Excel.Functions.SPG(H31, "SP_PARENT_COUNTRY")</f>
        <v>China</v>
      </c>
      <c r="N31" s="13" t="str">
        <f>_xll.SNL.Clients.Office.Excel.Functions.SPG(H31, "SP_COUNTRY_NAME")</f>
        <v>China</v>
      </c>
      <c r="O31" s="13" t="str">
        <f>_xll.SNL.Clients.Office.Excel.Functions.SPG(I31, "SP_ULT_PARENT_COMPANY_NAME")</f>
        <v/>
      </c>
      <c r="P31" s="13" t="str">
        <f>_xll.SNL.Clients.Office.Excel.Functions.SPG(I31, "SP_ULT_PARENT_COUNTRY")</f>
        <v/>
      </c>
      <c r="Q31" s="13" t="str">
        <f>_xll.SNL.Clients.Office.Excel.Functions.SPG(I31, "SP_PARENT_COMPANY_NAME")</f>
        <v/>
      </c>
      <c r="R31" s="13" t="str">
        <f>_xll.SNL.Clients.Office.Excel.Functions.SPG(I31, "SP_PARENT_COUNTRY")</f>
        <v/>
      </c>
      <c r="S31" s="13" t="str">
        <f>_xll.SNL.Clients.Office.Excel.Functions.SPG(I31, "SP_COUNTRY_NAME")</f>
        <v>China</v>
      </c>
    </row>
    <row r="32" spans="1:19" x14ac:dyDescent="0.25">
      <c r="A32" s="8">
        <v>46022</v>
      </c>
      <c r="B32" s="7" t="s">
        <v>168</v>
      </c>
      <c r="C32" s="7" t="s">
        <v>169</v>
      </c>
      <c r="D32" s="7" t="s">
        <v>275</v>
      </c>
      <c r="E32" s="11">
        <v>4348654</v>
      </c>
      <c r="F32" s="10">
        <v>100</v>
      </c>
      <c r="G32" s="13" t="str">
        <f>[1]!SNLData("243327", $C32, "OWNER_LIST")</f>
        <v>Boliden AB (publ)  100%</v>
      </c>
      <c r="H32" s="14">
        <f>[1]!SNLData("243327", C32, "OWNER_SNL_INSTN_KEY", "Owner 1")</f>
        <v>4348654</v>
      </c>
      <c r="I32" s="14" t="str">
        <f>[1]!SNLData("243327", C32, "OWNER_SNL_INSTN_KEY", "Owner 2")</f>
        <v>NA</v>
      </c>
      <c r="J32" s="13" t="str">
        <f>_xll.SNL.Clients.Office.Excel.Functions.SPG(H32, "SP_ULT_PARENT_COMPANY_NAME")</f>
        <v/>
      </c>
      <c r="K32" s="13" t="str">
        <f>_xll.SNL.Clients.Office.Excel.Functions.SPG(H32, "SP_ULT_PARENT_COUNTRY")</f>
        <v/>
      </c>
      <c r="L32" s="13" t="str">
        <f>_xll.SNL.Clients.Office.Excel.Functions.SPG(H32, "SP_PARENT_COMPANY_NAME")</f>
        <v/>
      </c>
      <c r="M32" s="13" t="str">
        <f>_xll.SNL.Clients.Office.Excel.Functions.SPG(H32, "SP_PARENT_COUNTRY")</f>
        <v/>
      </c>
      <c r="N32" s="13" t="str">
        <f>_xll.SNL.Clients.Office.Excel.Functions.SPG(H32, "SP_COUNTRY_NAME")</f>
        <v>Sweden</v>
      </c>
      <c r="O32" s="13" t="str">
        <f>_xll.SNL.Clients.Office.Excel.Functions.SPG(I32, "SP_ULT_PARENT_COMPANY_NAME")</f>
        <v/>
      </c>
      <c r="P32" s="13" t="str">
        <f>_xll.SNL.Clients.Office.Excel.Functions.SPG(I32, "SP_ULT_PARENT_COUNTRY")</f>
        <v/>
      </c>
      <c r="Q32" s="13" t="str">
        <f>_xll.SNL.Clients.Office.Excel.Functions.SPG(I32, "SP_PARENT_COMPANY_NAME")</f>
        <v/>
      </c>
      <c r="R32" s="13" t="str">
        <f>_xll.SNL.Clients.Office.Excel.Functions.SPG(I32, "SP_PARENT_COUNTRY")</f>
        <v/>
      </c>
      <c r="S32" s="13" t="str">
        <f>_xll.SNL.Clients.Office.Excel.Functions.SPG(I32, "SP_COUNTRY_NAME")</f>
        <v>China</v>
      </c>
    </row>
    <row r="33" spans="1:19" ht="30" x14ac:dyDescent="0.25">
      <c r="A33" s="8">
        <v>46022</v>
      </c>
      <c r="B33" s="7" t="s">
        <v>63</v>
      </c>
      <c r="C33" s="7" t="s">
        <v>64</v>
      </c>
      <c r="D33" s="7" t="s">
        <v>276</v>
      </c>
      <c r="E33" s="11">
        <v>4379789</v>
      </c>
      <c r="F33" s="10">
        <v>100</v>
      </c>
      <c r="G33" s="13" t="str">
        <f>[1]!SNLData("243327", $C33, "OWNER_LIST")</f>
        <v>Sibanye Stillwater Limited  100%</v>
      </c>
      <c r="H33" s="14">
        <f>[1]!SNLData("243327", C33, "OWNER_SNL_INSTN_KEY", "Owner 1")</f>
        <v>4379789</v>
      </c>
      <c r="I33" s="14" t="str">
        <f>[1]!SNLData("243327", C33, "OWNER_SNL_INSTN_KEY", "Owner 2")</f>
        <v>NA</v>
      </c>
      <c r="J33" s="13" t="str">
        <f>_xll.SNL.Clients.Office.Excel.Functions.SPG(H33, "SP_ULT_PARENT_COMPANY_NAME")</f>
        <v/>
      </c>
      <c r="K33" s="13" t="str">
        <f>_xll.SNL.Clients.Office.Excel.Functions.SPG(H33, "SP_ULT_PARENT_COUNTRY")</f>
        <v/>
      </c>
      <c r="L33" s="13" t="str">
        <f>_xll.SNL.Clients.Office.Excel.Functions.SPG(H33, "SP_PARENT_COMPANY_NAME")</f>
        <v/>
      </c>
      <c r="M33" s="13" t="str">
        <f>_xll.SNL.Clients.Office.Excel.Functions.SPG(H33, "SP_PARENT_COUNTRY")</f>
        <v/>
      </c>
      <c r="N33" s="13" t="str">
        <f>_xll.SNL.Clients.Office.Excel.Functions.SPG(H33, "SP_COUNTRY_NAME")</f>
        <v>South Africa</v>
      </c>
      <c r="O33" s="13" t="str">
        <f>_xll.SNL.Clients.Office.Excel.Functions.SPG(I33, "SP_ULT_PARENT_COMPANY_NAME")</f>
        <v/>
      </c>
      <c r="P33" s="13" t="str">
        <f>_xll.SNL.Clients.Office.Excel.Functions.SPG(I33, "SP_ULT_PARENT_COUNTRY")</f>
        <v/>
      </c>
      <c r="Q33" s="13" t="str">
        <f>_xll.SNL.Clients.Office.Excel.Functions.SPG(I33, "SP_PARENT_COMPANY_NAME")</f>
        <v/>
      </c>
      <c r="R33" s="13" t="str">
        <f>_xll.SNL.Clients.Office.Excel.Functions.SPG(I33, "SP_PARENT_COUNTRY")</f>
        <v/>
      </c>
      <c r="S33" s="13" t="str">
        <f>_xll.SNL.Clients.Office.Excel.Functions.SPG(I33, "SP_COUNTRY_NAME")</f>
        <v>China</v>
      </c>
    </row>
    <row r="34" spans="1:19" x14ac:dyDescent="0.25">
      <c r="A34" s="8">
        <v>46022</v>
      </c>
      <c r="B34" s="7" t="s">
        <v>66</v>
      </c>
      <c r="C34" s="7" t="s">
        <v>67</v>
      </c>
      <c r="D34" s="7" t="s">
        <v>277</v>
      </c>
      <c r="E34" s="11">
        <v>4223919</v>
      </c>
      <c r="F34" s="10">
        <v>100</v>
      </c>
      <c r="G34" s="13" t="str">
        <f>[1]!SNLData("243327", $C34, "OWNER_LIST")</f>
        <v>Vale S.A.  100%</v>
      </c>
      <c r="H34" s="14">
        <f>[1]!SNLData("243327", C34, "OWNER_SNL_INSTN_KEY", "Owner 1")</f>
        <v>4223919</v>
      </c>
      <c r="I34" s="14" t="str">
        <f>[1]!SNLData("243327", C34, "OWNER_SNL_INSTN_KEY", "Owner 2")</f>
        <v>NA</v>
      </c>
      <c r="J34" s="13" t="str">
        <f>_xll.SNL.Clients.Office.Excel.Functions.SPG(H34, "SP_ULT_PARENT_COMPANY_NAME")</f>
        <v/>
      </c>
      <c r="K34" s="13" t="str">
        <f>_xll.SNL.Clients.Office.Excel.Functions.SPG(H34, "SP_ULT_PARENT_COUNTRY")</f>
        <v/>
      </c>
      <c r="L34" s="13" t="str">
        <f>_xll.SNL.Clients.Office.Excel.Functions.SPG(H34, "SP_PARENT_COMPANY_NAME")</f>
        <v/>
      </c>
      <c r="M34" s="13" t="str">
        <f>_xll.SNL.Clients.Office.Excel.Functions.SPG(H34, "SP_PARENT_COUNTRY")</f>
        <v/>
      </c>
      <c r="N34" s="13" t="str">
        <f>_xll.SNL.Clients.Office.Excel.Functions.SPG(H34, "SP_COUNTRY_NAME")</f>
        <v>Brazil</v>
      </c>
      <c r="O34" s="13" t="str">
        <f>_xll.SNL.Clients.Office.Excel.Functions.SPG(I34, "SP_ULT_PARENT_COMPANY_NAME")</f>
        <v/>
      </c>
      <c r="P34" s="13" t="str">
        <f>_xll.SNL.Clients.Office.Excel.Functions.SPG(I34, "SP_ULT_PARENT_COUNTRY")</f>
        <v/>
      </c>
      <c r="Q34" s="13" t="str">
        <f>_xll.SNL.Clients.Office.Excel.Functions.SPG(I34, "SP_PARENT_COMPANY_NAME")</f>
        <v/>
      </c>
      <c r="R34" s="13" t="str">
        <f>_xll.SNL.Clients.Office.Excel.Functions.SPG(I34, "SP_PARENT_COUNTRY")</f>
        <v/>
      </c>
      <c r="S34" s="13" t="str">
        <f>_xll.SNL.Clients.Office.Excel.Functions.SPG(I34, "SP_COUNTRY_NAME")</f>
        <v>China</v>
      </c>
    </row>
    <row r="35" spans="1:19" ht="60" x14ac:dyDescent="0.25">
      <c r="A35" s="8">
        <v>46022</v>
      </c>
      <c r="B35" s="7" t="s">
        <v>101</v>
      </c>
      <c r="C35" s="7" t="s">
        <v>102</v>
      </c>
      <c r="D35" s="7" t="s">
        <v>278</v>
      </c>
      <c r="E35" s="11">
        <v>4351200</v>
      </c>
      <c r="F35" s="10">
        <v>19.36</v>
      </c>
      <c r="G35" s="13" t="str">
        <f>[1]!SNLData("243327", $C35, "OWNER_LIST")</f>
        <v>Incwala Resource (Pty) Limited (Venturer) 19.36%; Sibanye Stillwater Limited (Venturer) 80.64%</v>
      </c>
      <c r="H35" s="14">
        <f>[1]!SNLData("243327", C35, "OWNER_SNL_INSTN_KEY", "Owner 1")</f>
        <v>4379789</v>
      </c>
      <c r="I35" s="14">
        <f>[1]!SNLData("243327", C35, "OWNER_SNL_INSTN_KEY", "Owner 2")</f>
        <v>4351200</v>
      </c>
      <c r="J35" s="13" t="str">
        <f>_xll.SNL.Clients.Office.Excel.Functions.SPG(H35, "SP_ULT_PARENT_COMPANY_NAME")</f>
        <v/>
      </c>
      <c r="K35" s="13" t="str">
        <f>_xll.SNL.Clients.Office.Excel.Functions.SPG(H35, "SP_ULT_PARENT_COUNTRY")</f>
        <v/>
      </c>
      <c r="L35" s="13" t="str">
        <f>_xll.SNL.Clients.Office.Excel.Functions.SPG(H35, "SP_PARENT_COMPANY_NAME")</f>
        <v/>
      </c>
      <c r="M35" s="13" t="str">
        <f>_xll.SNL.Clients.Office.Excel.Functions.SPG(H35, "SP_PARENT_COUNTRY")</f>
        <v/>
      </c>
      <c r="N35" s="13" t="str">
        <f>_xll.SNL.Clients.Office.Excel.Functions.SPG(H35, "SP_COUNTRY_NAME")</f>
        <v>South Africa</v>
      </c>
      <c r="O35" s="13" t="str">
        <f>_xll.SNL.Clients.Office.Excel.Functions.SPG(I35, "SP_ULT_PARENT_COMPANY_NAME")</f>
        <v>The Shanduka Group Pty Ltd.</v>
      </c>
      <c r="P35" s="13" t="str">
        <f>_xll.SNL.Clients.Office.Excel.Functions.SPG(I35, "SP_ULT_PARENT_COUNTRY")</f>
        <v>South Africa</v>
      </c>
      <c r="Q35" s="13" t="str">
        <f>_xll.SNL.Clients.Office.Excel.Functions.SPG(I35, "SP_PARENT_COMPANY_NAME")</f>
        <v>Shanduka Resources</v>
      </c>
      <c r="R35" s="13" t="str">
        <f>_xll.SNL.Clients.Office.Excel.Functions.SPG(I35, "SP_PARENT_COUNTRY")</f>
        <v>South Africa</v>
      </c>
      <c r="S35" s="13" t="str">
        <f>_xll.SNL.Clients.Office.Excel.Functions.SPG(I35, "SP_COUNTRY_NAME")</f>
        <v>South Africa</v>
      </c>
    </row>
    <row r="36" spans="1:19" ht="60" x14ac:dyDescent="0.25">
      <c r="A36" s="8">
        <v>46022</v>
      </c>
      <c r="B36" s="7" t="s">
        <v>101</v>
      </c>
      <c r="C36" s="7" t="s">
        <v>102</v>
      </c>
      <c r="D36" s="7" t="s">
        <v>276</v>
      </c>
      <c r="E36" s="11">
        <v>4379789</v>
      </c>
      <c r="F36" s="10">
        <v>80.64</v>
      </c>
      <c r="G36" s="13" t="str">
        <f>[1]!SNLData("243327", $C36, "OWNER_LIST")</f>
        <v>Incwala Resource (Pty) Limited (Venturer) 19.36%; Sibanye Stillwater Limited (Venturer) 80.64%</v>
      </c>
      <c r="H36" s="14">
        <f>[1]!SNLData("243327", C36, "OWNER_SNL_INSTN_KEY", "Owner 1")</f>
        <v>4379789</v>
      </c>
      <c r="I36" s="14">
        <f>[1]!SNLData("243327", C36, "OWNER_SNL_INSTN_KEY", "Owner 2")</f>
        <v>4351200</v>
      </c>
      <c r="J36" s="13" t="str">
        <f>_xll.SNL.Clients.Office.Excel.Functions.SPG(H36, "SP_ULT_PARENT_COMPANY_NAME")</f>
        <v/>
      </c>
      <c r="K36" s="13" t="str">
        <f>_xll.SNL.Clients.Office.Excel.Functions.SPG(H36, "SP_ULT_PARENT_COUNTRY")</f>
        <v/>
      </c>
      <c r="L36" s="13" t="str">
        <f>_xll.SNL.Clients.Office.Excel.Functions.SPG(H36, "SP_PARENT_COMPANY_NAME")</f>
        <v/>
      </c>
      <c r="M36" s="13" t="str">
        <f>_xll.SNL.Clients.Office.Excel.Functions.SPG(H36, "SP_PARENT_COUNTRY")</f>
        <v/>
      </c>
      <c r="N36" s="13" t="str">
        <f>_xll.SNL.Clients.Office.Excel.Functions.SPG(H36, "SP_COUNTRY_NAME")</f>
        <v>South Africa</v>
      </c>
      <c r="O36" s="13" t="str">
        <f>_xll.SNL.Clients.Office.Excel.Functions.SPG(I36, "SP_ULT_PARENT_COMPANY_NAME")</f>
        <v>The Shanduka Group Pty Ltd.</v>
      </c>
      <c r="P36" s="13" t="str">
        <f>_xll.SNL.Clients.Office.Excel.Functions.SPG(I36, "SP_ULT_PARENT_COUNTRY")</f>
        <v>South Africa</v>
      </c>
      <c r="Q36" s="13" t="str">
        <f>_xll.SNL.Clients.Office.Excel.Functions.SPG(I36, "SP_PARENT_COMPANY_NAME")</f>
        <v>Shanduka Resources</v>
      </c>
      <c r="R36" s="13" t="str">
        <f>_xll.SNL.Clients.Office.Excel.Functions.SPG(I36, "SP_PARENT_COUNTRY")</f>
        <v>South Africa</v>
      </c>
      <c r="S36" s="13" t="str">
        <f>_xll.SNL.Clients.Office.Excel.Functions.SPG(I36, "SP_COUNTRY_NAME")</f>
        <v>South Africa</v>
      </c>
    </row>
    <row r="37" spans="1:19" ht="45" x14ac:dyDescent="0.25">
      <c r="A37" s="8">
        <v>46022</v>
      </c>
      <c r="B37" s="7" t="s">
        <v>93</v>
      </c>
      <c r="C37" s="7" t="s">
        <v>94</v>
      </c>
      <c r="D37" s="7" t="s">
        <v>279</v>
      </c>
      <c r="E37" s="11">
        <v>4348597</v>
      </c>
      <c r="F37" s="10">
        <v>26.74</v>
      </c>
      <c r="G37" s="13" t="str">
        <f>[1]!SNLData("243327", $C37, "OWNER_LIST")</f>
        <v>Impala Platinum Holdings Limited (Venturer) 73.26%; Black Economic Empowerment (Venturer) 26.74%</v>
      </c>
      <c r="H37" s="14">
        <f>[1]!SNLData("243327", C37, "OWNER_SNL_INSTN_KEY", "Owner 1")</f>
        <v>4351190</v>
      </c>
      <c r="I37" s="14">
        <f>[1]!SNLData("243327", C37, "OWNER_SNL_INSTN_KEY", "Owner 2")</f>
        <v>4348597</v>
      </c>
      <c r="J37" s="13" t="str">
        <f>_xll.SNL.Clients.Office.Excel.Functions.SPG(H37, "SP_ULT_PARENT_COMPANY_NAME")</f>
        <v/>
      </c>
      <c r="K37" s="13" t="str">
        <f>_xll.SNL.Clients.Office.Excel.Functions.SPG(H37, "SP_ULT_PARENT_COUNTRY")</f>
        <v/>
      </c>
      <c r="L37" s="13" t="str">
        <f>_xll.SNL.Clients.Office.Excel.Functions.SPG(H37, "SP_PARENT_COMPANY_NAME")</f>
        <v/>
      </c>
      <c r="M37" s="13" t="str">
        <f>_xll.SNL.Clients.Office.Excel.Functions.SPG(H37, "SP_PARENT_COUNTRY")</f>
        <v/>
      </c>
      <c r="N37" s="13" t="str">
        <f>_xll.SNL.Clients.Office.Excel.Functions.SPG(H37, "SP_COUNTRY_NAME")</f>
        <v>South Africa</v>
      </c>
      <c r="O37" s="13" t="str">
        <f>_xll.SNL.Clients.Office.Excel.Functions.SPG(I37, "SP_ULT_PARENT_COMPANY_NAME")</f>
        <v>PSG Group Ltd</v>
      </c>
      <c r="P37" s="13" t="str">
        <f>_xll.SNL.Clients.Office.Excel.Functions.SPG(I37, "SP_ULT_PARENT_COUNTRY")</f>
        <v>South Africa</v>
      </c>
      <c r="Q37" s="13" t="str">
        <f>_xll.SNL.Clients.Office.Excel.Functions.SPG(I37, "SP_PARENT_COMPANY_NAME")</f>
        <v>PSG Group Ltd</v>
      </c>
      <c r="R37" s="13" t="str">
        <f>_xll.SNL.Clients.Office.Excel.Functions.SPG(I37, "SP_PARENT_COUNTRY")</f>
        <v>South Africa</v>
      </c>
      <c r="S37" s="13" t="str">
        <f>_xll.SNL.Clients.Office.Excel.Functions.SPG(I37, "SP_COUNTRY_NAME")</f>
        <v>South Africa</v>
      </c>
    </row>
    <row r="38" spans="1:19" ht="45" x14ac:dyDescent="0.25">
      <c r="A38" s="8">
        <v>46022</v>
      </c>
      <c r="B38" s="7" t="s">
        <v>93</v>
      </c>
      <c r="C38" s="7" t="s">
        <v>94</v>
      </c>
      <c r="D38" s="7" t="s">
        <v>272</v>
      </c>
      <c r="E38" s="11">
        <v>4351190</v>
      </c>
      <c r="F38" s="10">
        <v>73.260000000000005</v>
      </c>
      <c r="G38" s="13" t="str">
        <f>[1]!SNLData("243327", $C38, "OWNER_LIST")</f>
        <v>Impala Platinum Holdings Limited (Venturer) 73.26%; Black Economic Empowerment (Venturer) 26.74%</v>
      </c>
      <c r="H38" s="14">
        <f>[1]!SNLData("243327", C38, "OWNER_SNL_INSTN_KEY", "Owner 1")</f>
        <v>4351190</v>
      </c>
      <c r="I38" s="14">
        <f>[1]!SNLData("243327", C38, "OWNER_SNL_INSTN_KEY", "Owner 2")</f>
        <v>4348597</v>
      </c>
      <c r="J38" s="13" t="str">
        <f>_xll.SNL.Clients.Office.Excel.Functions.SPG(H38, "SP_ULT_PARENT_COMPANY_NAME")</f>
        <v/>
      </c>
      <c r="K38" s="13" t="str">
        <f>_xll.SNL.Clients.Office.Excel.Functions.SPG(H38, "SP_ULT_PARENT_COUNTRY")</f>
        <v/>
      </c>
      <c r="L38" s="13" t="str">
        <f>_xll.SNL.Clients.Office.Excel.Functions.SPG(H38, "SP_PARENT_COMPANY_NAME")</f>
        <v/>
      </c>
      <c r="M38" s="13" t="str">
        <f>_xll.SNL.Clients.Office.Excel.Functions.SPG(H38, "SP_PARENT_COUNTRY")</f>
        <v/>
      </c>
      <c r="N38" s="13" t="str">
        <f>_xll.SNL.Clients.Office.Excel.Functions.SPG(H38, "SP_COUNTRY_NAME")</f>
        <v>South Africa</v>
      </c>
      <c r="O38" s="13" t="str">
        <f>_xll.SNL.Clients.Office.Excel.Functions.SPG(I38, "SP_ULT_PARENT_COMPANY_NAME")</f>
        <v>PSG Group Ltd</v>
      </c>
      <c r="P38" s="13" t="str">
        <f>_xll.SNL.Clients.Office.Excel.Functions.SPG(I38, "SP_ULT_PARENT_COUNTRY")</f>
        <v>South Africa</v>
      </c>
      <c r="Q38" s="13" t="str">
        <f>_xll.SNL.Clients.Office.Excel.Functions.SPG(I38, "SP_PARENT_COMPANY_NAME")</f>
        <v>PSG Group Ltd</v>
      </c>
      <c r="R38" s="13" t="str">
        <f>_xll.SNL.Clients.Office.Excel.Functions.SPG(I38, "SP_PARENT_COUNTRY")</f>
        <v>South Africa</v>
      </c>
      <c r="S38" s="13" t="str">
        <f>_xll.SNL.Clients.Office.Excel.Functions.SPG(I38, "SP_COUNTRY_NAME")</f>
        <v>South Africa</v>
      </c>
    </row>
    <row r="39" spans="1:19" ht="45" x14ac:dyDescent="0.25">
      <c r="A39" s="8">
        <v>46022</v>
      </c>
      <c r="B39" s="7" t="s">
        <v>103</v>
      </c>
      <c r="C39" s="7" t="s">
        <v>104</v>
      </c>
      <c r="D39" s="7" t="s">
        <v>272</v>
      </c>
      <c r="E39" s="11">
        <v>4351190</v>
      </c>
      <c r="F39" s="10">
        <v>50</v>
      </c>
      <c r="G39" s="13" t="str">
        <f>[1]!SNLData("243327", $C39, "OWNER_LIST")</f>
        <v>Sibanye Stillwater Limited (Venturer) 50%; Impala Platinum Holdings Limited (Venturer) 50%</v>
      </c>
      <c r="H39" s="14">
        <f>[1]!SNLData("243327", C39, "OWNER_SNL_INSTN_KEY", "Owner 1")</f>
        <v>4351190</v>
      </c>
      <c r="I39" s="14">
        <f>[1]!SNLData("243327", C39, "OWNER_SNL_INSTN_KEY", "Owner 2")</f>
        <v>4379789</v>
      </c>
      <c r="J39" s="13" t="str">
        <f>_xll.SNL.Clients.Office.Excel.Functions.SPG(H39, "SP_ULT_PARENT_COMPANY_NAME")</f>
        <v/>
      </c>
      <c r="K39" s="13" t="str">
        <f>_xll.SNL.Clients.Office.Excel.Functions.SPG(H39, "SP_ULT_PARENT_COUNTRY")</f>
        <v/>
      </c>
      <c r="L39" s="13" t="str">
        <f>_xll.SNL.Clients.Office.Excel.Functions.SPG(H39, "SP_PARENT_COMPANY_NAME")</f>
        <v/>
      </c>
      <c r="M39" s="13" t="str">
        <f>_xll.SNL.Clients.Office.Excel.Functions.SPG(H39, "SP_PARENT_COUNTRY")</f>
        <v/>
      </c>
      <c r="N39" s="13" t="str">
        <f>_xll.SNL.Clients.Office.Excel.Functions.SPG(H39, "SP_COUNTRY_NAME")</f>
        <v>South Africa</v>
      </c>
      <c r="O39" s="13" t="str">
        <f>_xll.SNL.Clients.Office.Excel.Functions.SPG(I39, "SP_ULT_PARENT_COMPANY_NAME")</f>
        <v/>
      </c>
      <c r="P39" s="13" t="str">
        <f>_xll.SNL.Clients.Office.Excel.Functions.SPG(I39, "SP_ULT_PARENT_COUNTRY")</f>
        <v/>
      </c>
      <c r="Q39" s="13" t="str">
        <f>_xll.SNL.Clients.Office.Excel.Functions.SPG(I39, "SP_PARENT_COMPANY_NAME")</f>
        <v/>
      </c>
      <c r="R39" s="13" t="str">
        <f>_xll.SNL.Clients.Office.Excel.Functions.SPG(I39, "SP_PARENT_COUNTRY")</f>
        <v/>
      </c>
      <c r="S39" s="13" t="str">
        <f>_xll.SNL.Clients.Office.Excel.Functions.SPG(I39, "SP_COUNTRY_NAME")</f>
        <v>South Africa</v>
      </c>
    </row>
    <row r="40" spans="1:19" ht="45" x14ac:dyDescent="0.25">
      <c r="A40" s="8">
        <v>46022</v>
      </c>
      <c r="B40" s="7" t="s">
        <v>103</v>
      </c>
      <c r="C40" s="7" t="s">
        <v>104</v>
      </c>
      <c r="D40" s="7" t="s">
        <v>276</v>
      </c>
      <c r="E40" s="11">
        <v>4379789</v>
      </c>
      <c r="F40" s="10">
        <v>50</v>
      </c>
      <c r="G40" s="13" t="str">
        <f>[1]!SNLData("243327", $C40, "OWNER_LIST")</f>
        <v>Sibanye Stillwater Limited (Venturer) 50%; Impala Platinum Holdings Limited (Venturer) 50%</v>
      </c>
      <c r="H40" s="14">
        <f>[1]!SNLData("243327", C40, "OWNER_SNL_INSTN_KEY", "Owner 1")</f>
        <v>4351190</v>
      </c>
      <c r="I40" s="14">
        <f>[1]!SNLData("243327", C40, "OWNER_SNL_INSTN_KEY", "Owner 2")</f>
        <v>4379789</v>
      </c>
      <c r="J40" s="13" t="str">
        <f>_xll.SNL.Clients.Office.Excel.Functions.SPG(H40, "SP_ULT_PARENT_COMPANY_NAME")</f>
        <v/>
      </c>
      <c r="K40" s="13" t="str">
        <f>_xll.SNL.Clients.Office.Excel.Functions.SPG(H40, "SP_ULT_PARENT_COUNTRY")</f>
        <v/>
      </c>
      <c r="L40" s="13" t="str">
        <f>_xll.SNL.Clients.Office.Excel.Functions.SPG(H40, "SP_PARENT_COMPANY_NAME")</f>
        <v/>
      </c>
      <c r="M40" s="13" t="str">
        <f>_xll.SNL.Clients.Office.Excel.Functions.SPG(H40, "SP_PARENT_COUNTRY")</f>
        <v/>
      </c>
      <c r="N40" s="13" t="str">
        <f>_xll.SNL.Clients.Office.Excel.Functions.SPG(H40, "SP_COUNTRY_NAME")</f>
        <v>South Africa</v>
      </c>
      <c r="O40" s="13" t="str">
        <f>_xll.SNL.Clients.Office.Excel.Functions.SPG(I40, "SP_ULT_PARENT_COMPANY_NAME")</f>
        <v/>
      </c>
      <c r="P40" s="13" t="str">
        <f>_xll.SNL.Clients.Office.Excel.Functions.SPG(I40, "SP_ULT_PARENT_COUNTRY")</f>
        <v/>
      </c>
      <c r="Q40" s="13" t="str">
        <f>_xll.SNL.Clients.Office.Excel.Functions.SPG(I40, "SP_PARENT_COMPANY_NAME")</f>
        <v/>
      </c>
      <c r="R40" s="13" t="str">
        <f>_xll.SNL.Clients.Office.Excel.Functions.SPG(I40, "SP_PARENT_COUNTRY")</f>
        <v/>
      </c>
      <c r="S40" s="13" t="str">
        <f>_xll.SNL.Clients.Office.Excel.Functions.SPG(I40, "SP_COUNTRY_NAME")</f>
        <v>South Africa</v>
      </c>
    </row>
    <row r="41" spans="1:19" ht="45" x14ac:dyDescent="0.25">
      <c r="A41" s="8">
        <v>46022</v>
      </c>
      <c r="B41" s="7" t="s">
        <v>170</v>
      </c>
      <c r="C41" s="7" t="s">
        <v>171</v>
      </c>
      <c r="D41" s="7" t="s">
        <v>280</v>
      </c>
      <c r="E41" s="11">
        <v>4502042</v>
      </c>
      <c r="F41" s="10">
        <v>50</v>
      </c>
      <c r="G41" s="13" t="str">
        <f>[1]!SNLData("243327", $C41, "OWNER_LIST")</f>
        <v>General Nickel Company S.A.  50%; Sherritt International Corporation (Venturer) 50%</v>
      </c>
      <c r="H41" s="14">
        <f>[1]!SNLData("243327", C41, "OWNER_SNL_INSTN_KEY", "Owner 1")</f>
        <v>4102700</v>
      </c>
      <c r="I41" s="14">
        <f>[1]!SNLData("243327", C41, "OWNER_SNL_INSTN_KEY", "Owner 2")</f>
        <v>4502042</v>
      </c>
      <c r="J41" s="13" t="str">
        <f>_xll.SNL.Clients.Office.Excel.Functions.SPG(H41, "SP_ULT_PARENT_COMPANY_NAME")</f>
        <v/>
      </c>
      <c r="K41" s="13" t="str">
        <f>_xll.SNL.Clients.Office.Excel.Functions.SPG(H41, "SP_ULT_PARENT_COUNTRY")</f>
        <v/>
      </c>
      <c r="L41" s="13" t="str">
        <f>_xll.SNL.Clients.Office.Excel.Functions.SPG(H41, "SP_PARENT_COMPANY_NAME")</f>
        <v/>
      </c>
      <c r="M41" s="13" t="str">
        <f>_xll.SNL.Clients.Office.Excel.Functions.SPG(H41, "SP_PARENT_COUNTRY")</f>
        <v/>
      </c>
      <c r="N41" s="13" t="str">
        <f>_xll.SNL.Clients.Office.Excel.Functions.SPG(H41, "SP_COUNTRY_NAME")</f>
        <v>Canada</v>
      </c>
      <c r="O41" s="13" t="str">
        <f>_xll.SNL.Clients.Office.Excel.Functions.SPG(I41, "SP_ULT_PARENT_COMPANY_NAME")</f>
        <v/>
      </c>
      <c r="P41" s="13" t="str">
        <f>_xll.SNL.Clients.Office.Excel.Functions.SPG(I41, "SP_ULT_PARENT_COUNTRY")</f>
        <v/>
      </c>
      <c r="Q41" s="13" t="str">
        <f>_xll.SNL.Clients.Office.Excel.Functions.SPG(I41, "SP_PARENT_COMPANY_NAME")</f>
        <v/>
      </c>
      <c r="R41" s="13" t="str">
        <f>_xll.SNL.Clients.Office.Excel.Functions.SPG(I41, "SP_PARENT_COUNTRY")</f>
        <v/>
      </c>
      <c r="S41" s="13" t="str">
        <f>_xll.SNL.Clients.Office.Excel.Functions.SPG(I41, "SP_COUNTRY_NAME")</f>
        <v>Cuba</v>
      </c>
    </row>
    <row r="42" spans="1:19" ht="45" x14ac:dyDescent="0.25">
      <c r="A42" s="8">
        <v>46022</v>
      </c>
      <c r="B42" s="7" t="s">
        <v>170</v>
      </c>
      <c r="C42" s="7" t="s">
        <v>171</v>
      </c>
      <c r="D42" s="7" t="s">
        <v>281</v>
      </c>
      <c r="E42" s="11">
        <v>4102700</v>
      </c>
      <c r="F42" s="10">
        <v>50</v>
      </c>
      <c r="G42" s="13" t="str">
        <f>[1]!SNLData("243327", $C42, "OWNER_LIST")</f>
        <v>General Nickel Company S.A.  50%; Sherritt International Corporation (Venturer) 50%</v>
      </c>
      <c r="H42" s="14">
        <f>[1]!SNLData("243327", C42, "OWNER_SNL_INSTN_KEY", "Owner 1")</f>
        <v>4102700</v>
      </c>
      <c r="I42" s="14">
        <f>[1]!SNLData("243327", C42, "OWNER_SNL_INSTN_KEY", "Owner 2")</f>
        <v>4502042</v>
      </c>
      <c r="J42" s="13" t="str">
        <f>_xll.SNL.Clients.Office.Excel.Functions.SPG(H42, "SP_ULT_PARENT_COMPANY_NAME")</f>
        <v/>
      </c>
      <c r="K42" s="13" t="str">
        <f>_xll.SNL.Clients.Office.Excel.Functions.SPG(H42, "SP_ULT_PARENT_COUNTRY")</f>
        <v/>
      </c>
      <c r="L42" s="13" t="str">
        <f>_xll.SNL.Clients.Office.Excel.Functions.SPG(H42, "SP_PARENT_COMPANY_NAME")</f>
        <v/>
      </c>
      <c r="M42" s="13" t="str">
        <f>_xll.SNL.Clients.Office.Excel.Functions.SPG(H42, "SP_PARENT_COUNTRY")</f>
        <v/>
      </c>
      <c r="N42" s="13" t="str">
        <f>_xll.SNL.Clients.Office.Excel.Functions.SPG(H42, "SP_COUNTRY_NAME")</f>
        <v>Canada</v>
      </c>
      <c r="O42" s="13" t="str">
        <f>_xll.SNL.Clients.Office.Excel.Functions.SPG(I42, "SP_ULT_PARENT_COMPANY_NAME")</f>
        <v/>
      </c>
      <c r="P42" s="13" t="str">
        <f>_xll.SNL.Clients.Office.Excel.Functions.SPG(I42, "SP_ULT_PARENT_COUNTRY")</f>
        <v/>
      </c>
      <c r="Q42" s="13" t="str">
        <f>_xll.SNL.Clients.Office.Excel.Functions.SPG(I42, "SP_PARENT_COMPANY_NAME")</f>
        <v/>
      </c>
      <c r="R42" s="13" t="str">
        <f>_xll.SNL.Clients.Office.Excel.Functions.SPG(I42, "SP_PARENT_COUNTRY")</f>
        <v/>
      </c>
      <c r="S42" s="13" t="str">
        <f>_xll.SNL.Clients.Office.Excel.Functions.SPG(I42, "SP_COUNTRY_NAME")</f>
        <v>Cuba</v>
      </c>
    </row>
    <row r="43" spans="1:19" ht="60" x14ac:dyDescent="0.25">
      <c r="A43" s="8">
        <v>46022</v>
      </c>
      <c r="B43" s="7" t="s">
        <v>95</v>
      </c>
      <c r="C43" s="7" t="s">
        <v>96</v>
      </c>
      <c r="D43" s="7" t="s">
        <v>282</v>
      </c>
      <c r="E43" s="11">
        <v>4188197</v>
      </c>
      <c r="F43" s="10">
        <v>41.5</v>
      </c>
      <c r="G43" s="13" t="str">
        <f>[1]!SNLData("243327", $C43, "OWNER_LIST")</f>
        <v>Private Interest (Carried) 8.5%; African Rainbow Minerals Limited (Venturer) 41.5%; Valterra Platinum Limited (Venturer) 50%</v>
      </c>
      <c r="H43" s="14">
        <f>[1]!SNLData("243327", C43, "OWNER_SNL_INSTN_KEY", "Owner 1")</f>
        <v>4348055</v>
      </c>
      <c r="I43" s="14">
        <f>[1]!SNLData("243327", C43, "OWNER_SNL_INSTN_KEY", "Owner 2")</f>
        <v>4188197</v>
      </c>
      <c r="J43" s="13" t="str">
        <f>_xll.SNL.Clients.Office.Excel.Functions.SPG(H43, "SP_ULT_PARENT_COMPANY_NAME")</f>
        <v/>
      </c>
      <c r="K43" s="13" t="str">
        <f>_xll.SNL.Clients.Office.Excel.Functions.SPG(H43, "SP_ULT_PARENT_COUNTRY")</f>
        <v/>
      </c>
      <c r="L43" s="13" t="str">
        <f>_xll.SNL.Clients.Office.Excel.Functions.SPG(H43, "SP_PARENT_COMPANY_NAME")</f>
        <v/>
      </c>
      <c r="M43" s="13" t="str">
        <f>_xll.SNL.Clients.Office.Excel.Functions.SPG(H43, "SP_PARENT_COUNTRY")</f>
        <v/>
      </c>
      <c r="N43" s="13" t="str">
        <f>_xll.SNL.Clients.Office.Excel.Functions.SPG(H43, "SP_COUNTRY_NAME")</f>
        <v>South Africa</v>
      </c>
      <c r="O43" s="13" t="str">
        <f>_xll.SNL.Clients.Office.Excel.Functions.SPG(I43, "SP_ULT_PARENT_COMPANY_NAME")</f>
        <v/>
      </c>
      <c r="P43" s="13" t="str">
        <f>_xll.SNL.Clients.Office.Excel.Functions.SPG(I43, "SP_ULT_PARENT_COUNTRY")</f>
        <v/>
      </c>
      <c r="Q43" s="13" t="str">
        <f>_xll.SNL.Clients.Office.Excel.Functions.SPG(I43, "SP_PARENT_COMPANY_NAME")</f>
        <v/>
      </c>
      <c r="R43" s="13" t="str">
        <f>_xll.SNL.Clients.Office.Excel.Functions.SPG(I43, "SP_PARENT_COUNTRY")</f>
        <v/>
      </c>
      <c r="S43" s="13" t="str">
        <f>_xll.SNL.Clients.Office.Excel.Functions.SPG(I43, "SP_COUNTRY_NAME")</f>
        <v>South Africa</v>
      </c>
    </row>
    <row r="44" spans="1:19" ht="60" x14ac:dyDescent="0.25">
      <c r="A44" s="8">
        <v>46022</v>
      </c>
      <c r="B44" s="7" t="s">
        <v>95</v>
      </c>
      <c r="C44" s="7" t="s">
        <v>96</v>
      </c>
      <c r="D44" s="7" t="s">
        <v>273</v>
      </c>
      <c r="E44" s="11">
        <v>4353456</v>
      </c>
      <c r="F44" s="10">
        <v>8.5</v>
      </c>
      <c r="G44" s="13" t="str">
        <f>[1]!SNLData("243327", $C44, "OWNER_LIST")</f>
        <v>Private Interest (Carried) 8.5%; African Rainbow Minerals Limited (Venturer) 41.5%; Valterra Platinum Limited (Venturer) 50%</v>
      </c>
      <c r="H44" s="14">
        <f>[1]!SNLData("243327", C44, "OWNER_SNL_INSTN_KEY", "Owner 1")</f>
        <v>4348055</v>
      </c>
      <c r="I44" s="14">
        <f>[1]!SNLData("243327", C44, "OWNER_SNL_INSTN_KEY", "Owner 2")</f>
        <v>4188197</v>
      </c>
      <c r="J44" s="13" t="str">
        <f>_xll.SNL.Clients.Office.Excel.Functions.SPG(H44, "SP_ULT_PARENT_COMPANY_NAME")</f>
        <v/>
      </c>
      <c r="K44" s="13" t="str">
        <f>_xll.SNL.Clients.Office.Excel.Functions.SPG(H44, "SP_ULT_PARENT_COUNTRY")</f>
        <v/>
      </c>
      <c r="L44" s="13" t="str">
        <f>_xll.SNL.Clients.Office.Excel.Functions.SPG(H44, "SP_PARENT_COMPANY_NAME")</f>
        <v/>
      </c>
      <c r="M44" s="13" t="str">
        <f>_xll.SNL.Clients.Office.Excel.Functions.SPG(H44, "SP_PARENT_COUNTRY")</f>
        <v/>
      </c>
      <c r="N44" s="13" t="str">
        <f>_xll.SNL.Clients.Office.Excel.Functions.SPG(H44, "SP_COUNTRY_NAME")</f>
        <v>South Africa</v>
      </c>
      <c r="O44" s="13" t="str">
        <f>_xll.SNL.Clients.Office.Excel.Functions.SPG(I44, "SP_ULT_PARENT_COMPANY_NAME")</f>
        <v/>
      </c>
      <c r="P44" s="13" t="str">
        <f>_xll.SNL.Clients.Office.Excel.Functions.SPG(I44, "SP_ULT_PARENT_COUNTRY")</f>
        <v/>
      </c>
      <c r="Q44" s="13" t="str">
        <f>_xll.SNL.Clients.Office.Excel.Functions.SPG(I44, "SP_PARENT_COMPANY_NAME")</f>
        <v/>
      </c>
      <c r="R44" s="13" t="str">
        <f>_xll.SNL.Clients.Office.Excel.Functions.SPG(I44, "SP_PARENT_COUNTRY")</f>
        <v/>
      </c>
      <c r="S44" s="13" t="str">
        <f>_xll.SNL.Clients.Office.Excel.Functions.SPG(I44, "SP_COUNTRY_NAME")</f>
        <v>South Africa</v>
      </c>
    </row>
    <row r="45" spans="1:19" ht="60" x14ac:dyDescent="0.25">
      <c r="A45" s="8">
        <v>46022</v>
      </c>
      <c r="B45" s="7" t="s">
        <v>95</v>
      </c>
      <c r="C45" s="7" t="s">
        <v>96</v>
      </c>
      <c r="D45" s="7" t="s">
        <v>259</v>
      </c>
      <c r="E45" s="11">
        <v>4348055</v>
      </c>
      <c r="F45" s="10">
        <v>50</v>
      </c>
      <c r="G45" s="13" t="str">
        <f>[1]!SNLData("243327", $C45, "OWNER_LIST")</f>
        <v>Private Interest (Carried) 8.5%; African Rainbow Minerals Limited (Venturer) 41.5%; Valterra Platinum Limited (Venturer) 50%</v>
      </c>
      <c r="H45" s="14">
        <f>[1]!SNLData("243327", C45, "OWNER_SNL_INSTN_KEY", "Owner 1")</f>
        <v>4348055</v>
      </c>
      <c r="I45" s="14">
        <f>[1]!SNLData("243327", C45, "OWNER_SNL_INSTN_KEY", "Owner 2")</f>
        <v>4188197</v>
      </c>
      <c r="J45" s="13" t="str">
        <f>_xll.SNL.Clients.Office.Excel.Functions.SPG(H45, "SP_ULT_PARENT_COMPANY_NAME")</f>
        <v/>
      </c>
      <c r="K45" s="13" t="str">
        <f>_xll.SNL.Clients.Office.Excel.Functions.SPG(H45, "SP_ULT_PARENT_COUNTRY")</f>
        <v/>
      </c>
      <c r="L45" s="13" t="str">
        <f>_xll.SNL.Clients.Office.Excel.Functions.SPG(H45, "SP_PARENT_COMPANY_NAME")</f>
        <v/>
      </c>
      <c r="M45" s="13" t="str">
        <f>_xll.SNL.Clients.Office.Excel.Functions.SPG(H45, "SP_PARENT_COUNTRY")</f>
        <v/>
      </c>
      <c r="N45" s="13" t="str">
        <f>_xll.SNL.Clients.Office.Excel.Functions.SPG(H45, "SP_COUNTRY_NAME")</f>
        <v>South Africa</v>
      </c>
      <c r="O45" s="13" t="str">
        <f>_xll.SNL.Clients.Office.Excel.Functions.SPG(I45, "SP_ULT_PARENT_COMPANY_NAME")</f>
        <v/>
      </c>
      <c r="P45" s="13" t="str">
        <f>_xll.SNL.Clients.Office.Excel.Functions.SPG(I45, "SP_ULT_PARENT_COUNTRY")</f>
        <v/>
      </c>
      <c r="Q45" s="13" t="str">
        <f>_xll.SNL.Clients.Office.Excel.Functions.SPG(I45, "SP_PARENT_COMPANY_NAME")</f>
        <v/>
      </c>
      <c r="R45" s="13" t="str">
        <f>_xll.SNL.Clients.Office.Excel.Functions.SPG(I45, "SP_PARENT_COUNTRY")</f>
        <v/>
      </c>
      <c r="S45" s="13" t="str">
        <f>_xll.SNL.Clients.Office.Excel.Functions.SPG(I45, "SP_COUNTRY_NAME")</f>
        <v>South Africa</v>
      </c>
    </row>
    <row r="46" spans="1:19" ht="30" x14ac:dyDescent="0.25">
      <c r="A46" s="8">
        <v>46022</v>
      </c>
      <c r="B46" s="7" t="s">
        <v>97</v>
      </c>
      <c r="C46" s="7" t="s">
        <v>98</v>
      </c>
      <c r="D46" s="7" t="s">
        <v>259</v>
      </c>
      <c r="E46" s="11">
        <v>4348055</v>
      </c>
      <c r="F46" s="10">
        <v>100</v>
      </c>
      <c r="G46" s="13" t="str">
        <f>[1]!SNLData("243327", $C46, "OWNER_LIST")</f>
        <v>Valterra Platinum Limited  100%</v>
      </c>
      <c r="H46" s="14">
        <f>[1]!SNLData("243327", C46, "OWNER_SNL_INSTN_KEY", "Owner 1")</f>
        <v>4348055</v>
      </c>
      <c r="I46" s="14" t="str">
        <f>[1]!SNLData("243327", C46, "OWNER_SNL_INSTN_KEY", "Owner 2")</f>
        <v>NA</v>
      </c>
      <c r="J46" s="13" t="str">
        <f>_xll.SNL.Clients.Office.Excel.Functions.SPG(H46, "SP_ULT_PARENT_COMPANY_NAME")</f>
        <v/>
      </c>
      <c r="K46" s="13" t="str">
        <f>_xll.SNL.Clients.Office.Excel.Functions.SPG(H46, "SP_ULT_PARENT_COUNTRY")</f>
        <v/>
      </c>
      <c r="L46" s="13" t="str">
        <f>_xll.SNL.Clients.Office.Excel.Functions.SPG(H46, "SP_PARENT_COMPANY_NAME")</f>
        <v/>
      </c>
      <c r="M46" s="13" t="str">
        <f>_xll.SNL.Clients.Office.Excel.Functions.SPG(H46, "SP_PARENT_COUNTRY")</f>
        <v/>
      </c>
      <c r="N46" s="13" t="str">
        <f>_xll.SNL.Clients.Office.Excel.Functions.SPG(H46, "SP_COUNTRY_NAME")</f>
        <v>South Africa</v>
      </c>
      <c r="O46" s="13" t="str">
        <f>_xll.SNL.Clients.Office.Excel.Functions.SPG(I46, "SP_ULT_PARENT_COMPANY_NAME")</f>
        <v/>
      </c>
      <c r="P46" s="13" t="str">
        <f>_xll.SNL.Clients.Office.Excel.Functions.SPG(I46, "SP_ULT_PARENT_COUNTRY")</f>
        <v/>
      </c>
      <c r="Q46" s="13" t="str">
        <f>_xll.SNL.Clients.Office.Excel.Functions.SPG(I46, "SP_PARENT_COMPANY_NAME")</f>
        <v/>
      </c>
      <c r="R46" s="13" t="str">
        <f>_xll.SNL.Clients.Office.Excel.Functions.SPG(I46, "SP_PARENT_COUNTRY")</f>
        <v/>
      </c>
      <c r="S46" s="13" t="str">
        <f>_xll.SNL.Clients.Office.Excel.Functions.SPG(I46, "SP_COUNTRY_NAME")</f>
        <v>China</v>
      </c>
    </row>
    <row r="47" spans="1:19" ht="30" x14ac:dyDescent="0.25">
      <c r="A47" s="8">
        <v>46022</v>
      </c>
      <c r="B47" s="7" t="s">
        <v>106</v>
      </c>
      <c r="C47" s="7" t="s">
        <v>107</v>
      </c>
      <c r="D47" s="7" t="s">
        <v>259</v>
      </c>
      <c r="E47" s="11">
        <v>4348055</v>
      </c>
      <c r="F47" s="10">
        <v>100</v>
      </c>
      <c r="G47" s="13" t="str">
        <f>[1]!SNLData("243327", $C47, "OWNER_LIST")</f>
        <v>Valterra Platinum Limited  100%</v>
      </c>
      <c r="H47" s="14">
        <f>[1]!SNLData("243327", C47, "OWNER_SNL_INSTN_KEY", "Owner 1")</f>
        <v>4348055</v>
      </c>
      <c r="I47" s="14" t="str">
        <f>[1]!SNLData("243327", C47, "OWNER_SNL_INSTN_KEY", "Owner 2")</f>
        <v>NA</v>
      </c>
      <c r="J47" s="13" t="str">
        <f>_xll.SNL.Clients.Office.Excel.Functions.SPG(H47, "SP_ULT_PARENT_COMPANY_NAME")</f>
        <v/>
      </c>
      <c r="K47" s="13" t="str">
        <f>_xll.SNL.Clients.Office.Excel.Functions.SPG(H47, "SP_ULT_PARENT_COUNTRY")</f>
        <v/>
      </c>
      <c r="L47" s="13" t="str">
        <f>_xll.SNL.Clients.Office.Excel.Functions.SPG(H47, "SP_PARENT_COMPANY_NAME")</f>
        <v/>
      </c>
      <c r="M47" s="13" t="str">
        <f>_xll.SNL.Clients.Office.Excel.Functions.SPG(H47, "SP_PARENT_COUNTRY")</f>
        <v/>
      </c>
      <c r="N47" s="13" t="str">
        <f>_xll.SNL.Clients.Office.Excel.Functions.SPG(H47, "SP_COUNTRY_NAME")</f>
        <v>South Africa</v>
      </c>
      <c r="O47" s="13" t="str">
        <f>_xll.SNL.Clients.Office.Excel.Functions.SPG(I47, "SP_ULT_PARENT_COMPANY_NAME")</f>
        <v/>
      </c>
      <c r="P47" s="13" t="str">
        <f>_xll.SNL.Clients.Office.Excel.Functions.SPG(I47, "SP_ULT_PARENT_COUNTRY")</f>
        <v/>
      </c>
      <c r="Q47" s="13" t="str">
        <f>_xll.SNL.Clients.Office.Excel.Functions.SPG(I47, "SP_PARENT_COMPANY_NAME")</f>
        <v/>
      </c>
      <c r="R47" s="13" t="str">
        <f>_xll.SNL.Clients.Office.Excel.Functions.SPG(I47, "SP_PARENT_COUNTRY")</f>
        <v/>
      </c>
      <c r="S47" s="13" t="str">
        <f>_xll.SNL.Clients.Office.Excel.Functions.SPG(I47, "SP_COUNTRY_NAME")</f>
        <v>China</v>
      </c>
    </row>
    <row r="48" spans="1:19" ht="180" x14ac:dyDescent="0.25">
      <c r="A48" s="8">
        <v>46022</v>
      </c>
      <c r="B48" s="7" t="s">
        <v>173</v>
      </c>
      <c r="C48" s="7" t="s">
        <v>174</v>
      </c>
      <c r="D48" s="7" t="s">
        <v>283</v>
      </c>
      <c r="E48" s="11">
        <v>4616696</v>
      </c>
      <c r="F48" s="10">
        <v>68</v>
      </c>
      <c r="G48" s="13" t="str">
        <f>[1]!SNLData("243327", $C48, "OWNER_LIST")</f>
        <v>Consolidated Mining and Investments Ltd (Optionee) 68%; Jinchuan Group International Resources Co. Ltd (Optionor) 32%</v>
      </c>
      <c r="H48" s="14">
        <f>[1]!SNLData("243327", C48, "OWNER_SNL_INSTN_KEY", "Owner 1")</f>
        <v>4616696</v>
      </c>
      <c r="I48" s="14">
        <f>[1]!SNLData("243327", C48, "OWNER_SNL_INSTN_KEY", "Owner 2")</f>
        <v>4361447</v>
      </c>
      <c r="J48" s="13" t="str">
        <f>_xll.SNL.Clients.Office.Excel.Functions.SPG(H48, "SP_ULT_PARENT_COMPANY_NAME")</f>
        <v/>
      </c>
      <c r="K48" s="13" t="str">
        <f>_xll.SNL.Clients.Office.Excel.Functions.SPG(H48, "SP_ULT_PARENT_COUNTRY")</f>
        <v/>
      </c>
      <c r="L48" s="13" t="str">
        <f>_xll.SNL.Clients.Office.Excel.Functions.SPG(H48, "SP_PARENT_COMPANY_NAME")</f>
        <v/>
      </c>
      <c r="M48" s="13" t="str">
        <f>_xll.SNL.Clients.Office.Excel.Functions.SPG(H48, "SP_PARENT_COUNTRY")</f>
        <v/>
      </c>
      <c r="N48" s="13" t="str">
        <f>_xll.SNL.Clients.Office.Excel.Functions.SPG(H48, "SP_COUNTRY_NAME")</f>
        <v>United Kingdom</v>
      </c>
      <c r="O48" s="13" t="str">
        <f>_xll.SNL.Clients.Office.Excel.Functions.SPG(I48, "SP_ULT_PARENT_COMPANY_NAME")</f>
        <v>State-Owned Assets Supervision And Administration Commission Of Gansu Provincial</v>
      </c>
      <c r="P48" s="13" t="str">
        <f>_xll.SNL.Clients.Office.Excel.Functions.SPG(I48, "SP_ULT_PARENT_COUNTRY")</f>
        <v>China</v>
      </c>
      <c r="Q48" s="13" t="str">
        <f>_xll.SNL.Clients.Office.Excel.Functions.SPG(I48, "SP_PARENT_COMPANY_NAME")</f>
        <v>Jinchuan (BVI) Limited</v>
      </c>
      <c r="R48" s="13" t="str">
        <f>_xll.SNL.Clients.Office.Excel.Functions.SPG(I48, "SP_PARENT_COUNTRY")</f>
        <v>BVI</v>
      </c>
      <c r="S48" s="13" t="str">
        <f>_xll.SNL.Clients.Office.Excel.Functions.SPG(I48, "SP_COUNTRY_NAME")</f>
        <v>Hong Kong</v>
      </c>
    </row>
    <row r="49" spans="1:19" ht="180" x14ac:dyDescent="0.25">
      <c r="A49" s="8">
        <v>46022</v>
      </c>
      <c r="B49" s="7" t="s">
        <v>173</v>
      </c>
      <c r="C49" s="7" t="s">
        <v>174</v>
      </c>
      <c r="D49" s="7" t="s">
        <v>284</v>
      </c>
      <c r="E49" s="11">
        <v>4361447</v>
      </c>
      <c r="F49" s="10">
        <v>32</v>
      </c>
      <c r="G49" s="13" t="str">
        <f>[1]!SNLData("243327", $C49, "OWNER_LIST")</f>
        <v>Consolidated Mining and Investments Ltd (Optionee) 68%; Jinchuan Group International Resources Co. Ltd (Optionor) 32%</v>
      </c>
      <c r="H49" s="14">
        <f>[1]!SNLData("243327", C49, "OWNER_SNL_INSTN_KEY", "Owner 1")</f>
        <v>4616696</v>
      </c>
      <c r="I49" s="14">
        <f>[1]!SNLData("243327", C49, "OWNER_SNL_INSTN_KEY", "Owner 2")</f>
        <v>4361447</v>
      </c>
      <c r="J49" s="13" t="str">
        <f>_xll.SNL.Clients.Office.Excel.Functions.SPG(H49, "SP_ULT_PARENT_COMPANY_NAME")</f>
        <v/>
      </c>
      <c r="K49" s="13" t="str">
        <f>_xll.SNL.Clients.Office.Excel.Functions.SPG(H49, "SP_ULT_PARENT_COUNTRY")</f>
        <v/>
      </c>
      <c r="L49" s="13" t="str">
        <f>_xll.SNL.Clients.Office.Excel.Functions.SPG(H49, "SP_PARENT_COMPANY_NAME")</f>
        <v/>
      </c>
      <c r="M49" s="13" t="str">
        <f>_xll.SNL.Clients.Office.Excel.Functions.SPG(H49, "SP_PARENT_COUNTRY")</f>
        <v/>
      </c>
      <c r="N49" s="13" t="str">
        <f>_xll.SNL.Clients.Office.Excel.Functions.SPG(H49, "SP_COUNTRY_NAME")</f>
        <v>United Kingdom</v>
      </c>
      <c r="O49" s="13" t="str">
        <f>_xll.SNL.Clients.Office.Excel.Functions.SPG(I49, "SP_ULT_PARENT_COMPANY_NAME")</f>
        <v>State-Owned Assets Supervision And Administration Commission Of Gansu Provincial</v>
      </c>
      <c r="P49" s="13" t="str">
        <f>_xll.SNL.Clients.Office.Excel.Functions.SPG(I49, "SP_ULT_PARENT_COUNTRY")</f>
        <v>China</v>
      </c>
      <c r="Q49" s="13" t="str">
        <f>_xll.SNL.Clients.Office.Excel.Functions.SPG(I49, "SP_PARENT_COMPANY_NAME")</f>
        <v>Jinchuan (BVI) Limited</v>
      </c>
      <c r="R49" s="13" t="str">
        <f>_xll.SNL.Clients.Office.Excel.Functions.SPG(I49, "SP_PARENT_COUNTRY")</f>
        <v>BVI</v>
      </c>
      <c r="S49" s="13" t="str">
        <f>_xll.SNL.Clients.Office.Excel.Functions.SPG(I49, "SP_COUNTRY_NAME")</f>
        <v>Hong Kong</v>
      </c>
    </row>
    <row r="50" spans="1:19" ht="30" x14ac:dyDescent="0.25">
      <c r="A50" s="8">
        <v>46022</v>
      </c>
      <c r="B50" s="7" t="s">
        <v>76</v>
      </c>
      <c r="C50" s="7" t="s">
        <v>77</v>
      </c>
      <c r="D50" s="7" t="s">
        <v>285</v>
      </c>
      <c r="E50" s="11">
        <v>4113732</v>
      </c>
      <c r="F50" s="10">
        <v>100</v>
      </c>
      <c r="G50" s="13" t="str">
        <f>[1]!SNLData("243327", $C50, "OWNER_LIST")</f>
        <v>Glencore plc  100%</v>
      </c>
      <c r="H50" s="14">
        <f>[1]!SNLData("243327", C50, "OWNER_SNL_INSTN_KEY", "Owner 1")</f>
        <v>4113732</v>
      </c>
      <c r="I50" s="14" t="str">
        <f>[1]!SNLData("243327", C50, "OWNER_SNL_INSTN_KEY", "Owner 2")</f>
        <v>NA</v>
      </c>
      <c r="J50" s="13" t="str">
        <f>_xll.SNL.Clients.Office.Excel.Functions.SPG(H50, "SP_ULT_PARENT_COMPANY_NAME")</f>
        <v/>
      </c>
      <c r="K50" s="13" t="str">
        <f>_xll.SNL.Clients.Office.Excel.Functions.SPG(H50, "SP_ULT_PARENT_COUNTRY")</f>
        <v/>
      </c>
      <c r="L50" s="13" t="str">
        <f>_xll.SNL.Clients.Office.Excel.Functions.SPG(H50, "SP_PARENT_COMPANY_NAME")</f>
        <v/>
      </c>
      <c r="M50" s="13" t="str">
        <f>_xll.SNL.Clients.Office.Excel.Functions.SPG(H50, "SP_PARENT_COUNTRY")</f>
        <v/>
      </c>
      <c r="N50" s="13" t="str">
        <f>_xll.SNL.Clients.Office.Excel.Functions.SPG(H50, "SP_COUNTRY_NAME")</f>
        <v>Switzerland</v>
      </c>
      <c r="O50" s="13" t="str">
        <f>_xll.SNL.Clients.Office.Excel.Functions.SPG(I50, "SP_ULT_PARENT_COMPANY_NAME")</f>
        <v/>
      </c>
      <c r="P50" s="13" t="str">
        <f>_xll.SNL.Clients.Office.Excel.Functions.SPG(I50, "SP_ULT_PARENT_COUNTRY")</f>
        <v/>
      </c>
      <c r="Q50" s="13" t="str">
        <f>_xll.SNL.Clients.Office.Excel.Functions.SPG(I50, "SP_PARENT_COMPANY_NAME")</f>
        <v/>
      </c>
      <c r="R50" s="13" t="str">
        <f>_xll.SNL.Clients.Office.Excel.Functions.SPG(I50, "SP_PARENT_COUNTRY")</f>
        <v/>
      </c>
      <c r="S50" s="13" t="str">
        <f>_xll.SNL.Clients.Office.Excel.Functions.SPG(I50, "SP_COUNTRY_NAME")</f>
        <v>China</v>
      </c>
    </row>
    <row r="51" spans="1:19" ht="45" x14ac:dyDescent="0.25">
      <c r="A51" s="8">
        <v>46022</v>
      </c>
      <c r="B51" s="7" t="s">
        <v>78</v>
      </c>
      <c r="C51" s="7" t="s">
        <v>79</v>
      </c>
      <c r="D51" s="7" t="s">
        <v>286</v>
      </c>
      <c r="E51" s="11">
        <v>4352853</v>
      </c>
      <c r="F51" s="10">
        <v>100</v>
      </c>
      <c r="G51" s="13" t="str">
        <f>[1]!SNLData("243327", $C51, "OWNER_LIST")</f>
        <v>Public Joint Stock Company Mining and Metallurgical Company Norilsk Nickel  100%</v>
      </c>
      <c r="H51" s="14">
        <f>[1]!SNLData("243327", C51, "OWNER_SNL_INSTN_KEY", "Owner 1")</f>
        <v>4352853</v>
      </c>
      <c r="I51" s="14" t="str">
        <f>[1]!SNLData("243327", C51, "OWNER_SNL_INSTN_KEY", "Owner 2")</f>
        <v>NA</v>
      </c>
      <c r="J51" s="13" t="str">
        <f>_xll.SNL.Clients.Office.Excel.Functions.SPG(H51, "SP_ULT_PARENT_COMPANY_NAME")</f>
        <v/>
      </c>
      <c r="K51" s="13" t="str">
        <f>_xll.SNL.Clients.Office.Excel.Functions.SPG(H51, "SP_ULT_PARENT_COUNTRY")</f>
        <v/>
      </c>
      <c r="L51" s="13" t="str">
        <f>_xll.SNL.Clients.Office.Excel.Functions.SPG(H51, "SP_PARENT_COMPANY_NAME")</f>
        <v/>
      </c>
      <c r="M51" s="13" t="str">
        <f>_xll.SNL.Clients.Office.Excel.Functions.SPG(H51, "SP_PARENT_COUNTRY")</f>
        <v/>
      </c>
      <c r="N51" s="13" t="str">
        <f>_xll.SNL.Clients.Office.Excel.Functions.SPG(H51, "SP_COUNTRY_NAME")</f>
        <v>Russia</v>
      </c>
      <c r="O51" s="13" t="str">
        <f>_xll.SNL.Clients.Office.Excel.Functions.SPG(I51, "SP_ULT_PARENT_COMPANY_NAME")</f>
        <v/>
      </c>
      <c r="P51" s="13" t="str">
        <f>_xll.SNL.Clients.Office.Excel.Functions.SPG(I51, "SP_ULT_PARENT_COUNTRY")</f>
        <v/>
      </c>
      <c r="Q51" s="13" t="str">
        <f>_xll.SNL.Clients.Office.Excel.Functions.SPG(I51, "SP_PARENT_COMPANY_NAME")</f>
        <v/>
      </c>
      <c r="R51" s="13" t="str">
        <f>_xll.SNL.Clients.Office.Excel.Functions.SPG(I51, "SP_PARENT_COUNTRY")</f>
        <v/>
      </c>
      <c r="S51" s="13" t="str">
        <f>_xll.SNL.Clients.Office.Excel.Functions.SPG(I51, "SP_COUNTRY_NAME")</f>
        <v>China</v>
      </c>
    </row>
    <row r="52" spans="1:19" x14ac:dyDescent="0.25">
      <c r="A52" s="8">
        <v>46022</v>
      </c>
      <c r="B52" s="7" t="s">
        <v>81</v>
      </c>
      <c r="C52" s="7" t="s">
        <v>82</v>
      </c>
      <c r="D52" s="7" t="s">
        <v>287</v>
      </c>
      <c r="E52" s="11">
        <v>4351204</v>
      </c>
      <c r="F52" s="10">
        <v>100</v>
      </c>
      <c r="G52" s="13" t="str">
        <f>[1]!SNLData("243327", $C52, "OWNER_LIST")</f>
        <v>IGO Limited  100%</v>
      </c>
      <c r="H52" s="14">
        <f>[1]!SNLData("243327", C52, "OWNER_SNL_INSTN_KEY", "Owner 1")</f>
        <v>4351204</v>
      </c>
      <c r="I52" s="14" t="str">
        <f>[1]!SNLData("243327", C52, "OWNER_SNL_INSTN_KEY", "Owner 2")</f>
        <v>NA</v>
      </c>
      <c r="J52" s="13" t="str">
        <f>_xll.SNL.Clients.Office.Excel.Functions.SPG(H52, "SP_ULT_PARENT_COMPANY_NAME")</f>
        <v/>
      </c>
      <c r="K52" s="13" t="str">
        <f>_xll.SNL.Clients.Office.Excel.Functions.SPG(H52, "SP_ULT_PARENT_COUNTRY")</f>
        <v/>
      </c>
      <c r="L52" s="13" t="str">
        <f>_xll.SNL.Clients.Office.Excel.Functions.SPG(H52, "SP_PARENT_COMPANY_NAME")</f>
        <v/>
      </c>
      <c r="M52" s="13" t="str">
        <f>_xll.SNL.Clients.Office.Excel.Functions.SPG(H52, "SP_PARENT_COUNTRY")</f>
        <v/>
      </c>
      <c r="N52" s="13" t="str">
        <f>_xll.SNL.Clients.Office.Excel.Functions.SPG(H52, "SP_COUNTRY_NAME")</f>
        <v>Australia</v>
      </c>
      <c r="O52" s="13" t="str">
        <f>_xll.SNL.Clients.Office.Excel.Functions.SPG(I52, "SP_ULT_PARENT_COMPANY_NAME")</f>
        <v/>
      </c>
      <c r="P52" s="13" t="str">
        <f>_xll.SNL.Clients.Office.Excel.Functions.SPG(I52, "SP_ULT_PARENT_COUNTRY")</f>
        <v/>
      </c>
      <c r="Q52" s="13" t="str">
        <f>_xll.SNL.Clients.Office.Excel.Functions.SPG(I52, "SP_PARENT_COMPANY_NAME")</f>
        <v/>
      </c>
      <c r="R52" s="13" t="str">
        <f>_xll.SNL.Clients.Office.Excel.Functions.SPG(I52, "SP_PARENT_COUNTRY")</f>
        <v/>
      </c>
      <c r="S52" s="13" t="str">
        <f>_xll.SNL.Clients.Office.Excel.Functions.SPG(I52, "SP_COUNTRY_NAME")</f>
        <v>China</v>
      </c>
    </row>
    <row r="53" spans="1:19" x14ac:dyDescent="0.25">
      <c r="A53" s="8">
        <v>46022</v>
      </c>
      <c r="B53" s="7" t="s">
        <v>108</v>
      </c>
      <c r="C53" s="7" t="s">
        <v>109</v>
      </c>
      <c r="D53" s="7" t="s">
        <v>288</v>
      </c>
      <c r="E53" s="11">
        <v>4237665</v>
      </c>
      <c r="F53" s="10">
        <v>100</v>
      </c>
      <c r="G53" s="13" t="str">
        <f>[1]!SNLData("243327", $C53, "OWNER_LIST")</f>
        <v>Nippon Yakin Kogyo Co., Ltd.  100%</v>
      </c>
      <c r="H53" s="14">
        <f>[1]!SNLData("243327", C53, "OWNER_SNL_INSTN_KEY", "Owner 1")</f>
        <v>4237665</v>
      </c>
      <c r="I53" s="14" t="str">
        <f>[1]!SNLData("243327", C53, "OWNER_SNL_INSTN_KEY", "Owner 2")</f>
        <v>NA</v>
      </c>
      <c r="J53" s="13" t="str">
        <f>_xll.SNL.Clients.Office.Excel.Functions.SPG(H53, "SP_ULT_PARENT_COMPANY_NAME")</f>
        <v/>
      </c>
      <c r="K53" s="13" t="str">
        <f>_xll.SNL.Clients.Office.Excel.Functions.SPG(H53, "SP_ULT_PARENT_COUNTRY")</f>
        <v/>
      </c>
      <c r="L53" s="13" t="str">
        <f>_xll.SNL.Clients.Office.Excel.Functions.SPG(H53, "SP_PARENT_COMPANY_NAME")</f>
        <v/>
      </c>
      <c r="M53" s="13" t="str">
        <f>_xll.SNL.Clients.Office.Excel.Functions.SPG(H53, "SP_PARENT_COUNTRY")</f>
        <v/>
      </c>
      <c r="N53" s="13" t="str">
        <f>_xll.SNL.Clients.Office.Excel.Functions.SPG(H53, "SP_COUNTRY_NAME")</f>
        <v>Japan</v>
      </c>
      <c r="O53" s="13" t="str">
        <f>_xll.SNL.Clients.Office.Excel.Functions.SPG(I53, "SP_ULT_PARENT_COMPANY_NAME")</f>
        <v/>
      </c>
      <c r="P53" s="13" t="str">
        <f>_xll.SNL.Clients.Office.Excel.Functions.SPG(I53, "SP_ULT_PARENT_COUNTRY")</f>
        <v/>
      </c>
      <c r="Q53" s="13" t="str">
        <f>_xll.SNL.Clients.Office.Excel.Functions.SPG(I53, "SP_PARENT_COMPANY_NAME")</f>
        <v/>
      </c>
      <c r="R53" s="13" t="str">
        <f>_xll.SNL.Clients.Office.Excel.Functions.SPG(I53, "SP_PARENT_COUNTRY")</f>
        <v/>
      </c>
      <c r="S53" s="13" t="str">
        <f>_xll.SNL.Clients.Office.Excel.Functions.SPG(I53, "SP_COUNTRY_NAME")</f>
        <v>China</v>
      </c>
    </row>
    <row r="54" spans="1:19" x14ac:dyDescent="0.25">
      <c r="A54" s="8">
        <v>46022</v>
      </c>
      <c r="B54" s="7" t="s">
        <v>110</v>
      </c>
      <c r="C54" s="7" t="s">
        <v>111</v>
      </c>
      <c r="D54" s="7" t="s">
        <v>277</v>
      </c>
      <c r="E54" s="11">
        <v>4223919</v>
      </c>
      <c r="F54" s="10">
        <v>100</v>
      </c>
      <c r="G54" s="13" t="str">
        <f>[1]!SNLData("243327", $C54, "OWNER_LIST")</f>
        <v>Vale S.A.  100%</v>
      </c>
      <c r="H54" s="14">
        <f>[1]!SNLData("243327", C54, "OWNER_SNL_INSTN_KEY", "Owner 1")</f>
        <v>4223919</v>
      </c>
      <c r="I54" s="14" t="str">
        <f>[1]!SNLData("243327", C54, "OWNER_SNL_INSTN_KEY", "Owner 2")</f>
        <v>NA</v>
      </c>
      <c r="J54" s="13" t="str">
        <f>_xll.SNL.Clients.Office.Excel.Functions.SPG(H54, "SP_ULT_PARENT_COMPANY_NAME")</f>
        <v/>
      </c>
      <c r="K54" s="13" t="str">
        <f>_xll.SNL.Clients.Office.Excel.Functions.SPG(H54, "SP_ULT_PARENT_COUNTRY")</f>
        <v/>
      </c>
      <c r="L54" s="13" t="str">
        <f>_xll.SNL.Clients.Office.Excel.Functions.SPG(H54, "SP_PARENT_COMPANY_NAME")</f>
        <v/>
      </c>
      <c r="M54" s="13" t="str">
        <f>_xll.SNL.Clients.Office.Excel.Functions.SPG(H54, "SP_PARENT_COUNTRY")</f>
        <v/>
      </c>
      <c r="N54" s="13" t="str">
        <f>_xll.SNL.Clients.Office.Excel.Functions.SPG(H54, "SP_COUNTRY_NAME")</f>
        <v>Brazil</v>
      </c>
      <c r="O54" s="13" t="str">
        <f>_xll.SNL.Clients.Office.Excel.Functions.SPG(I54, "SP_ULT_PARENT_COMPANY_NAME")</f>
        <v/>
      </c>
      <c r="P54" s="13" t="str">
        <f>_xll.SNL.Clients.Office.Excel.Functions.SPG(I54, "SP_ULT_PARENT_COUNTRY")</f>
        <v/>
      </c>
      <c r="Q54" s="13" t="str">
        <f>_xll.SNL.Clients.Office.Excel.Functions.SPG(I54, "SP_PARENT_COMPANY_NAME")</f>
        <v/>
      </c>
      <c r="R54" s="13" t="str">
        <f>_xll.SNL.Clients.Office.Excel.Functions.SPG(I54, "SP_PARENT_COUNTRY")</f>
        <v/>
      </c>
      <c r="S54" s="13" t="str">
        <f>_xll.SNL.Clients.Office.Excel.Functions.SPG(I54, "SP_COUNTRY_NAME")</f>
        <v>China</v>
      </c>
    </row>
    <row r="55" spans="1:19" x14ac:dyDescent="0.25">
      <c r="A55" s="8">
        <v>46022</v>
      </c>
      <c r="B55" s="7" t="s">
        <v>175</v>
      </c>
      <c r="C55" s="7" t="s">
        <v>176</v>
      </c>
      <c r="D55" s="7" t="s">
        <v>277</v>
      </c>
      <c r="E55" s="11">
        <v>4223919</v>
      </c>
      <c r="F55" s="10">
        <v>100</v>
      </c>
      <c r="G55" s="13" t="str">
        <f>[1]!SNLData("243327", $C55, "OWNER_LIST")</f>
        <v>Vale S.A.  100%</v>
      </c>
      <c r="H55" s="14">
        <f>[1]!SNLData("243327", C55, "OWNER_SNL_INSTN_KEY", "Owner 1")</f>
        <v>4223919</v>
      </c>
      <c r="I55" s="14" t="str">
        <f>[1]!SNLData("243327", C55, "OWNER_SNL_INSTN_KEY", "Owner 2")</f>
        <v>NA</v>
      </c>
      <c r="J55" s="13" t="str">
        <f>_xll.SNL.Clients.Office.Excel.Functions.SPG(H55, "SP_ULT_PARENT_COMPANY_NAME")</f>
        <v/>
      </c>
      <c r="K55" s="13" t="str">
        <f>_xll.SNL.Clients.Office.Excel.Functions.SPG(H55, "SP_ULT_PARENT_COUNTRY")</f>
        <v/>
      </c>
      <c r="L55" s="13" t="str">
        <f>_xll.SNL.Clients.Office.Excel.Functions.SPG(H55, "SP_PARENT_COMPANY_NAME")</f>
        <v/>
      </c>
      <c r="M55" s="13" t="str">
        <f>_xll.SNL.Clients.Office.Excel.Functions.SPG(H55, "SP_PARENT_COUNTRY")</f>
        <v/>
      </c>
      <c r="N55" s="13" t="str">
        <f>_xll.SNL.Clients.Office.Excel.Functions.SPG(H55, "SP_COUNTRY_NAME")</f>
        <v>Brazil</v>
      </c>
      <c r="O55" s="13" t="str">
        <f>_xll.SNL.Clients.Office.Excel.Functions.SPG(I55, "SP_ULT_PARENT_COMPANY_NAME")</f>
        <v/>
      </c>
      <c r="P55" s="13" t="str">
        <f>_xll.SNL.Clients.Office.Excel.Functions.SPG(I55, "SP_ULT_PARENT_COUNTRY")</f>
        <v/>
      </c>
      <c r="Q55" s="13" t="str">
        <f>_xll.SNL.Clients.Office.Excel.Functions.SPG(I55, "SP_PARENT_COMPANY_NAME")</f>
        <v/>
      </c>
      <c r="R55" s="13" t="str">
        <f>_xll.SNL.Clients.Office.Excel.Functions.SPG(I55, "SP_PARENT_COUNTRY")</f>
        <v/>
      </c>
      <c r="S55" s="13" t="str">
        <f>_xll.SNL.Clients.Office.Excel.Functions.SPG(I55, "SP_COUNTRY_NAME")</f>
        <v>China</v>
      </c>
    </row>
    <row r="56" spans="1:19" ht="30" x14ac:dyDescent="0.25">
      <c r="A56" s="8">
        <v>46022</v>
      </c>
      <c r="B56" s="7" t="s">
        <v>99</v>
      </c>
      <c r="C56" s="7" t="s">
        <v>100</v>
      </c>
      <c r="D56" s="7" t="s">
        <v>289</v>
      </c>
      <c r="E56" s="11">
        <v>7971605</v>
      </c>
      <c r="F56" s="10">
        <v>100</v>
      </c>
      <c r="G56" s="13" t="str">
        <f>[1]!SNLData("243327", $C56, "OWNER_LIST")</f>
        <v>Brazilian Nickel Plc  100%</v>
      </c>
      <c r="H56" s="14">
        <f>[1]!SNLData("243327", C56, "OWNER_SNL_INSTN_KEY", "Owner 1")</f>
        <v>7971605</v>
      </c>
      <c r="I56" s="14" t="str">
        <f>[1]!SNLData("243327", C56, "OWNER_SNL_INSTN_KEY", "Owner 2")</f>
        <v>NA</v>
      </c>
      <c r="J56" s="13" t="str">
        <f>_xll.SNL.Clients.Office.Excel.Functions.SPG(H56, "SP_ULT_PARENT_COMPANY_NAME")</f>
        <v/>
      </c>
      <c r="K56" s="13" t="str">
        <f>_xll.SNL.Clients.Office.Excel.Functions.SPG(H56, "SP_ULT_PARENT_COUNTRY")</f>
        <v/>
      </c>
      <c r="L56" s="13" t="str">
        <f>_xll.SNL.Clients.Office.Excel.Functions.SPG(H56, "SP_PARENT_COMPANY_NAME")</f>
        <v/>
      </c>
      <c r="M56" s="13" t="str">
        <f>_xll.SNL.Clients.Office.Excel.Functions.SPG(H56, "SP_PARENT_COUNTRY")</f>
        <v/>
      </c>
      <c r="N56" s="13" t="str">
        <f>_xll.SNL.Clients.Office.Excel.Functions.SPG(H56, "SP_COUNTRY_NAME")</f>
        <v>United Kingdom</v>
      </c>
      <c r="O56" s="13" t="str">
        <f>_xll.SNL.Clients.Office.Excel.Functions.SPG(I56, "SP_ULT_PARENT_COMPANY_NAME")</f>
        <v/>
      </c>
      <c r="P56" s="13" t="str">
        <f>_xll.SNL.Clients.Office.Excel.Functions.SPG(I56, "SP_ULT_PARENT_COUNTRY")</f>
        <v/>
      </c>
      <c r="Q56" s="13" t="str">
        <f>_xll.SNL.Clients.Office.Excel.Functions.SPG(I56, "SP_PARENT_COMPANY_NAME")</f>
        <v/>
      </c>
      <c r="R56" s="13" t="str">
        <f>_xll.SNL.Clients.Office.Excel.Functions.SPG(I56, "SP_PARENT_COUNTRY")</f>
        <v/>
      </c>
      <c r="S56" s="13" t="str">
        <f>_xll.SNL.Clients.Office.Excel.Functions.SPG(I56, "SP_COUNTRY_NAME")</f>
        <v>China</v>
      </c>
    </row>
    <row r="57" spans="1:19" ht="30" x14ac:dyDescent="0.25">
      <c r="A57" s="8">
        <v>46022</v>
      </c>
      <c r="B57" s="7" t="s">
        <v>177</v>
      </c>
      <c r="C57" s="7" t="s">
        <v>178</v>
      </c>
      <c r="D57" s="7" t="s">
        <v>290</v>
      </c>
      <c r="E57" s="11">
        <v>4353382</v>
      </c>
      <c r="F57" s="10">
        <v>100</v>
      </c>
      <c r="G57" s="13" t="str">
        <f>[1]!SNLData("243327", $C57, "OWNER_LIST")</f>
        <v>Sedibelo Resources Limited  100%</v>
      </c>
      <c r="H57" s="14">
        <f>[1]!SNLData("243327", C57, "OWNER_SNL_INSTN_KEY", "Owner 1")</f>
        <v>4353382</v>
      </c>
      <c r="I57" s="14" t="str">
        <f>[1]!SNLData("243327", C57, "OWNER_SNL_INSTN_KEY", "Owner 2")</f>
        <v>NA</v>
      </c>
      <c r="J57" s="13" t="str">
        <f>_xll.SNL.Clients.Office.Excel.Functions.SPG(H57, "SP_ULT_PARENT_COMPANY_NAME")</f>
        <v/>
      </c>
      <c r="K57" s="13" t="str">
        <f>_xll.SNL.Clients.Office.Excel.Functions.SPG(H57, "SP_ULT_PARENT_COUNTRY")</f>
        <v/>
      </c>
      <c r="L57" s="13" t="str">
        <f>_xll.SNL.Clients.Office.Excel.Functions.SPG(H57, "SP_PARENT_COMPANY_NAME")</f>
        <v/>
      </c>
      <c r="M57" s="13" t="str">
        <f>_xll.SNL.Clients.Office.Excel.Functions.SPG(H57, "SP_PARENT_COUNTRY")</f>
        <v/>
      </c>
      <c r="N57" s="13" t="str">
        <f>_xll.SNL.Clients.Office.Excel.Functions.SPG(H57, "SP_COUNTRY_NAME")</f>
        <v>Guernsey</v>
      </c>
      <c r="O57" s="13" t="str">
        <f>_xll.SNL.Clients.Office.Excel.Functions.SPG(I57, "SP_ULT_PARENT_COMPANY_NAME")</f>
        <v/>
      </c>
      <c r="P57" s="13" t="str">
        <f>_xll.SNL.Clients.Office.Excel.Functions.SPG(I57, "SP_ULT_PARENT_COUNTRY")</f>
        <v/>
      </c>
      <c r="Q57" s="13" t="str">
        <f>_xll.SNL.Clients.Office.Excel.Functions.SPG(I57, "SP_PARENT_COMPANY_NAME")</f>
        <v/>
      </c>
      <c r="R57" s="13" t="str">
        <f>_xll.SNL.Clients.Office.Excel.Functions.SPG(I57, "SP_PARENT_COUNTRY")</f>
        <v/>
      </c>
      <c r="S57" s="13" t="str">
        <f>_xll.SNL.Clients.Office.Excel.Functions.SPG(I57, "SP_COUNTRY_NAME")</f>
        <v>China</v>
      </c>
    </row>
    <row r="58" spans="1:19" ht="45" x14ac:dyDescent="0.25">
      <c r="A58" s="8">
        <v>46022</v>
      </c>
      <c r="B58" s="7" t="s">
        <v>179</v>
      </c>
      <c r="C58" s="7" t="s">
        <v>180</v>
      </c>
      <c r="D58" s="7" t="s">
        <v>291</v>
      </c>
      <c r="E58" s="11">
        <v>4239757</v>
      </c>
      <c r="F58" s="10">
        <v>8.3000000000000007</v>
      </c>
      <c r="G58" s="13" t="str">
        <f>[1]!SNLData("243327", $C58, "OWNER_LIST")</f>
        <v>Mvelaphanda Holdings (Proprietary) Limited (Venturer) 8.3%; Sibanye Stillwater Limited (Venturer) 91.7%</v>
      </c>
      <c r="H58" s="14">
        <f>[1]!SNLData("243327", C58, "OWNER_SNL_INSTN_KEY", "Owner 1")</f>
        <v>4379789</v>
      </c>
      <c r="I58" s="14">
        <f>[1]!SNLData("243327", C58, "OWNER_SNL_INSTN_KEY", "Owner 2")</f>
        <v>4239757</v>
      </c>
      <c r="J58" s="13" t="str">
        <f>_xll.SNL.Clients.Office.Excel.Functions.SPG(H58, "SP_ULT_PARENT_COMPANY_NAME")</f>
        <v/>
      </c>
      <c r="K58" s="13" t="str">
        <f>_xll.SNL.Clients.Office.Excel.Functions.SPG(H58, "SP_ULT_PARENT_COUNTRY")</f>
        <v/>
      </c>
      <c r="L58" s="13" t="str">
        <f>_xll.SNL.Clients.Office.Excel.Functions.SPG(H58, "SP_PARENT_COMPANY_NAME")</f>
        <v/>
      </c>
      <c r="M58" s="13" t="str">
        <f>_xll.SNL.Clients.Office.Excel.Functions.SPG(H58, "SP_PARENT_COUNTRY")</f>
        <v/>
      </c>
      <c r="N58" s="13" t="str">
        <f>_xll.SNL.Clients.Office.Excel.Functions.SPG(H58, "SP_COUNTRY_NAME")</f>
        <v>South Africa</v>
      </c>
      <c r="O58" s="13" t="str">
        <f>_xll.SNL.Clients.Office.Excel.Functions.SPG(I58, "SP_ULT_PARENT_COMPANY_NAME")</f>
        <v/>
      </c>
      <c r="P58" s="13" t="str">
        <f>_xll.SNL.Clients.Office.Excel.Functions.SPG(I58, "SP_ULT_PARENT_COUNTRY")</f>
        <v/>
      </c>
      <c r="Q58" s="13" t="str">
        <f>_xll.SNL.Clients.Office.Excel.Functions.SPG(I58, "SP_PARENT_COMPANY_NAME")</f>
        <v/>
      </c>
      <c r="R58" s="13" t="str">
        <f>_xll.SNL.Clients.Office.Excel.Functions.SPG(I58, "SP_PARENT_COUNTRY")</f>
        <v/>
      </c>
      <c r="S58" s="13" t="str">
        <f>_xll.SNL.Clients.Office.Excel.Functions.SPG(I58, "SP_COUNTRY_NAME")</f>
        <v>South Africa</v>
      </c>
    </row>
    <row r="59" spans="1:19" ht="45" x14ac:dyDescent="0.25">
      <c r="A59" s="8">
        <v>46022</v>
      </c>
      <c r="B59" s="7" t="s">
        <v>179</v>
      </c>
      <c r="C59" s="7" t="s">
        <v>180</v>
      </c>
      <c r="D59" s="7" t="s">
        <v>276</v>
      </c>
      <c r="E59" s="11">
        <v>4379789</v>
      </c>
      <c r="F59" s="10">
        <v>91.7</v>
      </c>
      <c r="G59" s="13" t="str">
        <f>[1]!SNLData("243327", $C59, "OWNER_LIST")</f>
        <v>Mvelaphanda Holdings (Proprietary) Limited (Venturer) 8.3%; Sibanye Stillwater Limited (Venturer) 91.7%</v>
      </c>
      <c r="H59" s="14">
        <f>[1]!SNLData("243327", C59, "OWNER_SNL_INSTN_KEY", "Owner 1")</f>
        <v>4379789</v>
      </c>
      <c r="I59" s="14">
        <f>[1]!SNLData("243327", C59, "OWNER_SNL_INSTN_KEY", "Owner 2")</f>
        <v>4239757</v>
      </c>
      <c r="J59" s="13" t="str">
        <f>_xll.SNL.Clients.Office.Excel.Functions.SPG(H59, "SP_ULT_PARENT_COMPANY_NAME")</f>
        <v/>
      </c>
      <c r="K59" s="13" t="str">
        <f>_xll.SNL.Clients.Office.Excel.Functions.SPG(H59, "SP_ULT_PARENT_COUNTRY")</f>
        <v/>
      </c>
      <c r="L59" s="13" t="str">
        <f>_xll.SNL.Clients.Office.Excel.Functions.SPG(H59, "SP_PARENT_COMPANY_NAME")</f>
        <v/>
      </c>
      <c r="M59" s="13" t="str">
        <f>_xll.SNL.Clients.Office.Excel.Functions.SPG(H59, "SP_PARENT_COUNTRY")</f>
        <v/>
      </c>
      <c r="N59" s="13" t="str">
        <f>_xll.SNL.Clients.Office.Excel.Functions.SPG(H59, "SP_COUNTRY_NAME")</f>
        <v>South Africa</v>
      </c>
      <c r="O59" s="13" t="str">
        <f>_xll.SNL.Clients.Office.Excel.Functions.SPG(I59, "SP_ULT_PARENT_COMPANY_NAME")</f>
        <v/>
      </c>
      <c r="P59" s="13" t="str">
        <f>_xll.SNL.Clients.Office.Excel.Functions.SPG(I59, "SP_ULT_PARENT_COUNTRY")</f>
        <v/>
      </c>
      <c r="Q59" s="13" t="str">
        <f>_xll.SNL.Clients.Office.Excel.Functions.SPG(I59, "SP_PARENT_COMPANY_NAME")</f>
        <v/>
      </c>
      <c r="R59" s="13" t="str">
        <f>_xll.SNL.Clients.Office.Excel.Functions.SPG(I59, "SP_PARENT_COUNTRY")</f>
        <v/>
      </c>
      <c r="S59" s="13" t="str">
        <f>_xll.SNL.Clients.Office.Excel.Functions.SPG(I59, "SP_COUNTRY_NAME")</f>
        <v>South Africa</v>
      </c>
    </row>
    <row r="60" spans="1:19" ht="90" x14ac:dyDescent="0.25">
      <c r="A60" s="8">
        <v>46022</v>
      </c>
      <c r="B60" s="7" t="s">
        <v>117</v>
      </c>
      <c r="C60" s="7" t="s">
        <v>118</v>
      </c>
      <c r="D60" s="7" t="s">
        <v>279</v>
      </c>
      <c r="E60" s="11">
        <v>4348597</v>
      </c>
      <c r="F60" s="10">
        <v>26</v>
      </c>
      <c r="G60" s="13" t="str">
        <f>[1]!SNLData("243327", $C60, "OWNER_LIST")</f>
        <v>ITOCHU Corporation (Venturer) %; Japan Organization for Metals and Energy Security (Venturer) %; Ivanhoe Mines Ltd. (Venturer) 64%; JGC Holdings Corporation (Venturer) %; Black Economic Empowerment (Venturer) 26%</v>
      </c>
      <c r="H60" s="14">
        <f>[1]!SNLData("243327", C60, "OWNER_SNL_INSTN_KEY", "Owner 1")</f>
        <v>4351368</v>
      </c>
      <c r="I60" s="14">
        <f>[1]!SNLData("243327", C60, "OWNER_SNL_INSTN_KEY", "Owner 2")</f>
        <v>4348597</v>
      </c>
      <c r="J60" s="13" t="str">
        <f>_xll.SNL.Clients.Office.Excel.Functions.SPG(H60, "SP_ULT_PARENT_COMPANY_NAME")</f>
        <v/>
      </c>
      <c r="K60" s="13" t="str">
        <f>_xll.SNL.Clients.Office.Excel.Functions.SPG(H60, "SP_ULT_PARENT_COUNTRY")</f>
        <v/>
      </c>
      <c r="L60" s="13" t="str">
        <f>_xll.SNL.Clients.Office.Excel.Functions.SPG(H60, "SP_PARENT_COMPANY_NAME")</f>
        <v/>
      </c>
      <c r="M60" s="13" t="str">
        <f>_xll.SNL.Clients.Office.Excel.Functions.SPG(H60, "SP_PARENT_COUNTRY")</f>
        <v/>
      </c>
      <c r="N60" s="13" t="str">
        <f>_xll.SNL.Clients.Office.Excel.Functions.SPG(H60, "SP_COUNTRY_NAME")</f>
        <v>Canada</v>
      </c>
      <c r="O60" s="13" t="str">
        <f>_xll.SNL.Clients.Office.Excel.Functions.SPG(I60, "SP_ULT_PARENT_COMPANY_NAME")</f>
        <v>PSG Group Ltd</v>
      </c>
      <c r="P60" s="13" t="str">
        <f>_xll.SNL.Clients.Office.Excel.Functions.SPG(I60, "SP_ULT_PARENT_COUNTRY")</f>
        <v>South Africa</v>
      </c>
      <c r="Q60" s="13" t="str">
        <f>_xll.SNL.Clients.Office.Excel.Functions.SPG(I60, "SP_PARENT_COMPANY_NAME")</f>
        <v>PSG Group Ltd</v>
      </c>
      <c r="R60" s="13" t="str">
        <f>_xll.SNL.Clients.Office.Excel.Functions.SPG(I60, "SP_PARENT_COUNTRY")</f>
        <v>South Africa</v>
      </c>
      <c r="S60" s="13" t="str">
        <f>_xll.SNL.Clients.Office.Excel.Functions.SPG(I60, "SP_COUNTRY_NAME")</f>
        <v>South Africa</v>
      </c>
    </row>
    <row r="61" spans="1:19" ht="90" x14ac:dyDescent="0.25">
      <c r="A61" s="8">
        <v>46022</v>
      </c>
      <c r="B61" s="7" t="s">
        <v>117</v>
      </c>
      <c r="C61" s="7" t="s">
        <v>118</v>
      </c>
      <c r="D61" s="7" t="s">
        <v>292</v>
      </c>
      <c r="E61" s="11">
        <v>4351368</v>
      </c>
      <c r="F61" s="10">
        <v>64</v>
      </c>
      <c r="G61" s="13" t="str">
        <f>[1]!SNLData("243327", $C61, "OWNER_LIST")</f>
        <v>ITOCHU Corporation (Venturer) %; Japan Organization for Metals and Energy Security (Venturer) %; Ivanhoe Mines Ltd. (Venturer) 64%; JGC Holdings Corporation (Venturer) %; Black Economic Empowerment (Venturer) 26%</v>
      </c>
      <c r="H61" s="14">
        <f>[1]!SNLData("243327", C61, "OWNER_SNL_INSTN_KEY", "Owner 1")</f>
        <v>4351368</v>
      </c>
      <c r="I61" s="14">
        <f>[1]!SNLData("243327", C61, "OWNER_SNL_INSTN_KEY", "Owner 2")</f>
        <v>4348597</v>
      </c>
      <c r="J61" s="13" t="str">
        <f>_xll.SNL.Clients.Office.Excel.Functions.SPG(H61, "SP_ULT_PARENT_COMPANY_NAME")</f>
        <v/>
      </c>
      <c r="K61" s="13" t="str">
        <f>_xll.SNL.Clients.Office.Excel.Functions.SPG(H61, "SP_ULT_PARENT_COUNTRY")</f>
        <v/>
      </c>
      <c r="L61" s="13" t="str">
        <f>_xll.SNL.Clients.Office.Excel.Functions.SPG(H61, "SP_PARENT_COMPANY_NAME")</f>
        <v/>
      </c>
      <c r="M61" s="13" t="str">
        <f>_xll.SNL.Clients.Office.Excel.Functions.SPG(H61, "SP_PARENT_COUNTRY")</f>
        <v/>
      </c>
      <c r="N61" s="13" t="str">
        <f>_xll.SNL.Clients.Office.Excel.Functions.SPG(H61, "SP_COUNTRY_NAME")</f>
        <v>Canada</v>
      </c>
      <c r="O61" s="13" t="str">
        <f>_xll.SNL.Clients.Office.Excel.Functions.SPG(I61, "SP_ULT_PARENT_COMPANY_NAME")</f>
        <v>PSG Group Ltd</v>
      </c>
      <c r="P61" s="13" t="str">
        <f>_xll.SNL.Clients.Office.Excel.Functions.SPG(I61, "SP_ULT_PARENT_COUNTRY")</f>
        <v>South Africa</v>
      </c>
      <c r="Q61" s="13" t="str">
        <f>_xll.SNL.Clients.Office.Excel.Functions.SPG(I61, "SP_PARENT_COMPANY_NAME")</f>
        <v>PSG Group Ltd</v>
      </c>
      <c r="R61" s="13" t="str">
        <f>_xll.SNL.Clients.Office.Excel.Functions.SPG(I61, "SP_PARENT_COUNTRY")</f>
        <v>South Africa</v>
      </c>
      <c r="S61" s="13" t="str">
        <f>_xll.SNL.Clients.Office.Excel.Functions.SPG(I61, "SP_COUNTRY_NAME")</f>
        <v>South Africa</v>
      </c>
    </row>
    <row r="62" spans="1:19" ht="105" x14ac:dyDescent="0.25">
      <c r="A62" s="8">
        <v>46022</v>
      </c>
      <c r="B62" s="7" t="s">
        <v>119</v>
      </c>
      <c r="C62" s="7" t="s">
        <v>120</v>
      </c>
      <c r="D62" s="7" t="s">
        <v>293</v>
      </c>
      <c r="E62" s="11">
        <v>4348047</v>
      </c>
      <c r="F62" s="10">
        <v>100</v>
      </c>
      <c r="G62" s="13" t="str">
        <f>[1]!SNLData("243327", $C62, "OWNER_LIST")</f>
        <v>Hongkong CBL Limited (Fractional) %; PT Antam (Persero) Tbk  100%</v>
      </c>
      <c r="H62" s="14">
        <f>[1]!SNLData("243327", C62, "OWNER_SNL_INSTN_KEY", "Owner 1")</f>
        <v>4348047</v>
      </c>
      <c r="I62" s="14">
        <f>[1]!SNLData("243327", C62, "OWNER_SNL_INSTN_KEY", "Owner 2")</f>
        <v>109479372</v>
      </c>
      <c r="J62" s="13" t="str">
        <f>_xll.SNL.Clients.Office.Excel.Functions.SPG(H62, "SP_ULT_PARENT_COMPANY_NAME")</f>
        <v>Indonesia</v>
      </c>
      <c r="K62" s="13" t="str">
        <f>_xll.SNL.Clients.Office.Excel.Functions.SPG(H62, "SP_ULT_PARENT_COUNTRY")</f>
        <v>Indonesia</v>
      </c>
      <c r="L62" s="13" t="str">
        <f>_xll.SNL.Clients.Office.Excel.Functions.SPG(H62, "SP_PARENT_COMPANY_NAME")</f>
        <v>PT Mineral Industri Indonesia (Persero)</v>
      </c>
      <c r="M62" s="13" t="str">
        <f>_xll.SNL.Clients.Office.Excel.Functions.SPG(H62, "SP_PARENT_COUNTRY")</f>
        <v>Indonesia</v>
      </c>
      <c r="N62" s="13" t="str">
        <f>_xll.SNL.Clients.Office.Excel.Functions.SPG(H62, "SP_COUNTRY_NAME")</f>
        <v>Indonesia</v>
      </c>
      <c r="O62" s="13" t="str">
        <f>_xll.SNL.Clients.Office.Excel.Functions.SPG(I62, "SP_ULT_PARENT_COMPANY_NAME")</f>
        <v>Ningbo Contemporary Brunp Lygend Co., Ltd.</v>
      </c>
      <c r="P62" s="13" t="str">
        <f>_xll.SNL.Clients.Office.Excel.Functions.SPG(I62, "SP_ULT_PARENT_COUNTRY")</f>
        <v>China</v>
      </c>
      <c r="Q62" s="13" t="str">
        <f>_xll.SNL.Clients.Office.Excel.Functions.SPG(I62, "SP_PARENT_COMPANY_NAME")</f>
        <v>Ningbo Contemporary Brunp Lygend Co., Ltd.</v>
      </c>
      <c r="R62" s="13" t="str">
        <f>_xll.SNL.Clients.Office.Excel.Functions.SPG(I62, "SP_PARENT_COUNTRY")</f>
        <v>China</v>
      </c>
      <c r="S62" s="13" t="str">
        <f>_xll.SNL.Clients.Office.Excel.Functions.SPG(I62, "SP_COUNTRY_NAME")</f>
        <v>Hong Kong</v>
      </c>
    </row>
    <row r="63" spans="1:19" ht="30" x14ac:dyDescent="0.25">
      <c r="A63" s="8">
        <v>46022</v>
      </c>
      <c r="B63" s="7" t="s">
        <v>112</v>
      </c>
      <c r="C63" s="7" t="s">
        <v>113</v>
      </c>
      <c r="D63" s="7" t="s">
        <v>285</v>
      </c>
      <c r="E63" s="11">
        <v>4113732</v>
      </c>
      <c r="F63" s="10">
        <v>100</v>
      </c>
      <c r="G63" s="13" t="str">
        <f>[1]!SNLData("243327", $C63, "OWNER_LIST")</f>
        <v>Glencore plc  100%</v>
      </c>
      <c r="H63" s="14">
        <f>[1]!SNLData("243327", C63, "OWNER_SNL_INSTN_KEY", "Owner 1")</f>
        <v>4113732</v>
      </c>
      <c r="I63" s="14" t="str">
        <f>[1]!SNLData("243327", C63, "OWNER_SNL_INSTN_KEY", "Owner 2")</f>
        <v>NA</v>
      </c>
      <c r="J63" s="13" t="str">
        <f>_xll.SNL.Clients.Office.Excel.Functions.SPG(H63, "SP_ULT_PARENT_COMPANY_NAME")</f>
        <v/>
      </c>
      <c r="K63" s="13" t="str">
        <f>_xll.SNL.Clients.Office.Excel.Functions.SPG(H63, "SP_ULT_PARENT_COUNTRY")</f>
        <v/>
      </c>
      <c r="L63" s="13" t="str">
        <f>_xll.SNL.Clients.Office.Excel.Functions.SPG(H63, "SP_PARENT_COMPANY_NAME")</f>
        <v/>
      </c>
      <c r="M63" s="13" t="str">
        <f>_xll.SNL.Clients.Office.Excel.Functions.SPG(H63, "SP_PARENT_COUNTRY")</f>
        <v/>
      </c>
      <c r="N63" s="13" t="str">
        <f>_xll.SNL.Clients.Office.Excel.Functions.SPG(H63, "SP_COUNTRY_NAME")</f>
        <v>Switzerland</v>
      </c>
      <c r="O63" s="13" t="str">
        <f>_xll.SNL.Clients.Office.Excel.Functions.SPG(I63, "SP_ULT_PARENT_COMPANY_NAME")</f>
        <v/>
      </c>
      <c r="P63" s="13" t="str">
        <f>_xll.SNL.Clients.Office.Excel.Functions.SPG(I63, "SP_ULT_PARENT_COUNTRY")</f>
        <v/>
      </c>
      <c r="Q63" s="13" t="str">
        <f>_xll.SNL.Clients.Office.Excel.Functions.SPG(I63, "SP_PARENT_COMPANY_NAME")</f>
        <v/>
      </c>
      <c r="R63" s="13" t="str">
        <f>_xll.SNL.Clients.Office.Excel.Functions.SPG(I63, "SP_PARENT_COUNTRY")</f>
        <v/>
      </c>
      <c r="S63" s="13" t="str">
        <f>_xll.SNL.Clients.Office.Excel.Functions.SPG(I63, "SP_COUNTRY_NAME")</f>
        <v>China</v>
      </c>
    </row>
    <row r="64" spans="1:19" ht="165" x14ac:dyDescent="0.25">
      <c r="A64" s="8">
        <v>46022</v>
      </c>
      <c r="B64" s="7" t="s">
        <v>83</v>
      </c>
      <c r="C64" s="7" t="s">
        <v>84</v>
      </c>
      <c r="D64" s="7" t="s">
        <v>294</v>
      </c>
      <c r="E64" s="11">
        <v>4351435</v>
      </c>
      <c r="F64" s="10">
        <v>11.05</v>
      </c>
      <c r="G64" s="13" t="str">
        <f>[1]!SNLData("243327", $C64, "OWNER_LIST")</f>
        <v>Jiuquan Iron and Steel (Group) Co., Ltd. (Venturer) 11.05%; Nickel 28 Capital Corp. (Carried) 8.56%; Jinchuan Group International Resources Co. Ltd (Venturer) 5.93%; Metallurgical Corporation of China Ltd. (Venturer) 56.97%; Ji Lin Ji En Nickel Industry Co., Ltd. (Venturer) 11.05%; Mineral Resources Development Corp (Venturer) 3.94%; Private Interest (Venturer) 2.5%</v>
      </c>
      <c r="H64" s="14">
        <f>[1]!SNLData("243327", C64, "OWNER_SNL_INSTN_KEY", "Owner 1")</f>
        <v>4352229</v>
      </c>
      <c r="I64" s="14">
        <f>[1]!SNLData("243327", C64, "OWNER_SNL_INSTN_KEY", "Owner 2")</f>
        <v>4351435</v>
      </c>
      <c r="J64" s="13" t="str">
        <f>_xll.SNL.Clients.Office.Excel.Functions.SPG(H64, "SP_ULT_PARENT_COMPANY_NAME")</f>
        <v>State-owned Assets Supervision and Administration Commission of the State Counci</v>
      </c>
      <c r="K64" s="13" t="str">
        <f>_xll.SNL.Clients.Office.Excel.Functions.SPG(H64, "SP_ULT_PARENT_COUNTRY")</f>
        <v>China</v>
      </c>
      <c r="L64" s="13" t="str">
        <f>_xll.SNL.Clients.Office.Excel.Functions.SPG(H64, "SP_PARENT_COMPANY_NAME")</f>
        <v>China Minmetals Co., Ltd</v>
      </c>
      <c r="M64" s="13" t="str">
        <f>_xll.SNL.Clients.Office.Excel.Functions.SPG(H64, "SP_PARENT_COUNTRY")</f>
        <v>China</v>
      </c>
      <c r="N64" s="13" t="str">
        <f>_xll.SNL.Clients.Office.Excel.Functions.SPG(H64, "SP_COUNTRY_NAME")</f>
        <v>China</v>
      </c>
      <c r="O64" s="13" t="str">
        <f>_xll.SNL.Clients.Office.Excel.Functions.SPG(I64, "SP_ULT_PARENT_COMPANY_NAME")</f>
        <v/>
      </c>
      <c r="P64" s="13" t="str">
        <f>_xll.SNL.Clients.Office.Excel.Functions.SPG(I64, "SP_ULT_PARENT_COUNTRY")</f>
        <v/>
      </c>
      <c r="Q64" s="13" t="str">
        <f>_xll.SNL.Clients.Office.Excel.Functions.SPG(I64, "SP_PARENT_COMPANY_NAME")</f>
        <v/>
      </c>
      <c r="R64" s="13" t="str">
        <f>_xll.SNL.Clients.Office.Excel.Functions.SPG(I64, "SP_PARENT_COUNTRY")</f>
        <v/>
      </c>
      <c r="S64" s="13" t="str">
        <f>_xll.SNL.Clients.Office.Excel.Functions.SPG(I64, "SP_COUNTRY_NAME")</f>
        <v>China</v>
      </c>
    </row>
    <row r="65" spans="1:19" ht="165" x14ac:dyDescent="0.25">
      <c r="A65" s="8">
        <v>46022</v>
      </c>
      <c r="B65" s="7" t="s">
        <v>83</v>
      </c>
      <c r="C65" s="7" t="s">
        <v>84</v>
      </c>
      <c r="D65" s="7" t="s">
        <v>284</v>
      </c>
      <c r="E65" s="11">
        <v>4361447</v>
      </c>
      <c r="F65" s="10">
        <v>5.93</v>
      </c>
      <c r="G65" s="13" t="str">
        <f>[1]!SNLData("243327", $C65, "OWNER_LIST")</f>
        <v>Jiuquan Iron and Steel (Group) Co., Ltd. (Venturer) 11.05%; Nickel 28 Capital Corp. (Carried) 8.56%; Jinchuan Group International Resources Co. Ltd (Venturer) 5.93%; Metallurgical Corporation of China Ltd. (Venturer) 56.97%; Ji Lin Ji En Nickel Industry Co., Ltd. (Venturer) 11.05%; Mineral Resources Development Corp (Venturer) 3.94%; Private Interest (Venturer) 2.5%</v>
      </c>
      <c r="H65" s="14">
        <f>[1]!SNLData("243327", C65, "OWNER_SNL_INSTN_KEY", "Owner 1")</f>
        <v>4352229</v>
      </c>
      <c r="I65" s="14">
        <f>[1]!SNLData("243327", C65, "OWNER_SNL_INSTN_KEY", "Owner 2")</f>
        <v>4351435</v>
      </c>
      <c r="J65" s="13" t="str">
        <f>_xll.SNL.Clients.Office.Excel.Functions.SPG(H65, "SP_ULT_PARENT_COMPANY_NAME")</f>
        <v>State-owned Assets Supervision and Administration Commission of the State Counci</v>
      </c>
      <c r="K65" s="13" t="str">
        <f>_xll.SNL.Clients.Office.Excel.Functions.SPG(H65, "SP_ULT_PARENT_COUNTRY")</f>
        <v>China</v>
      </c>
      <c r="L65" s="13" t="str">
        <f>_xll.SNL.Clients.Office.Excel.Functions.SPG(H65, "SP_PARENT_COMPANY_NAME")</f>
        <v>China Minmetals Co., Ltd</v>
      </c>
      <c r="M65" s="13" t="str">
        <f>_xll.SNL.Clients.Office.Excel.Functions.SPG(H65, "SP_PARENT_COUNTRY")</f>
        <v>China</v>
      </c>
      <c r="N65" s="13" t="str">
        <f>_xll.SNL.Clients.Office.Excel.Functions.SPG(H65, "SP_COUNTRY_NAME")</f>
        <v>China</v>
      </c>
      <c r="O65" s="13" t="str">
        <f>_xll.SNL.Clients.Office.Excel.Functions.SPG(I65, "SP_ULT_PARENT_COMPANY_NAME")</f>
        <v/>
      </c>
      <c r="P65" s="13" t="str">
        <f>_xll.SNL.Clients.Office.Excel.Functions.SPG(I65, "SP_ULT_PARENT_COUNTRY")</f>
        <v/>
      </c>
      <c r="Q65" s="13" t="str">
        <f>_xll.SNL.Clients.Office.Excel.Functions.SPG(I65, "SP_PARENT_COMPANY_NAME")</f>
        <v/>
      </c>
      <c r="R65" s="13" t="str">
        <f>_xll.SNL.Clients.Office.Excel.Functions.SPG(I65, "SP_PARENT_COUNTRY")</f>
        <v/>
      </c>
      <c r="S65" s="13" t="str">
        <f>_xll.SNL.Clients.Office.Excel.Functions.SPG(I65, "SP_COUNTRY_NAME")</f>
        <v>China</v>
      </c>
    </row>
    <row r="66" spans="1:19" ht="165" x14ac:dyDescent="0.25">
      <c r="A66" s="8">
        <v>46022</v>
      </c>
      <c r="B66" s="7" t="s">
        <v>83</v>
      </c>
      <c r="C66" s="7" t="s">
        <v>84</v>
      </c>
      <c r="D66" s="7" t="s">
        <v>295</v>
      </c>
      <c r="E66" s="11">
        <v>4351456</v>
      </c>
      <c r="F66" s="10">
        <v>11.05</v>
      </c>
      <c r="G66" s="13" t="str">
        <f>[1]!SNLData("243327", $C66, "OWNER_LIST")</f>
        <v>Jiuquan Iron and Steel (Group) Co., Ltd. (Venturer) 11.05%; Nickel 28 Capital Corp. (Carried) 8.56%; Jinchuan Group International Resources Co. Ltd (Venturer) 5.93%; Metallurgical Corporation of China Ltd. (Venturer) 56.97%; Ji Lin Ji En Nickel Industry Co., Ltd. (Venturer) 11.05%; Mineral Resources Development Corp (Venturer) 3.94%; Private Interest (Venturer) 2.5%</v>
      </c>
      <c r="H66" s="14">
        <f>[1]!SNLData("243327", C66, "OWNER_SNL_INSTN_KEY", "Owner 1")</f>
        <v>4352229</v>
      </c>
      <c r="I66" s="14">
        <f>[1]!SNLData("243327", C66, "OWNER_SNL_INSTN_KEY", "Owner 2")</f>
        <v>4351435</v>
      </c>
      <c r="J66" s="13" t="str">
        <f>_xll.SNL.Clients.Office.Excel.Functions.SPG(H66, "SP_ULT_PARENT_COMPANY_NAME")</f>
        <v>State-owned Assets Supervision and Administration Commission of the State Counci</v>
      </c>
      <c r="K66" s="13" t="str">
        <f>_xll.SNL.Clients.Office.Excel.Functions.SPG(H66, "SP_ULT_PARENT_COUNTRY")</f>
        <v>China</v>
      </c>
      <c r="L66" s="13" t="str">
        <f>_xll.SNL.Clients.Office.Excel.Functions.SPG(H66, "SP_PARENT_COMPANY_NAME")</f>
        <v>China Minmetals Co., Ltd</v>
      </c>
      <c r="M66" s="13" t="str">
        <f>_xll.SNL.Clients.Office.Excel.Functions.SPG(H66, "SP_PARENT_COUNTRY")</f>
        <v>China</v>
      </c>
      <c r="N66" s="13" t="str">
        <f>_xll.SNL.Clients.Office.Excel.Functions.SPG(H66, "SP_COUNTRY_NAME")</f>
        <v>China</v>
      </c>
      <c r="O66" s="13" t="str">
        <f>_xll.SNL.Clients.Office.Excel.Functions.SPG(I66, "SP_ULT_PARENT_COMPANY_NAME")</f>
        <v/>
      </c>
      <c r="P66" s="13" t="str">
        <f>_xll.SNL.Clients.Office.Excel.Functions.SPG(I66, "SP_ULT_PARENT_COUNTRY")</f>
        <v/>
      </c>
      <c r="Q66" s="13" t="str">
        <f>_xll.SNL.Clients.Office.Excel.Functions.SPG(I66, "SP_PARENT_COMPANY_NAME")</f>
        <v/>
      </c>
      <c r="R66" s="13" t="str">
        <f>_xll.SNL.Clients.Office.Excel.Functions.SPG(I66, "SP_PARENT_COUNTRY")</f>
        <v/>
      </c>
      <c r="S66" s="13" t="str">
        <f>_xll.SNL.Clients.Office.Excel.Functions.SPG(I66, "SP_COUNTRY_NAME")</f>
        <v>China</v>
      </c>
    </row>
    <row r="67" spans="1:19" ht="165" x14ac:dyDescent="0.25">
      <c r="A67" s="8">
        <v>46022</v>
      </c>
      <c r="B67" s="7" t="s">
        <v>83</v>
      </c>
      <c r="C67" s="7" t="s">
        <v>84</v>
      </c>
      <c r="D67" s="7" t="s">
        <v>296</v>
      </c>
      <c r="E67" s="11">
        <v>4352229</v>
      </c>
      <c r="F67" s="10">
        <v>56.97</v>
      </c>
      <c r="G67" s="13" t="str">
        <f>[1]!SNLData("243327", $C67, "OWNER_LIST")</f>
        <v>Jiuquan Iron and Steel (Group) Co., Ltd. (Venturer) 11.05%; Nickel 28 Capital Corp. (Carried) 8.56%; Jinchuan Group International Resources Co. Ltd (Venturer) 5.93%; Metallurgical Corporation of China Ltd. (Venturer) 56.97%; Ji Lin Ji En Nickel Industry Co., Ltd. (Venturer) 11.05%; Mineral Resources Development Corp (Venturer) 3.94%; Private Interest (Venturer) 2.5%</v>
      </c>
      <c r="H67" s="14">
        <f>[1]!SNLData("243327", C67, "OWNER_SNL_INSTN_KEY", "Owner 1")</f>
        <v>4352229</v>
      </c>
      <c r="I67" s="14">
        <f>[1]!SNLData("243327", C67, "OWNER_SNL_INSTN_KEY", "Owner 2")</f>
        <v>4351435</v>
      </c>
      <c r="J67" s="13" t="str">
        <f>_xll.SNL.Clients.Office.Excel.Functions.SPG(H67, "SP_ULT_PARENT_COMPANY_NAME")</f>
        <v>State-owned Assets Supervision and Administration Commission of the State Counci</v>
      </c>
      <c r="K67" s="13" t="str">
        <f>_xll.SNL.Clients.Office.Excel.Functions.SPG(H67, "SP_ULT_PARENT_COUNTRY")</f>
        <v>China</v>
      </c>
      <c r="L67" s="13" t="str">
        <f>_xll.SNL.Clients.Office.Excel.Functions.SPG(H67, "SP_PARENT_COMPANY_NAME")</f>
        <v>China Minmetals Co., Ltd</v>
      </c>
      <c r="M67" s="13" t="str">
        <f>_xll.SNL.Clients.Office.Excel.Functions.SPG(H67, "SP_PARENT_COUNTRY")</f>
        <v>China</v>
      </c>
      <c r="N67" s="13" t="str">
        <f>_xll.SNL.Clients.Office.Excel.Functions.SPG(H67, "SP_COUNTRY_NAME")</f>
        <v>China</v>
      </c>
      <c r="O67" s="13" t="str">
        <f>_xll.SNL.Clients.Office.Excel.Functions.SPG(I67, "SP_ULT_PARENT_COMPANY_NAME")</f>
        <v/>
      </c>
      <c r="P67" s="13" t="str">
        <f>_xll.SNL.Clients.Office.Excel.Functions.SPG(I67, "SP_ULT_PARENT_COUNTRY")</f>
        <v/>
      </c>
      <c r="Q67" s="13" t="str">
        <f>_xll.SNL.Clients.Office.Excel.Functions.SPG(I67, "SP_PARENT_COMPANY_NAME")</f>
        <v/>
      </c>
      <c r="R67" s="13" t="str">
        <f>_xll.SNL.Clients.Office.Excel.Functions.SPG(I67, "SP_PARENT_COUNTRY")</f>
        <v/>
      </c>
      <c r="S67" s="13" t="str">
        <f>_xll.SNL.Clients.Office.Excel.Functions.SPG(I67, "SP_COUNTRY_NAME")</f>
        <v>China</v>
      </c>
    </row>
    <row r="68" spans="1:19" ht="165" x14ac:dyDescent="0.25">
      <c r="A68" s="8">
        <v>46022</v>
      </c>
      <c r="B68" s="7" t="s">
        <v>83</v>
      </c>
      <c r="C68" s="7" t="s">
        <v>84</v>
      </c>
      <c r="D68" s="7" t="s">
        <v>297</v>
      </c>
      <c r="E68" s="11">
        <v>4352437</v>
      </c>
      <c r="F68" s="10">
        <v>3.94</v>
      </c>
      <c r="G68" s="13" t="str">
        <f>[1]!SNLData("243327", $C68, "OWNER_LIST")</f>
        <v>Jiuquan Iron and Steel (Group) Co., Ltd. (Venturer) 11.05%; Nickel 28 Capital Corp. (Carried) 8.56%; Jinchuan Group International Resources Co. Ltd (Venturer) 5.93%; Metallurgical Corporation of China Ltd. (Venturer) 56.97%; Ji Lin Ji En Nickel Industry Co., Ltd. (Venturer) 11.05%; Mineral Resources Development Corp (Venturer) 3.94%; Private Interest (Venturer) 2.5%</v>
      </c>
      <c r="H68" s="14">
        <f>[1]!SNLData("243327", C68, "OWNER_SNL_INSTN_KEY", "Owner 1")</f>
        <v>4352229</v>
      </c>
      <c r="I68" s="14">
        <f>[1]!SNLData("243327", C68, "OWNER_SNL_INSTN_KEY", "Owner 2")</f>
        <v>4351435</v>
      </c>
      <c r="J68" s="13" t="str">
        <f>_xll.SNL.Clients.Office.Excel.Functions.SPG(H68, "SP_ULT_PARENT_COMPANY_NAME")</f>
        <v>State-owned Assets Supervision and Administration Commission of the State Counci</v>
      </c>
      <c r="K68" s="13" t="str">
        <f>_xll.SNL.Clients.Office.Excel.Functions.SPG(H68, "SP_ULT_PARENT_COUNTRY")</f>
        <v>China</v>
      </c>
      <c r="L68" s="13" t="str">
        <f>_xll.SNL.Clients.Office.Excel.Functions.SPG(H68, "SP_PARENT_COMPANY_NAME")</f>
        <v>China Minmetals Co., Ltd</v>
      </c>
      <c r="M68" s="13" t="str">
        <f>_xll.SNL.Clients.Office.Excel.Functions.SPG(H68, "SP_PARENT_COUNTRY")</f>
        <v>China</v>
      </c>
      <c r="N68" s="13" t="str">
        <f>_xll.SNL.Clients.Office.Excel.Functions.SPG(H68, "SP_COUNTRY_NAME")</f>
        <v>China</v>
      </c>
      <c r="O68" s="13" t="str">
        <f>_xll.SNL.Clients.Office.Excel.Functions.SPG(I68, "SP_ULT_PARENT_COMPANY_NAME")</f>
        <v/>
      </c>
      <c r="P68" s="13" t="str">
        <f>_xll.SNL.Clients.Office.Excel.Functions.SPG(I68, "SP_ULT_PARENT_COUNTRY")</f>
        <v/>
      </c>
      <c r="Q68" s="13" t="str">
        <f>_xll.SNL.Clients.Office.Excel.Functions.SPG(I68, "SP_PARENT_COMPANY_NAME")</f>
        <v/>
      </c>
      <c r="R68" s="13" t="str">
        <f>_xll.SNL.Clients.Office.Excel.Functions.SPG(I68, "SP_PARENT_COUNTRY")</f>
        <v/>
      </c>
      <c r="S68" s="13" t="str">
        <f>_xll.SNL.Clients.Office.Excel.Functions.SPG(I68, "SP_COUNTRY_NAME")</f>
        <v>China</v>
      </c>
    </row>
    <row r="69" spans="1:19" ht="165" x14ac:dyDescent="0.25">
      <c r="A69" s="8">
        <v>46022</v>
      </c>
      <c r="B69" s="7" t="s">
        <v>83</v>
      </c>
      <c r="C69" s="7" t="s">
        <v>84</v>
      </c>
      <c r="D69" s="7" t="s">
        <v>298</v>
      </c>
      <c r="E69" s="11">
        <v>19394423</v>
      </c>
      <c r="F69" s="10">
        <v>8.56</v>
      </c>
      <c r="G69" s="13" t="str">
        <f>[1]!SNLData("243327", $C69, "OWNER_LIST")</f>
        <v>Jiuquan Iron and Steel (Group) Co., Ltd. (Venturer) 11.05%; Nickel 28 Capital Corp. (Carried) 8.56%; Jinchuan Group International Resources Co. Ltd (Venturer) 5.93%; Metallurgical Corporation of China Ltd. (Venturer) 56.97%; Ji Lin Ji En Nickel Industry Co., Ltd. (Venturer) 11.05%; Mineral Resources Development Corp (Venturer) 3.94%; Private Interest (Venturer) 2.5%</v>
      </c>
      <c r="H69" s="14">
        <f>[1]!SNLData("243327", C69, "OWNER_SNL_INSTN_KEY", "Owner 1")</f>
        <v>4352229</v>
      </c>
      <c r="I69" s="14">
        <f>[1]!SNLData("243327", C69, "OWNER_SNL_INSTN_KEY", "Owner 2")</f>
        <v>4351435</v>
      </c>
      <c r="J69" s="13" t="str">
        <f>_xll.SNL.Clients.Office.Excel.Functions.SPG(H69, "SP_ULT_PARENT_COMPANY_NAME")</f>
        <v>State-owned Assets Supervision and Administration Commission of the State Counci</v>
      </c>
      <c r="K69" s="13" t="str">
        <f>_xll.SNL.Clients.Office.Excel.Functions.SPG(H69, "SP_ULT_PARENT_COUNTRY")</f>
        <v>China</v>
      </c>
      <c r="L69" s="13" t="str">
        <f>_xll.SNL.Clients.Office.Excel.Functions.SPG(H69, "SP_PARENT_COMPANY_NAME")</f>
        <v>China Minmetals Co., Ltd</v>
      </c>
      <c r="M69" s="13" t="str">
        <f>_xll.SNL.Clients.Office.Excel.Functions.SPG(H69, "SP_PARENT_COUNTRY")</f>
        <v>China</v>
      </c>
      <c r="N69" s="13" t="str">
        <f>_xll.SNL.Clients.Office.Excel.Functions.SPG(H69, "SP_COUNTRY_NAME")</f>
        <v>China</v>
      </c>
      <c r="O69" s="13" t="str">
        <f>_xll.SNL.Clients.Office.Excel.Functions.SPG(I69, "SP_ULT_PARENT_COMPANY_NAME")</f>
        <v/>
      </c>
      <c r="P69" s="13" t="str">
        <f>_xll.SNL.Clients.Office.Excel.Functions.SPG(I69, "SP_ULT_PARENT_COUNTRY")</f>
        <v/>
      </c>
      <c r="Q69" s="13" t="str">
        <f>_xll.SNL.Clients.Office.Excel.Functions.SPG(I69, "SP_PARENT_COMPANY_NAME")</f>
        <v/>
      </c>
      <c r="R69" s="13" t="str">
        <f>_xll.SNL.Clients.Office.Excel.Functions.SPG(I69, "SP_PARENT_COUNTRY")</f>
        <v/>
      </c>
      <c r="S69" s="13" t="str">
        <f>_xll.SNL.Clients.Office.Excel.Functions.SPG(I69, "SP_COUNTRY_NAME")</f>
        <v>China</v>
      </c>
    </row>
    <row r="70" spans="1:19" ht="165" x14ac:dyDescent="0.25">
      <c r="A70" s="8">
        <v>46022</v>
      </c>
      <c r="B70" s="7" t="s">
        <v>83</v>
      </c>
      <c r="C70" s="7" t="s">
        <v>84</v>
      </c>
      <c r="D70" s="7" t="s">
        <v>273</v>
      </c>
      <c r="E70" s="11">
        <v>4353456</v>
      </c>
      <c r="F70" s="10">
        <v>2.5</v>
      </c>
      <c r="G70" s="13" t="str">
        <f>[1]!SNLData("243327", $C70, "OWNER_LIST")</f>
        <v>Jiuquan Iron and Steel (Group) Co., Ltd. (Venturer) 11.05%; Nickel 28 Capital Corp. (Carried) 8.56%; Jinchuan Group International Resources Co. Ltd (Venturer) 5.93%; Metallurgical Corporation of China Ltd. (Venturer) 56.97%; Ji Lin Ji En Nickel Industry Co., Ltd. (Venturer) 11.05%; Mineral Resources Development Corp (Venturer) 3.94%; Private Interest (Venturer) 2.5%</v>
      </c>
      <c r="H70" s="14">
        <f>[1]!SNLData("243327", C70, "OWNER_SNL_INSTN_KEY", "Owner 1")</f>
        <v>4352229</v>
      </c>
      <c r="I70" s="14">
        <f>[1]!SNLData("243327", C70, "OWNER_SNL_INSTN_KEY", "Owner 2")</f>
        <v>4351435</v>
      </c>
      <c r="J70" s="13" t="str">
        <f>_xll.SNL.Clients.Office.Excel.Functions.SPG(H70, "SP_ULT_PARENT_COMPANY_NAME")</f>
        <v>State-owned Assets Supervision and Administration Commission of the State Counci</v>
      </c>
      <c r="K70" s="13" t="str">
        <f>_xll.SNL.Clients.Office.Excel.Functions.SPG(H70, "SP_ULT_PARENT_COUNTRY")</f>
        <v>China</v>
      </c>
      <c r="L70" s="13" t="str">
        <f>_xll.SNL.Clients.Office.Excel.Functions.SPG(H70, "SP_PARENT_COMPANY_NAME")</f>
        <v>China Minmetals Co., Ltd</v>
      </c>
      <c r="M70" s="13" t="str">
        <f>_xll.SNL.Clients.Office.Excel.Functions.SPG(H70, "SP_PARENT_COUNTRY")</f>
        <v>China</v>
      </c>
      <c r="N70" s="13" t="str">
        <f>_xll.SNL.Clients.Office.Excel.Functions.SPG(H70, "SP_COUNTRY_NAME")</f>
        <v>China</v>
      </c>
      <c r="O70" s="13" t="str">
        <f>_xll.SNL.Clients.Office.Excel.Functions.SPG(I70, "SP_ULT_PARENT_COMPANY_NAME")</f>
        <v/>
      </c>
      <c r="P70" s="13" t="str">
        <f>_xll.SNL.Clients.Office.Excel.Functions.SPG(I70, "SP_ULT_PARENT_COUNTRY")</f>
        <v/>
      </c>
      <c r="Q70" s="13" t="str">
        <f>_xll.SNL.Clients.Office.Excel.Functions.SPG(I70, "SP_PARENT_COMPANY_NAME")</f>
        <v/>
      </c>
      <c r="R70" s="13" t="str">
        <f>_xll.SNL.Clients.Office.Excel.Functions.SPG(I70, "SP_PARENT_COUNTRY")</f>
        <v/>
      </c>
      <c r="S70" s="13" t="str">
        <f>_xll.SNL.Clients.Office.Excel.Functions.SPG(I70, "SP_COUNTRY_NAME")</f>
        <v>China</v>
      </c>
    </row>
    <row r="71" spans="1:19" ht="45" x14ac:dyDescent="0.25">
      <c r="A71" s="8">
        <v>46022</v>
      </c>
      <c r="B71" s="7" t="s">
        <v>114</v>
      </c>
      <c r="C71" s="7" t="s">
        <v>115</v>
      </c>
      <c r="D71" s="7" t="s">
        <v>299</v>
      </c>
      <c r="E71" s="11">
        <v>4352804</v>
      </c>
      <c r="F71" s="10">
        <v>60</v>
      </c>
      <c r="G71" s="13" t="str">
        <f>[1]!SNLData("243327", $C71, "OWNER_LIST")</f>
        <v>Pacific Metals Co., Ltd. (Venturer) 36%; Nickel Asia Corporation (Venturer) 60%; Sojitz Corporation (Venturer) 4%</v>
      </c>
      <c r="H71" s="14">
        <f>[1]!SNLData("243327", C71, "OWNER_SNL_INSTN_KEY", "Owner 1")</f>
        <v>4352804</v>
      </c>
      <c r="I71" s="14">
        <f>[1]!SNLData("243327", C71, "OWNER_SNL_INSTN_KEY", "Owner 2")</f>
        <v>4557435</v>
      </c>
      <c r="J71" s="13" t="str">
        <f>_xll.SNL.Clients.Office.Excel.Functions.SPG(H71, "SP_ULT_PARENT_COMPANY_NAME")</f>
        <v/>
      </c>
      <c r="K71" s="13" t="str">
        <f>_xll.SNL.Clients.Office.Excel.Functions.SPG(H71, "SP_ULT_PARENT_COUNTRY")</f>
        <v/>
      </c>
      <c r="L71" s="13" t="str">
        <f>_xll.SNL.Clients.Office.Excel.Functions.SPG(H71, "SP_PARENT_COMPANY_NAME")</f>
        <v/>
      </c>
      <c r="M71" s="13" t="str">
        <f>_xll.SNL.Clients.Office.Excel.Functions.SPG(H71, "SP_PARENT_COUNTRY")</f>
        <v/>
      </c>
      <c r="N71" s="13" t="str">
        <f>_xll.SNL.Clients.Office.Excel.Functions.SPG(H71, "SP_COUNTRY_NAME")</f>
        <v>Philippines</v>
      </c>
      <c r="O71" s="13" t="str">
        <f>_xll.SNL.Clients.Office.Excel.Functions.SPG(I71, "SP_ULT_PARENT_COMPANY_NAME")</f>
        <v/>
      </c>
      <c r="P71" s="13" t="str">
        <f>_xll.SNL.Clients.Office.Excel.Functions.SPG(I71, "SP_ULT_PARENT_COUNTRY")</f>
        <v/>
      </c>
      <c r="Q71" s="13" t="str">
        <f>_xll.SNL.Clients.Office.Excel.Functions.SPG(I71, "SP_PARENT_COMPANY_NAME")</f>
        <v/>
      </c>
      <c r="R71" s="13" t="str">
        <f>_xll.SNL.Clients.Office.Excel.Functions.SPG(I71, "SP_PARENT_COUNTRY")</f>
        <v/>
      </c>
      <c r="S71" s="13" t="str">
        <f>_xll.SNL.Clients.Office.Excel.Functions.SPG(I71, "SP_COUNTRY_NAME")</f>
        <v>Japan</v>
      </c>
    </row>
    <row r="72" spans="1:19" ht="45" x14ac:dyDescent="0.25">
      <c r="A72" s="8">
        <v>46022</v>
      </c>
      <c r="B72" s="7" t="s">
        <v>114</v>
      </c>
      <c r="C72" s="7" t="s">
        <v>115</v>
      </c>
      <c r="D72" s="7" t="s">
        <v>270</v>
      </c>
      <c r="E72" s="11">
        <v>4557435</v>
      </c>
      <c r="F72" s="10">
        <v>36</v>
      </c>
      <c r="G72" s="13" t="str">
        <f>[1]!SNLData("243327", $C72, "OWNER_LIST")</f>
        <v>Pacific Metals Co., Ltd. (Venturer) 36%; Nickel Asia Corporation (Venturer) 60%; Sojitz Corporation (Venturer) 4%</v>
      </c>
      <c r="H72" s="14">
        <f>[1]!SNLData("243327", C72, "OWNER_SNL_INSTN_KEY", "Owner 1")</f>
        <v>4352804</v>
      </c>
      <c r="I72" s="14">
        <f>[1]!SNLData("243327", C72, "OWNER_SNL_INSTN_KEY", "Owner 2")</f>
        <v>4557435</v>
      </c>
      <c r="J72" s="13" t="str">
        <f>_xll.SNL.Clients.Office.Excel.Functions.SPG(H72, "SP_ULT_PARENT_COMPANY_NAME")</f>
        <v/>
      </c>
      <c r="K72" s="13" t="str">
        <f>_xll.SNL.Clients.Office.Excel.Functions.SPG(H72, "SP_ULT_PARENT_COUNTRY")</f>
        <v/>
      </c>
      <c r="L72" s="13" t="str">
        <f>_xll.SNL.Clients.Office.Excel.Functions.SPG(H72, "SP_PARENT_COMPANY_NAME")</f>
        <v/>
      </c>
      <c r="M72" s="13" t="str">
        <f>_xll.SNL.Clients.Office.Excel.Functions.SPG(H72, "SP_PARENT_COUNTRY")</f>
        <v/>
      </c>
      <c r="N72" s="13" t="str">
        <f>_xll.SNL.Clients.Office.Excel.Functions.SPG(H72, "SP_COUNTRY_NAME")</f>
        <v>Philippines</v>
      </c>
      <c r="O72" s="13" t="str">
        <f>_xll.SNL.Clients.Office.Excel.Functions.SPG(I72, "SP_ULT_PARENT_COMPANY_NAME")</f>
        <v/>
      </c>
      <c r="P72" s="13" t="str">
        <f>_xll.SNL.Clients.Office.Excel.Functions.SPG(I72, "SP_ULT_PARENT_COUNTRY")</f>
        <v/>
      </c>
      <c r="Q72" s="13" t="str">
        <f>_xll.SNL.Clients.Office.Excel.Functions.SPG(I72, "SP_PARENT_COMPANY_NAME")</f>
        <v/>
      </c>
      <c r="R72" s="13" t="str">
        <f>_xll.SNL.Clients.Office.Excel.Functions.SPG(I72, "SP_PARENT_COUNTRY")</f>
        <v/>
      </c>
      <c r="S72" s="13" t="str">
        <f>_xll.SNL.Clients.Office.Excel.Functions.SPG(I72, "SP_COUNTRY_NAME")</f>
        <v>Japan</v>
      </c>
    </row>
    <row r="73" spans="1:19" ht="45" x14ac:dyDescent="0.25">
      <c r="A73" s="8">
        <v>46022</v>
      </c>
      <c r="B73" s="7" t="s">
        <v>114</v>
      </c>
      <c r="C73" s="7" t="s">
        <v>115</v>
      </c>
      <c r="D73" s="7" t="s">
        <v>300</v>
      </c>
      <c r="E73" s="11">
        <v>4096231</v>
      </c>
      <c r="F73" s="10">
        <v>4</v>
      </c>
      <c r="G73" s="13" t="str">
        <f>[1]!SNLData("243327", $C73, "OWNER_LIST")</f>
        <v>Pacific Metals Co., Ltd. (Venturer) 36%; Nickel Asia Corporation (Venturer) 60%; Sojitz Corporation (Venturer) 4%</v>
      </c>
      <c r="H73" s="14">
        <f>[1]!SNLData("243327", C73, "OWNER_SNL_INSTN_KEY", "Owner 1")</f>
        <v>4352804</v>
      </c>
      <c r="I73" s="14">
        <f>[1]!SNLData("243327", C73, "OWNER_SNL_INSTN_KEY", "Owner 2")</f>
        <v>4557435</v>
      </c>
      <c r="J73" s="13" t="str">
        <f>_xll.SNL.Clients.Office.Excel.Functions.SPG(H73, "SP_ULT_PARENT_COMPANY_NAME")</f>
        <v/>
      </c>
      <c r="K73" s="13" t="str">
        <f>_xll.SNL.Clients.Office.Excel.Functions.SPG(H73, "SP_ULT_PARENT_COUNTRY")</f>
        <v/>
      </c>
      <c r="L73" s="13" t="str">
        <f>_xll.SNL.Clients.Office.Excel.Functions.SPG(H73, "SP_PARENT_COMPANY_NAME")</f>
        <v/>
      </c>
      <c r="M73" s="13" t="str">
        <f>_xll.SNL.Clients.Office.Excel.Functions.SPG(H73, "SP_PARENT_COUNTRY")</f>
        <v/>
      </c>
      <c r="N73" s="13" t="str">
        <f>_xll.SNL.Clients.Office.Excel.Functions.SPG(H73, "SP_COUNTRY_NAME")</f>
        <v>Philippines</v>
      </c>
      <c r="O73" s="13" t="str">
        <f>_xll.SNL.Clients.Office.Excel.Functions.SPG(I73, "SP_ULT_PARENT_COMPANY_NAME")</f>
        <v/>
      </c>
      <c r="P73" s="13" t="str">
        <f>_xll.SNL.Clients.Office.Excel.Functions.SPG(I73, "SP_ULT_PARENT_COUNTRY")</f>
        <v/>
      </c>
      <c r="Q73" s="13" t="str">
        <f>_xll.SNL.Clients.Office.Excel.Functions.SPG(I73, "SP_PARENT_COMPANY_NAME")</f>
        <v/>
      </c>
      <c r="R73" s="13" t="str">
        <f>_xll.SNL.Clients.Office.Excel.Functions.SPG(I73, "SP_PARENT_COUNTRY")</f>
        <v/>
      </c>
      <c r="S73" s="13" t="str">
        <f>_xll.SNL.Clients.Office.Excel.Functions.SPG(I73, "SP_COUNTRY_NAME")</f>
        <v>Japan</v>
      </c>
    </row>
    <row r="74" spans="1:19" ht="45" x14ac:dyDescent="0.25">
      <c r="A74" s="8">
        <v>46022</v>
      </c>
      <c r="B74" s="7" t="s">
        <v>122</v>
      </c>
      <c r="C74" s="7" t="s">
        <v>123</v>
      </c>
      <c r="D74" s="7" t="s">
        <v>301</v>
      </c>
      <c r="E74" s="11">
        <v>25460448</v>
      </c>
      <c r="F74" s="10">
        <v>26</v>
      </c>
      <c r="G74" s="13" t="str">
        <f>[1]!SNLData("243327", $C74, "OWNER_LIST")</f>
        <v>Sibanye Stillwater Limited (Venturer) 74%; Newshelf 1335 Proprietary Limited (Venturer) 26%</v>
      </c>
      <c r="H74" s="14">
        <f>[1]!SNLData("243327", C74, "OWNER_SNL_INSTN_KEY", "Owner 1")</f>
        <v>4379789</v>
      </c>
      <c r="I74" s="14">
        <f>[1]!SNLData("243327", C74, "OWNER_SNL_INSTN_KEY", "Owner 2")</f>
        <v>25460448</v>
      </c>
      <c r="J74" s="13" t="str">
        <f>_xll.SNL.Clients.Office.Excel.Functions.SPG(H74, "SP_ULT_PARENT_COMPANY_NAME")</f>
        <v/>
      </c>
      <c r="K74" s="13" t="str">
        <f>_xll.SNL.Clients.Office.Excel.Functions.SPG(H74, "SP_ULT_PARENT_COUNTRY")</f>
        <v/>
      </c>
      <c r="L74" s="13" t="str">
        <f>_xll.SNL.Clients.Office.Excel.Functions.SPG(H74, "SP_PARENT_COMPANY_NAME")</f>
        <v/>
      </c>
      <c r="M74" s="13" t="str">
        <f>_xll.SNL.Clients.Office.Excel.Functions.SPG(H74, "SP_PARENT_COUNTRY")</f>
        <v/>
      </c>
      <c r="N74" s="13" t="str">
        <f>_xll.SNL.Clients.Office.Excel.Functions.SPG(H74, "SP_COUNTRY_NAME")</f>
        <v>South Africa</v>
      </c>
      <c r="O74" s="13" t="str">
        <f>_xll.SNL.Clients.Office.Excel.Functions.SPG(I74, "SP_ULT_PARENT_COMPANY_NAME")</f>
        <v/>
      </c>
      <c r="P74" s="13" t="str">
        <f>_xll.SNL.Clients.Office.Excel.Functions.SPG(I74, "SP_ULT_PARENT_COUNTRY")</f>
        <v/>
      </c>
      <c r="Q74" s="13" t="str">
        <f>_xll.SNL.Clients.Office.Excel.Functions.SPG(I74, "SP_PARENT_COMPANY_NAME")</f>
        <v/>
      </c>
      <c r="R74" s="13" t="str">
        <f>_xll.SNL.Clients.Office.Excel.Functions.SPG(I74, "SP_PARENT_COUNTRY")</f>
        <v/>
      </c>
      <c r="S74" s="13" t="str">
        <f>_xll.SNL.Clients.Office.Excel.Functions.SPG(I74, "SP_COUNTRY_NAME")</f>
        <v>USA</v>
      </c>
    </row>
    <row r="75" spans="1:19" ht="45" x14ac:dyDescent="0.25">
      <c r="A75" s="8">
        <v>46022</v>
      </c>
      <c r="B75" s="7" t="s">
        <v>122</v>
      </c>
      <c r="C75" s="7" t="s">
        <v>123</v>
      </c>
      <c r="D75" s="7" t="s">
        <v>276</v>
      </c>
      <c r="E75" s="11">
        <v>4379789</v>
      </c>
      <c r="F75" s="10">
        <v>74</v>
      </c>
      <c r="G75" s="13" t="str">
        <f>[1]!SNLData("243327", $C75, "OWNER_LIST")</f>
        <v>Sibanye Stillwater Limited (Venturer) 74%; Newshelf 1335 Proprietary Limited (Venturer) 26%</v>
      </c>
      <c r="H75" s="14">
        <f>[1]!SNLData("243327", C75, "OWNER_SNL_INSTN_KEY", "Owner 1")</f>
        <v>4379789</v>
      </c>
      <c r="I75" s="14">
        <f>[1]!SNLData("243327", C75, "OWNER_SNL_INSTN_KEY", "Owner 2")</f>
        <v>25460448</v>
      </c>
      <c r="J75" s="13" t="str">
        <f>_xll.SNL.Clients.Office.Excel.Functions.SPG(H75, "SP_ULT_PARENT_COMPANY_NAME")</f>
        <v/>
      </c>
      <c r="K75" s="13" t="str">
        <f>_xll.SNL.Clients.Office.Excel.Functions.SPG(H75, "SP_ULT_PARENT_COUNTRY")</f>
        <v/>
      </c>
      <c r="L75" s="13" t="str">
        <f>_xll.SNL.Clients.Office.Excel.Functions.SPG(H75, "SP_PARENT_COMPANY_NAME")</f>
        <v/>
      </c>
      <c r="M75" s="13" t="str">
        <f>_xll.SNL.Clients.Office.Excel.Functions.SPG(H75, "SP_PARENT_COUNTRY")</f>
        <v/>
      </c>
      <c r="N75" s="13" t="str">
        <f>_xll.SNL.Clients.Office.Excel.Functions.SPG(H75, "SP_COUNTRY_NAME")</f>
        <v>South Africa</v>
      </c>
      <c r="O75" s="13" t="str">
        <f>_xll.SNL.Clients.Office.Excel.Functions.SPG(I75, "SP_ULT_PARENT_COMPANY_NAME")</f>
        <v/>
      </c>
      <c r="P75" s="13" t="str">
        <f>_xll.SNL.Clients.Office.Excel.Functions.SPG(I75, "SP_ULT_PARENT_COUNTRY")</f>
        <v/>
      </c>
      <c r="Q75" s="13" t="str">
        <f>_xll.SNL.Clients.Office.Excel.Functions.SPG(I75, "SP_PARENT_COMPANY_NAME")</f>
        <v/>
      </c>
      <c r="R75" s="13" t="str">
        <f>_xll.SNL.Clients.Office.Excel.Functions.SPG(I75, "SP_PARENT_COUNTRY")</f>
        <v/>
      </c>
      <c r="S75" s="13" t="str">
        <f>_xll.SNL.Clients.Office.Excel.Functions.SPG(I75, "SP_COUNTRY_NAME")</f>
        <v>USA</v>
      </c>
    </row>
    <row r="76" spans="1:19" ht="30" x14ac:dyDescent="0.25">
      <c r="A76" s="8">
        <v>46022</v>
      </c>
      <c r="B76" s="7" t="s">
        <v>148</v>
      </c>
      <c r="C76" s="7" t="s">
        <v>149</v>
      </c>
      <c r="D76" s="7" t="s">
        <v>302</v>
      </c>
      <c r="E76" s="11">
        <v>4546566</v>
      </c>
      <c r="F76" s="10">
        <v>100</v>
      </c>
      <c r="G76" s="13" t="str">
        <f>[1]!SNLData("243327", $C76, "OWNER_LIST")</f>
        <v>Appian Capital Advisory LLP  100%</v>
      </c>
      <c r="H76" s="14">
        <f>[1]!SNLData("243327", C76, "OWNER_SNL_INSTN_KEY", "Owner 1")</f>
        <v>4546566</v>
      </c>
      <c r="I76" s="14" t="str">
        <f>[1]!SNLData("243327", C76, "OWNER_SNL_INSTN_KEY", "Owner 2")</f>
        <v>NA</v>
      </c>
      <c r="J76" s="13" t="str">
        <f>_xll.SNL.Clients.Office.Excel.Functions.SPG(H76, "SP_ULT_PARENT_COMPANY_NAME")</f>
        <v/>
      </c>
      <c r="K76" s="13" t="str">
        <f>_xll.SNL.Clients.Office.Excel.Functions.SPG(H76, "SP_ULT_PARENT_COUNTRY")</f>
        <v/>
      </c>
      <c r="L76" s="13" t="str">
        <f>_xll.SNL.Clients.Office.Excel.Functions.SPG(H76, "SP_PARENT_COMPANY_NAME")</f>
        <v/>
      </c>
      <c r="M76" s="13" t="str">
        <f>_xll.SNL.Clients.Office.Excel.Functions.SPG(H76, "SP_PARENT_COUNTRY")</f>
        <v/>
      </c>
      <c r="N76" s="13" t="str">
        <f>_xll.SNL.Clients.Office.Excel.Functions.SPG(H76, "SP_COUNTRY_NAME")</f>
        <v>United Kingdom</v>
      </c>
      <c r="O76" s="13" t="str">
        <f>_xll.SNL.Clients.Office.Excel.Functions.SPG(I76, "SP_ULT_PARENT_COMPANY_NAME")</f>
        <v/>
      </c>
      <c r="P76" s="13" t="str">
        <f>_xll.SNL.Clients.Office.Excel.Functions.SPG(I76, "SP_ULT_PARENT_COUNTRY")</f>
        <v/>
      </c>
      <c r="Q76" s="13" t="str">
        <f>_xll.SNL.Clients.Office.Excel.Functions.SPG(I76, "SP_PARENT_COMPANY_NAME")</f>
        <v/>
      </c>
      <c r="R76" s="13" t="str">
        <f>_xll.SNL.Clients.Office.Excel.Functions.SPG(I76, "SP_PARENT_COUNTRY")</f>
        <v/>
      </c>
      <c r="S76" s="13" t="str">
        <f>_xll.SNL.Clients.Office.Excel.Functions.SPG(I76, "SP_COUNTRY_NAME")</f>
        <v>China</v>
      </c>
    </row>
    <row r="77" spans="1:19" ht="60" x14ac:dyDescent="0.25">
      <c r="A77" s="8">
        <v>46022</v>
      </c>
      <c r="B77" s="7" t="s">
        <v>124</v>
      </c>
      <c r="C77" s="7" t="s">
        <v>125</v>
      </c>
      <c r="D77" s="7" t="s">
        <v>303</v>
      </c>
      <c r="E77" s="11">
        <v>4350028</v>
      </c>
      <c r="F77" s="10">
        <v>56</v>
      </c>
      <c r="G77" s="13" t="str">
        <f>[1]!SNLData("243327", $C77, "OWNER_LIST")</f>
        <v>ERAMET S.A. (Venturer) 56%; Nippon Steel Nisshin Co., Ltd. (Venturer) 10%; Société Territoriale Calédonienne de Participation Industrielle (Venturer) 34%</v>
      </c>
      <c r="H77" s="14">
        <f>[1]!SNLData("243327", C77, "OWNER_SNL_INSTN_KEY", "Owner 1")</f>
        <v>4350028</v>
      </c>
      <c r="I77" s="14">
        <f>[1]!SNLData("243327", C77, "OWNER_SNL_INSTN_KEY", "Owner 2")</f>
        <v>4354393</v>
      </c>
      <c r="J77" s="13" t="str">
        <f>_xll.SNL.Clients.Office.Excel.Functions.SPG(H77, "SP_ULT_PARENT_COMPANY_NAME")</f>
        <v/>
      </c>
      <c r="K77" s="13" t="str">
        <f>_xll.SNL.Clients.Office.Excel.Functions.SPG(H77, "SP_ULT_PARENT_COUNTRY")</f>
        <v/>
      </c>
      <c r="L77" s="13" t="str">
        <f>_xll.SNL.Clients.Office.Excel.Functions.SPG(H77, "SP_PARENT_COMPANY_NAME")</f>
        <v/>
      </c>
      <c r="M77" s="13" t="str">
        <f>_xll.SNL.Clients.Office.Excel.Functions.SPG(H77, "SP_PARENT_COUNTRY")</f>
        <v/>
      </c>
      <c r="N77" s="13" t="str">
        <f>_xll.SNL.Clients.Office.Excel.Functions.SPG(H77, "SP_COUNTRY_NAME")</f>
        <v>France</v>
      </c>
      <c r="O77" s="13" t="str">
        <f>_xll.SNL.Clients.Office.Excel.Functions.SPG(I77, "SP_ULT_PARENT_COMPANY_NAME")</f>
        <v/>
      </c>
      <c r="P77" s="13" t="str">
        <f>_xll.SNL.Clients.Office.Excel.Functions.SPG(I77, "SP_ULT_PARENT_COUNTRY")</f>
        <v/>
      </c>
      <c r="Q77" s="13" t="str">
        <f>_xll.SNL.Clients.Office.Excel.Functions.SPG(I77, "SP_PARENT_COMPANY_NAME")</f>
        <v>NORDIL, SAS; PromoSud</v>
      </c>
      <c r="R77" s="13" t="str">
        <f>_xll.SNL.Clients.Office.Excel.Functions.SPG(I77, "SP_PARENT_COUNTRY")</f>
        <v>France; France</v>
      </c>
      <c r="S77" s="13" t="str">
        <f>_xll.SNL.Clients.Office.Excel.Functions.SPG(I77, "SP_COUNTRY_NAME")</f>
        <v>New Caledonia</v>
      </c>
    </row>
    <row r="78" spans="1:19" ht="60" x14ac:dyDescent="0.25">
      <c r="A78" s="8">
        <v>46022</v>
      </c>
      <c r="B78" s="7" t="s">
        <v>124</v>
      </c>
      <c r="C78" s="7" t="s">
        <v>125</v>
      </c>
      <c r="D78" s="7" t="s">
        <v>304</v>
      </c>
      <c r="E78" s="11">
        <v>4251857</v>
      </c>
      <c r="F78" s="10">
        <v>10</v>
      </c>
      <c r="G78" s="13" t="str">
        <f>[1]!SNLData("243327", $C78, "OWNER_LIST")</f>
        <v>ERAMET S.A. (Venturer) 56%; Nippon Steel Nisshin Co., Ltd. (Venturer) 10%; Société Territoriale Calédonienne de Participation Industrielle (Venturer) 34%</v>
      </c>
      <c r="H78" s="14">
        <f>[1]!SNLData("243327", C78, "OWNER_SNL_INSTN_KEY", "Owner 1")</f>
        <v>4350028</v>
      </c>
      <c r="I78" s="14">
        <f>[1]!SNLData("243327", C78, "OWNER_SNL_INSTN_KEY", "Owner 2")</f>
        <v>4354393</v>
      </c>
      <c r="J78" s="13" t="str">
        <f>_xll.SNL.Clients.Office.Excel.Functions.SPG(H78, "SP_ULT_PARENT_COMPANY_NAME")</f>
        <v/>
      </c>
      <c r="K78" s="13" t="str">
        <f>_xll.SNL.Clients.Office.Excel.Functions.SPG(H78, "SP_ULT_PARENT_COUNTRY")</f>
        <v/>
      </c>
      <c r="L78" s="13" t="str">
        <f>_xll.SNL.Clients.Office.Excel.Functions.SPG(H78, "SP_PARENT_COMPANY_NAME")</f>
        <v/>
      </c>
      <c r="M78" s="13" t="str">
        <f>_xll.SNL.Clients.Office.Excel.Functions.SPG(H78, "SP_PARENT_COUNTRY")</f>
        <v/>
      </c>
      <c r="N78" s="13" t="str">
        <f>_xll.SNL.Clients.Office.Excel.Functions.SPG(H78, "SP_COUNTRY_NAME")</f>
        <v>France</v>
      </c>
      <c r="O78" s="13" t="str">
        <f>_xll.SNL.Clients.Office.Excel.Functions.SPG(I78, "SP_ULT_PARENT_COMPANY_NAME")</f>
        <v/>
      </c>
      <c r="P78" s="13" t="str">
        <f>_xll.SNL.Clients.Office.Excel.Functions.SPG(I78, "SP_ULT_PARENT_COUNTRY")</f>
        <v/>
      </c>
      <c r="Q78" s="13" t="str">
        <f>_xll.SNL.Clients.Office.Excel.Functions.SPG(I78, "SP_PARENT_COMPANY_NAME")</f>
        <v>NORDIL, SAS; PromoSud</v>
      </c>
      <c r="R78" s="13" t="str">
        <f>_xll.SNL.Clients.Office.Excel.Functions.SPG(I78, "SP_PARENT_COUNTRY")</f>
        <v>France; France</v>
      </c>
      <c r="S78" s="13" t="str">
        <f>_xll.SNL.Clients.Office.Excel.Functions.SPG(I78, "SP_COUNTRY_NAME")</f>
        <v>New Caledonia</v>
      </c>
    </row>
    <row r="79" spans="1:19" ht="60" x14ac:dyDescent="0.25">
      <c r="A79" s="8">
        <v>46022</v>
      </c>
      <c r="B79" s="7" t="s">
        <v>124</v>
      </c>
      <c r="C79" s="7" t="s">
        <v>125</v>
      </c>
      <c r="D79" s="7" t="s">
        <v>305</v>
      </c>
      <c r="E79" s="11">
        <v>4354393</v>
      </c>
      <c r="F79" s="10">
        <v>34</v>
      </c>
      <c r="G79" s="13" t="str">
        <f>[1]!SNLData("243327", $C79, "OWNER_LIST")</f>
        <v>ERAMET S.A. (Venturer) 56%; Nippon Steel Nisshin Co., Ltd. (Venturer) 10%; Société Territoriale Calédonienne de Participation Industrielle (Venturer) 34%</v>
      </c>
      <c r="H79" s="14">
        <f>[1]!SNLData("243327", C79, "OWNER_SNL_INSTN_KEY", "Owner 1")</f>
        <v>4350028</v>
      </c>
      <c r="I79" s="14">
        <f>[1]!SNLData("243327", C79, "OWNER_SNL_INSTN_KEY", "Owner 2")</f>
        <v>4354393</v>
      </c>
      <c r="J79" s="13" t="str">
        <f>_xll.SNL.Clients.Office.Excel.Functions.SPG(H79, "SP_ULT_PARENT_COMPANY_NAME")</f>
        <v/>
      </c>
      <c r="K79" s="13" t="str">
        <f>_xll.SNL.Clients.Office.Excel.Functions.SPG(H79, "SP_ULT_PARENT_COUNTRY")</f>
        <v/>
      </c>
      <c r="L79" s="13" t="str">
        <f>_xll.SNL.Clients.Office.Excel.Functions.SPG(H79, "SP_PARENT_COMPANY_NAME")</f>
        <v/>
      </c>
      <c r="M79" s="13" t="str">
        <f>_xll.SNL.Clients.Office.Excel.Functions.SPG(H79, "SP_PARENT_COUNTRY")</f>
        <v/>
      </c>
      <c r="N79" s="13" t="str">
        <f>_xll.SNL.Clients.Office.Excel.Functions.SPG(H79, "SP_COUNTRY_NAME")</f>
        <v>France</v>
      </c>
      <c r="O79" s="13" t="str">
        <f>_xll.SNL.Clients.Office.Excel.Functions.SPG(I79, "SP_ULT_PARENT_COMPANY_NAME")</f>
        <v/>
      </c>
      <c r="P79" s="13" t="str">
        <f>_xll.SNL.Clients.Office.Excel.Functions.SPG(I79, "SP_ULT_PARENT_COUNTRY")</f>
        <v/>
      </c>
      <c r="Q79" s="13" t="str">
        <f>_xll.SNL.Clients.Office.Excel.Functions.SPG(I79, "SP_PARENT_COMPANY_NAME")</f>
        <v>NORDIL, SAS; PromoSud</v>
      </c>
      <c r="R79" s="13" t="str">
        <f>_xll.SNL.Clients.Office.Excel.Functions.SPG(I79, "SP_PARENT_COUNTRY")</f>
        <v>France; France</v>
      </c>
      <c r="S79" s="13" t="str">
        <f>_xll.SNL.Clients.Office.Excel.Functions.SPG(I79, "SP_COUNTRY_NAME")</f>
        <v>New Caledonia</v>
      </c>
    </row>
    <row r="80" spans="1:19" ht="30" x14ac:dyDescent="0.25">
      <c r="A80" s="8">
        <v>46022</v>
      </c>
      <c r="B80" s="7" t="s">
        <v>127</v>
      </c>
      <c r="C80" s="7" t="s">
        <v>128</v>
      </c>
      <c r="D80" s="7" t="s">
        <v>306</v>
      </c>
      <c r="E80" s="11">
        <v>4353521</v>
      </c>
      <c r="F80" s="10">
        <v>100</v>
      </c>
      <c r="G80" s="13" t="str">
        <f>[1]!SNLData("243327", $C80, "OWNER_LIST")</f>
        <v>PT Vale Indonesia Tbk  100%</v>
      </c>
      <c r="H80" s="14">
        <f>[1]!SNLData("243327", C80, "OWNER_SNL_INSTN_KEY", "Owner 1")</f>
        <v>4353521</v>
      </c>
      <c r="I80" s="14" t="str">
        <f>[1]!SNLData("243327", C80, "OWNER_SNL_INSTN_KEY", "Owner 2")</f>
        <v>NA</v>
      </c>
      <c r="J80" s="13" t="str">
        <f>_xll.SNL.Clients.Office.Excel.Functions.SPG(H80, "SP_ULT_PARENT_COMPANY_NAME")</f>
        <v/>
      </c>
      <c r="K80" s="13" t="str">
        <f>_xll.SNL.Clients.Office.Excel.Functions.SPG(H80, "SP_ULT_PARENT_COUNTRY")</f>
        <v/>
      </c>
      <c r="L80" s="13" t="str">
        <f>_xll.SNL.Clients.Office.Excel.Functions.SPG(H80, "SP_PARENT_COMPANY_NAME")</f>
        <v/>
      </c>
      <c r="M80" s="13" t="str">
        <f>_xll.SNL.Clients.Office.Excel.Functions.SPG(H80, "SP_PARENT_COUNTRY")</f>
        <v/>
      </c>
      <c r="N80" s="13" t="str">
        <f>_xll.SNL.Clients.Office.Excel.Functions.SPG(H80, "SP_COUNTRY_NAME")</f>
        <v>Indonesia</v>
      </c>
      <c r="O80" s="13" t="str">
        <f>_xll.SNL.Clients.Office.Excel.Functions.SPG(I80, "SP_ULT_PARENT_COMPANY_NAME")</f>
        <v/>
      </c>
      <c r="P80" s="13" t="str">
        <f>_xll.SNL.Clients.Office.Excel.Functions.SPG(I80, "SP_ULT_PARENT_COUNTRY")</f>
        <v/>
      </c>
      <c r="Q80" s="13" t="str">
        <f>_xll.SNL.Clients.Office.Excel.Functions.SPG(I80, "SP_PARENT_COMPANY_NAME")</f>
        <v/>
      </c>
      <c r="R80" s="13" t="str">
        <f>_xll.SNL.Clients.Office.Excel.Functions.SPG(I80, "SP_PARENT_COUNTRY")</f>
        <v/>
      </c>
      <c r="S80" s="13" t="str">
        <f>_xll.SNL.Clients.Office.Excel.Functions.SPG(I80, "SP_COUNTRY_NAME")</f>
        <v>China</v>
      </c>
    </row>
    <row r="81" spans="1:19" ht="30" x14ac:dyDescent="0.25">
      <c r="A81" s="8">
        <v>46022</v>
      </c>
      <c r="B81" s="7" t="s">
        <v>129</v>
      </c>
      <c r="C81" s="7" t="s">
        <v>130</v>
      </c>
      <c r="D81" s="7" t="s">
        <v>276</v>
      </c>
      <c r="E81" s="11">
        <v>4379789</v>
      </c>
      <c r="F81" s="10">
        <v>100</v>
      </c>
      <c r="G81" s="13" t="str">
        <f>[1]!SNLData("243327", $C81, "OWNER_LIST")</f>
        <v>Sibanye Stillwater Limited  100%</v>
      </c>
      <c r="H81" s="14">
        <f>[1]!SNLData("243327", C81, "OWNER_SNL_INSTN_KEY", "Owner 1")</f>
        <v>4379789</v>
      </c>
      <c r="I81" s="14" t="str">
        <f>[1]!SNLData("243327", C81, "OWNER_SNL_INSTN_KEY", "Owner 2")</f>
        <v>NA</v>
      </c>
      <c r="J81" s="13" t="str">
        <f>_xll.SNL.Clients.Office.Excel.Functions.SPG(H81, "SP_ULT_PARENT_COMPANY_NAME")</f>
        <v/>
      </c>
      <c r="K81" s="13" t="str">
        <f>_xll.SNL.Clients.Office.Excel.Functions.SPG(H81, "SP_ULT_PARENT_COUNTRY")</f>
        <v/>
      </c>
      <c r="L81" s="13" t="str">
        <f>_xll.SNL.Clients.Office.Excel.Functions.SPG(H81, "SP_PARENT_COMPANY_NAME")</f>
        <v/>
      </c>
      <c r="M81" s="13" t="str">
        <f>_xll.SNL.Clients.Office.Excel.Functions.SPG(H81, "SP_PARENT_COUNTRY")</f>
        <v/>
      </c>
      <c r="N81" s="13" t="str">
        <f>_xll.SNL.Clients.Office.Excel.Functions.SPG(H81, "SP_COUNTRY_NAME")</f>
        <v>South Africa</v>
      </c>
      <c r="O81" s="13" t="str">
        <f>_xll.SNL.Clients.Office.Excel.Functions.SPG(I81, "SP_ULT_PARENT_COMPANY_NAME")</f>
        <v/>
      </c>
      <c r="P81" s="13" t="str">
        <f>_xll.SNL.Clients.Office.Excel.Functions.SPG(I81, "SP_ULT_PARENT_COUNTRY")</f>
        <v/>
      </c>
      <c r="Q81" s="13" t="str">
        <f>_xll.SNL.Clients.Office.Excel.Functions.SPG(I81, "SP_PARENT_COMPANY_NAME")</f>
        <v/>
      </c>
      <c r="R81" s="13" t="str">
        <f>_xll.SNL.Clients.Office.Excel.Functions.SPG(I81, "SP_PARENT_COUNTRY")</f>
        <v/>
      </c>
      <c r="S81" s="13" t="str">
        <f>_xll.SNL.Clients.Office.Excel.Functions.SPG(I81, "SP_COUNTRY_NAME")</f>
        <v>China</v>
      </c>
    </row>
    <row r="82" spans="1:19" ht="30" x14ac:dyDescent="0.25">
      <c r="A82" s="8">
        <v>46022</v>
      </c>
      <c r="B82" s="7" t="s">
        <v>181</v>
      </c>
      <c r="C82" s="7" t="s">
        <v>182</v>
      </c>
      <c r="D82" s="7" t="s">
        <v>285</v>
      </c>
      <c r="E82" s="11">
        <v>4113732</v>
      </c>
      <c r="F82" s="10">
        <v>100</v>
      </c>
      <c r="G82" s="13" t="str">
        <f>[1]!SNLData("243327", $C82, "OWNER_LIST")</f>
        <v>Glencore plc  100%</v>
      </c>
      <c r="H82" s="14">
        <f>[1]!SNLData("243327", C82, "OWNER_SNL_INSTN_KEY", "Owner 1")</f>
        <v>4113732</v>
      </c>
      <c r="I82" s="14" t="str">
        <f>[1]!SNLData("243327", C82, "OWNER_SNL_INSTN_KEY", "Owner 2")</f>
        <v>NA</v>
      </c>
      <c r="J82" s="13" t="str">
        <f>_xll.SNL.Clients.Office.Excel.Functions.SPG(H82, "SP_ULT_PARENT_COMPANY_NAME")</f>
        <v/>
      </c>
      <c r="K82" s="13" t="str">
        <f>_xll.SNL.Clients.Office.Excel.Functions.SPG(H82, "SP_ULT_PARENT_COUNTRY")</f>
        <v/>
      </c>
      <c r="L82" s="13" t="str">
        <f>_xll.SNL.Clients.Office.Excel.Functions.SPG(H82, "SP_PARENT_COMPANY_NAME")</f>
        <v/>
      </c>
      <c r="M82" s="13" t="str">
        <f>_xll.SNL.Clients.Office.Excel.Functions.SPG(H82, "SP_PARENT_COUNTRY")</f>
        <v/>
      </c>
      <c r="N82" s="13" t="str">
        <f>_xll.SNL.Clients.Office.Excel.Functions.SPG(H82, "SP_COUNTRY_NAME")</f>
        <v>Switzerland</v>
      </c>
      <c r="O82" s="13" t="str">
        <f>_xll.SNL.Clients.Office.Excel.Functions.SPG(I82, "SP_ULT_PARENT_COMPANY_NAME")</f>
        <v/>
      </c>
      <c r="P82" s="13" t="str">
        <f>_xll.SNL.Clients.Office.Excel.Functions.SPG(I82, "SP_ULT_PARENT_COUNTRY")</f>
        <v/>
      </c>
      <c r="Q82" s="13" t="str">
        <f>_xll.SNL.Clients.Office.Excel.Functions.SPG(I82, "SP_PARENT_COMPANY_NAME")</f>
        <v/>
      </c>
      <c r="R82" s="13" t="str">
        <f>_xll.SNL.Clients.Office.Excel.Functions.SPG(I82, "SP_PARENT_COUNTRY")</f>
        <v/>
      </c>
      <c r="S82" s="13" t="str">
        <f>_xll.SNL.Clients.Office.Excel.Functions.SPG(I82, "SP_COUNTRY_NAME")</f>
        <v>China</v>
      </c>
    </row>
    <row r="83" spans="1:19" ht="45" x14ac:dyDescent="0.25">
      <c r="A83" s="8">
        <v>46022</v>
      </c>
      <c r="B83" s="7" t="s">
        <v>183</v>
      </c>
      <c r="C83" s="7" t="s">
        <v>184</v>
      </c>
      <c r="D83" s="7" t="s">
        <v>307</v>
      </c>
      <c r="E83" s="11">
        <v>4851749</v>
      </c>
      <c r="F83" s="10">
        <v>20</v>
      </c>
      <c r="G83" s="13" t="str">
        <f>[1]!SNLData("243327", $C83, "OWNER_LIST")</f>
        <v>Xalotho Company Limited (Optionee) 80%; Blackstone Minerals Limited (Optionor) 20%</v>
      </c>
      <c r="H83" s="14">
        <f>[1]!SNLData("243327", C83, "OWNER_SNL_INSTN_KEY", "Owner 1")</f>
        <v>11707121</v>
      </c>
      <c r="I83" s="14">
        <f>[1]!SNLData("243327", C83, "OWNER_SNL_INSTN_KEY", "Owner 2")</f>
        <v>4851749</v>
      </c>
      <c r="J83" s="13" t="str">
        <f>_xll.SNL.Clients.Office.Excel.Functions.SPG(H83, "SP_ULT_PARENT_COMPANY_NAME")</f>
        <v/>
      </c>
      <c r="K83" s="13" t="str">
        <f>_xll.SNL.Clients.Office.Excel.Functions.SPG(H83, "SP_ULT_PARENT_COUNTRY")</f>
        <v/>
      </c>
      <c r="L83" s="13" t="str">
        <f>_xll.SNL.Clients.Office.Excel.Functions.SPG(H83, "SP_PARENT_COMPANY_NAME")</f>
        <v/>
      </c>
      <c r="M83" s="13" t="str">
        <f>_xll.SNL.Clients.Office.Excel.Functions.SPG(H83, "SP_PARENT_COUNTRY")</f>
        <v/>
      </c>
      <c r="N83" s="13" t="str">
        <f>_xll.SNL.Clients.Office.Excel.Functions.SPG(H83, "SP_COUNTRY_NAME")</f>
        <v>Vietnam</v>
      </c>
      <c r="O83" s="13" t="str">
        <f>_xll.SNL.Clients.Office.Excel.Functions.SPG(I83, "SP_ULT_PARENT_COMPANY_NAME")</f>
        <v/>
      </c>
      <c r="P83" s="13" t="str">
        <f>_xll.SNL.Clients.Office.Excel.Functions.SPG(I83, "SP_ULT_PARENT_COUNTRY")</f>
        <v/>
      </c>
      <c r="Q83" s="13" t="str">
        <f>_xll.SNL.Clients.Office.Excel.Functions.SPG(I83, "SP_PARENT_COMPANY_NAME")</f>
        <v/>
      </c>
      <c r="R83" s="13" t="str">
        <f>_xll.SNL.Clients.Office.Excel.Functions.SPG(I83, "SP_PARENT_COUNTRY")</f>
        <v/>
      </c>
      <c r="S83" s="13" t="str">
        <f>_xll.SNL.Clients.Office.Excel.Functions.SPG(I83, "SP_COUNTRY_NAME")</f>
        <v>Australia</v>
      </c>
    </row>
    <row r="84" spans="1:19" ht="45" x14ac:dyDescent="0.25">
      <c r="A84" s="8">
        <v>46022</v>
      </c>
      <c r="B84" s="7" t="s">
        <v>183</v>
      </c>
      <c r="C84" s="7" t="s">
        <v>184</v>
      </c>
      <c r="D84" s="7" t="s">
        <v>308</v>
      </c>
      <c r="E84" s="11">
        <v>11707121</v>
      </c>
      <c r="F84" s="10">
        <v>80</v>
      </c>
      <c r="G84" s="13" t="str">
        <f>[1]!SNLData("243327", $C84, "OWNER_LIST")</f>
        <v>Xalotho Company Limited (Optionee) 80%; Blackstone Minerals Limited (Optionor) 20%</v>
      </c>
      <c r="H84" s="14">
        <f>[1]!SNLData("243327", C84, "OWNER_SNL_INSTN_KEY", "Owner 1")</f>
        <v>11707121</v>
      </c>
      <c r="I84" s="14">
        <f>[1]!SNLData("243327", C84, "OWNER_SNL_INSTN_KEY", "Owner 2")</f>
        <v>4851749</v>
      </c>
      <c r="J84" s="13" t="str">
        <f>_xll.SNL.Clients.Office.Excel.Functions.SPG(H84, "SP_ULT_PARENT_COMPANY_NAME")</f>
        <v/>
      </c>
      <c r="K84" s="13" t="str">
        <f>_xll.SNL.Clients.Office.Excel.Functions.SPG(H84, "SP_ULT_PARENT_COUNTRY")</f>
        <v/>
      </c>
      <c r="L84" s="13" t="str">
        <f>_xll.SNL.Clients.Office.Excel.Functions.SPG(H84, "SP_PARENT_COMPANY_NAME")</f>
        <v/>
      </c>
      <c r="M84" s="13" t="str">
        <f>_xll.SNL.Clients.Office.Excel.Functions.SPG(H84, "SP_PARENT_COUNTRY")</f>
        <v/>
      </c>
      <c r="N84" s="13" t="str">
        <f>_xll.SNL.Clients.Office.Excel.Functions.SPG(H84, "SP_COUNTRY_NAME")</f>
        <v>Vietnam</v>
      </c>
      <c r="O84" s="13" t="str">
        <f>_xll.SNL.Clients.Office.Excel.Functions.SPG(I84, "SP_ULT_PARENT_COMPANY_NAME")</f>
        <v/>
      </c>
      <c r="P84" s="13" t="str">
        <f>_xll.SNL.Clients.Office.Excel.Functions.SPG(I84, "SP_ULT_PARENT_COUNTRY")</f>
        <v/>
      </c>
      <c r="Q84" s="13" t="str">
        <f>_xll.SNL.Clients.Office.Excel.Functions.SPG(I84, "SP_PARENT_COMPANY_NAME")</f>
        <v/>
      </c>
      <c r="R84" s="13" t="str">
        <f>_xll.SNL.Clients.Office.Excel.Functions.SPG(I84, "SP_PARENT_COUNTRY")</f>
        <v/>
      </c>
      <c r="S84" s="13" t="str">
        <f>_xll.SNL.Clients.Office.Excel.Functions.SPG(I84, "SP_COUNTRY_NAME")</f>
        <v>Australia</v>
      </c>
    </row>
    <row r="85" spans="1:19" ht="45" x14ac:dyDescent="0.25">
      <c r="A85" s="8">
        <v>46022</v>
      </c>
      <c r="B85" s="7" t="s">
        <v>157</v>
      </c>
      <c r="C85" s="7" t="s">
        <v>158</v>
      </c>
      <c r="D85" s="7" t="s">
        <v>299</v>
      </c>
      <c r="E85" s="11">
        <v>4352804</v>
      </c>
      <c r="F85" s="10">
        <v>65</v>
      </c>
      <c r="G85" s="13" t="str">
        <f>[1]!SNLData("243327", $C85, "OWNER_LIST")</f>
        <v>Nickel Asia Corporation (Venturer) 65%; Pacific Metals Co., Ltd. (Venturer) 33.5%; Sojitz Corporation (Venturer) 1.5%</v>
      </c>
      <c r="H85" s="14">
        <f>[1]!SNLData("243327", C85, "OWNER_SNL_INSTN_KEY", "Owner 1")</f>
        <v>4352804</v>
      </c>
      <c r="I85" s="14">
        <f>[1]!SNLData("243327", C85, "OWNER_SNL_INSTN_KEY", "Owner 2")</f>
        <v>4557435</v>
      </c>
      <c r="J85" s="13" t="str">
        <f>_xll.SNL.Clients.Office.Excel.Functions.SPG(H85, "SP_ULT_PARENT_COMPANY_NAME")</f>
        <v/>
      </c>
      <c r="K85" s="13" t="str">
        <f>_xll.SNL.Clients.Office.Excel.Functions.SPG(H85, "SP_ULT_PARENT_COUNTRY")</f>
        <v/>
      </c>
      <c r="L85" s="13" t="str">
        <f>_xll.SNL.Clients.Office.Excel.Functions.SPG(H85, "SP_PARENT_COMPANY_NAME")</f>
        <v/>
      </c>
      <c r="M85" s="13" t="str">
        <f>_xll.SNL.Clients.Office.Excel.Functions.SPG(H85, "SP_PARENT_COUNTRY")</f>
        <v/>
      </c>
      <c r="N85" s="13" t="str">
        <f>_xll.SNL.Clients.Office.Excel.Functions.SPG(H85, "SP_COUNTRY_NAME")</f>
        <v>Philippines</v>
      </c>
      <c r="O85" s="13" t="str">
        <f>_xll.SNL.Clients.Office.Excel.Functions.SPG(I85, "SP_ULT_PARENT_COMPANY_NAME")</f>
        <v/>
      </c>
      <c r="P85" s="13" t="str">
        <f>_xll.SNL.Clients.Office.Excel.Functions.SPG(I85, "SP_ULT_PARENT_COUNTRY")</f>
        <v/>
      </c>
      <c r="Q85" s="13" t="str">
        <f>_xll.SNL.Clients.Office.Excel.Functions.SPG(I85, "SP_PARENT_COMPANY_NAME")</f>
        <v/>
      </c>
      <c r="R85" s="13" t="str">
        <f>_xll.SNL.Clients.Office.Excel.Functions.SPG(I85, "SP_PARENT_COUNTRY")</f>
        <v/>
      </c>
      <c r="S85" s="13" t="str">
        <f>_xll.SNL.Clients.Office.Excel.Functions.SPG(I85, "SP_COUNTRY_NAME")</f>
        <v>Japan</v>
      </c>
    </row>
    <row r="86" spans="1:19" ht="45" x14ac:dyDescent="0.25">
      <c r="A86" s="8">
        <v>46022</v>
      </c>
      <c r="B86" s="7" t="s">
        <v>157</v>
      </c>
      <c r="C86" s="7" t="s">
        <v>158</v>
      </c>
      <c r="D86" s="7" t="s">
        <v>270</v>
      </c>
      <c r="E86" s="11">
        <v>4557435</v>
      </c>
      <c r="F86" s="10">
        <v>33.5</v>
      </c>
      <c r="G86" s="13" t="str">
        <f>[1]!SNLData("243327", $C86, "OWNER_LIST")</f>
        <v>Nickel Asia Corporation (Venturer) 65%; Pacific Metals Co., Ltd. (Venturer) 33.5%; Sojitz Corporation (Venturer) 1.5%</v>
      </c>
      <c r="H86" s="14">
        <f>[1]!SNLData("243327", C86, "OWNER_SNL_INSTN_KEY", "Owner 1")</f>
        <v>4352804</v>
      </c>
      <c r="I86" s="14">
        <f>[1]!SNLData("243327", C86, "OWNER_SNL_INSTN_KEY", "Owner 2")</f>
        <v>4557435</v>
      </c>
      <c r="J86" s="13" t="str">
        <f>_xll.SNL.Clients.Office.Excel.Functions.SPG(H86, "SP_ULT_PARENT_COMPANY_NAME")</f>
        <v/>
      </c>
      <c r="K86" s="13" t="str">
        <f>_xll.SNL.Clients.Office.Excel.Functions.SPG(H86, "SP_ULT_PARENT_COUNTRY")</f>
        <v/>
      </c>
      <c r="L86" s="13" t="str">
        <f>_xll.SNL.Clients.Office.Excel.Functions.SPG(H86, "SP_PARENT_COMPANY_NAME")</f>
        <v/>
      </c>
      <c r="M86" s="13" t="str">
        <f>_xll.SNL.Clients.Office.Excel.Functions.SPG(H86, "SP_PARENT_COUNTRY")</f>
        <v/>
      </c>
      <c r="N86" s="13" t="str">
        <f>_xll.SNL.Clients.Office.Excel.Functions.SPG(H86, "SP_COUNTRY_NAME")</f>
        <v>Philippines</v>
      </c>
      <c r="O86" s="13" t="str">
        <f>_xll.SNL.Clients.Office.Excel.Functions.SPG(I86, "SP_ULT_PARENT_COMPANY_NAME")</f>
        <v/>
      </c>
      <c r="P86" s="13" t="str">
        <f>_xll.SNL.Clients.Office.Excel.Functions.SPG(I86, "SP_ULT_PARENT_COUNTRY")</f>
        <v/>
      </c>
      <c r="Q86" s="13" t="str">
        <f>_xll.SNL.Clients.Office.Excel.Functions.SPG(I86, "SP_PARENT_COMPANY_NAME")</f>
        <v/>
      </c>
      <c r="R86" s="13" t="str">
        <f>_xll.SNL.Clients.Office.Excel.Functions.SPG(I86, "SP_PARENT_COUNTRY")</f>
        <v/>
      </c>
      <c r="S86" s="13" t="str">
        <f>_xll.SNL.Clients.Office.Excel.Functions.SPG(I86, "SP_COUNTRY_NAME")</f>
        <v>Japan</v>
      </c>
    </row>
    <row r="87" spans="1:19" ht="45" x14ac:dyDescent="0.25">
      <c r="A87" s="8">
        <v>46022</v>
      </c>
      <c r="B87" s="7" t="s">
        <v>157</v>
      </c>
      <c r="C87" s="7" t="s">
        <v>158</v>
      </c>
      <c r="D87" s="7" t="s">
        <v>300</v>
      </c>
      <c r="E87" s="11">
        <v>4096231</v>
      </c>
      <c r="F87" s="10">
        <v>1.5</v>
      </c>
      <c r="G87" s="13" t="str">
        <f>[1]!SNLData("243327", $C87, "OWNER_LIST")</f>
        <v>Nickel Asia Corporation (Venturer) 65%; Pacific Metals Co., Ltd. (Venturer) 33.5%; Sojitz Corporation (Venturer) 1.5%</v>
      </c>
      <c r="H87" s="14">
        <f>[1]!SNLData("243327", C87, "OWNER_SNL_INSTN_KEY", "Owner 1")</f>
        <v>4352804</v>
      </c>
      <c r="I87" s="14">
        <f>[1]!SNLData("243327", C87, "OWNER_SNL_INSTN_KEY", "Owner 2")</f>
        <v>4557435</v>
      </c>
      <c r="J87" s="13" t="str">
        <f>_xll.SNL.Clients.Office.Excel.Functions.SPG(H87, "SP_ULT_PARENT_COMPANY_NAME")</f>
        <v/>
      </c>
      <c r="K87" s="13" t="str">
        <f>_xll.SNL.Clients.Office.Excel.Functions.SPG(H87, "SP_ULT_PARENT_COUNTRY")</f>
        <v/>
      </c>
      <c r="L87" s="13" t="str">
        <f>_xll.SNL.Clients.Office.Excel.Functions.SPG(H87, "SP_PARENT_COMPANY_NAME")</f>
        <v/>
      </c>
      <c r="M87" s="13" t="str">
        <f>_xll.SNL.Clients.Office.Excel.Functions.SPG(H87, "SP_PARENT_COUNTRY")</f>
        <v/>
      </c>
      <c r="N87" s="13" t="str">
        <f>_xll.SNL.Clients.Office.Excel.Functions.SPG(H87, "SP_COUNTRY_NAME")</f>
        <v>Philippines</v>
      </c>
      <c r="O87" s="13" t="str">
        <f>_xll.SNL.Clients.Office.Excel.Functions.SPG(I87, "SP_ULT_PARENT_COMPANY_NAME")</f>
        <v/>
      </c>
      <c r="P87" s="13" t="str">
        <f>_xll.SNL.Clients.Office.Excel.Functions.SPG(I87, "SP_ULT_PARENT_COUNTRY")</f>
        <v/>
      </c>
      <c r="Q87" s="13" t="str">
        <f>_xll.SNL.Clients.Office.Excel.Functions.SPG(I87, "SP_PARENT_COMPANY_NAME")</f>
        <v/>
      </c>
      <c r="R87" s="13" t="str">
        <f>_xll.SNL.Clients.Office.Excel.Functions.SPG(I87, "SP_PARENT_COUNTRY")</f>
        <v/>
      </c>
      <c r="S87" s="13" t="str">
        <f>_xll.SNL.Clients.Office.Excel.Functions.SPG(I87, "SP_COUNTRY_NAME")</f>
        <v>Japan</v>
      </c>
    </row>
    <row r="88" spans="1:19" ht="60" x14ac:dyDescent="0.25">
      <c r="A88" s="8">
        <v>46022</v>
      </c>
      <c r="B88" s="7" t="s">
        <v>159</v>
      </c>
      <c r="C88" s="7" t="s">
        <v>160</v>
      </c>
      <c r="D88" s="7" t="s">
        <v>309</v>
      </c>
      <c r="E88" s="11">
        <v>4648824</v>
      </c>
      <c r="F88" s="10">
        <v>100</v>
      </c>
      <c r="G88" s="13" t="str">
        <f>[1]!SNLData("243327", $C88, "OWNER_LIST")</f>
        <v>Terrafame Oy  100%</v>
      </c>
      <c r="H88" s="14">
        <f>[1]!SNLData("243327", C88, "OWNER_SNL_INSTN_KEY", "Owner 1")</f>
        <v>4648824</v>
      </c>
      <c r="I88" s="14" t="str">
        <f>[1]!SNLData("243327", C88, "OWNER_SNL_INSTN_KEY", "Owner 2")</f>
        <v>NA</v>
      </c>
      <c r="J88" s="13" t="str">
        <f>_xll.SNL.Clients.Office.Excel.Functions.SPG(H88, "SP_ULT_PARENT_COMPANY_NAME")</f>
        <v>Finnish Minerals Group Oy</v>
      </c>
      <c r="K88" s="13" t="str">
        <f>_xll.SNL.Clients.Office.Excel.Functions.SPG(H88, "SP_ULT_PARENT_COUNTRY")</f>
        <v>Finland</v>
      </c>
      <c r="L88" s="13" t="str">
        <f>_xll.SNL.Clients.Office.Excel.Functions.SPG(H88, "SP_PARENT_COMPANY_NAME")</f>
        <v>Finnish Minerals Group Oy</v>
      </c>
      <c r="M88" s="13" t="str">
        <f>_xll.SNL.Clients.Office.Excel.Functions.SPG(H88, "SP_PARENT_COUNTRY")</f>
        <v>Finland</v>
      </c>
      <c r="N88" s="13" t="str">
        <f>_xll.SNL.Clients.Office.Excel.Functions.SPG(H88, "SP_COUNTRY_NAME")</f>
        <v>Finland</v>
      </c>
      <c r="O88" s="13" t="str">
        <f>_xll.SNL.Clients.Office.Excel.Functions.SPG(I88, "SP_ULT_PARENT_COMPANY_NAME")</f>
        <v/>
      </c>
      <c r="P88" s="13" t="str">
        <f>_xll.SNL.Clients.Office.Excel.Functions.SPG(I88, "SP_ULT_PARENT_COUNTRY")</f>
        <v/>
      </c>
      <c r="Q88" s="13" t="str">
        <f>_xll.SNL.Clients.Office.Excel.Functions.SPG(I88, "SP_PARENT_COMPANY_NAME")</f>
        <v/>
      </c>
      <c r="R88" s="13" t="str">
        <f>_xll.SNL.Clients.Office.Excel.Functions.SPG(I88, "SP_PARENT_COUNTRY")</f>
        <v/>
      </c>
      <c r="S88" s="13" t="str">
        <f>_xll.SNL.Clients.Office.Excel.Functions.SPG(I88, "SP_COUNTRY_NAME")</f>
        <v>China</v>
      </c>
    </row>
    <row r="89" spans="1:19" x14ac:dyDescent="0.25">
      <c r="A89" s="8">
        <v>46022</v>
      </c>
      <c r="B89" s="7" t="s">
        <v>150</v>
      </c>
      <c r="C89" s="7" t="s">
        <v>151</v>
      </c>
      <c r="D89" s="7" t="s">
        <v>310</v>
      </c>
      <c r="E89" s="11">
        <v>4350215</v>
      </c>
      <c r="F89" s="10">
        <v>100</v>
      </c>
      <c r="G89" s="13" t="str">
        <f>[1]!SNLData("243327", $C89, "OWNER_LIST")</f>
        <v>First Quantum Minerals Ltd.  100%</v>
      </c>
      <c r="H89" s="14">
        <f>[1]!SNLData("243327", C89, "OWNER_SNL_INSTN_KEY", "Owner 1")</f>
        <v>4350215</v>
      </c>
      <c r="I89" s="14" t="str">
        <f>[1]!SNLData("243327", C89, "OWNER_SNL_INSTN_KEY", "Owner 2")</f>
        <v>NA</v>
      </c>
      <c r="J89" s="13" t="str">
        <f>_xll.SNL.Clients.Office.Excel.Functions.SPG(H89, "SP_ULT_PARENT_COMPANY_NAME")</f>
        <v/>
      </c>
      <c r="K89" s="13" t="str">
        <f>_xll.SNL.Clients.Office.Excel.Functions.SPG(H89, "SP_ULT_PARENT_COUNTRY")</f>
        <v/>
      </c>
      <c r="L89" s="13" t="str">
        <f>_xll.SNL.Clients.Office.Excel.Functions.SPG(H89, "SP_PARENT_COMPANY_NAME")</f>
        <v/>
      </c>
      <c r="M89" s="13" t="str">
        <f>_xll.SNL.Clients.Office.Excel.Functions.SPG(H89, "SP_PARENT_COUNTRY")</f>
        <v/>
      </c>
      <c r="N89" s="13" t="str">
        <f>_xll.SNL.Clients.Office.Excel.Functions.SPG(H89, "SP_COUNTRY_NAME")</f>
        <v>Canada</v>
      </c>
      <c r="O89" s="13" t="str">
        <f>_xll.SNL.Clients.Office.Excel.Functions.SPG(I89, "SP_ULT_PARENT_COMPANY_NAME")</f>
        <v/>
      </c>
      <c r="P89" s="13" t="str">
        <f>_xll.SNL.Clients.Office.Excel.Functions.SPG(I89, "SP_ULT_PARENT_COUNTRY")</f>
        <v/>
      </c>
      <c r="Q89" s="13" t="str">
        <f>_xll.SNL.Clients.Office.Excel.Functions.SPG(I89, "SP_PARENT_COMPANY_NAME")</f>
        <v/>
      </c>
      <c r="R89" s="13" t="str">
        <f>_xll.SNL.Clients.Office.Excel.Functions.SPG(I89, "SP_PARENT_COUNTRY")</f>
        <v/>
      </c>
      <c r="S89" s="13" t="str">
        <f>_xll.SNL.Clients.Office.Excel.Functions.SPG(I89, "SP_COUNTRY_NAME")</f>
        <v>China</v>
      </c>
    </row>
    <row r="90" spans="1:19" ht="30" x14ac:dyDescent="0.25">
      <c r="A90" s="8">
        <v>46022</v>
      </c>
      <c r="B90" s="7" t="s">
        <v>131</v>
      </c>
      <c r="C90" s="7" t="s">
        <v>132</v>
      </c>
      <c r="D90" s="7" t="s">
        <v>311</v>
      </c>
      <c r="E90" s="11">
        <v>10393182</v>
      </c>
      <c r="F90" s="10">
        <v>100</v>
      </c>
      <c r="G90" s="13" t="str">
        <f>[1]!SNLData("243327", $C90, "OWNER_LIST")</f>
        <v>China State-Owned Mining Enterprise  100%</v>
      </c>
      <c r="H90" s="14">
        <f>[1]!SNLData("243327", C90, "OWNER_SNL_INSTN_KEY", "Owner 1")</f>
        <v>10393182</v>
      </c>
      <c r="I90" s="14" t="str">
        <f>[1]!SNLData("243327", C90, "OWNER_SNL_INSTN_KEY", "Owner 2")</f>
        <v>NA</v>
      </c>
      <c r="J90" s="13" t="str">
        <f>_xll.SNL.Clients.Office.Excel.Functions.SPG(H90, "SP_ULT_PARENT_COMPANY_NAME")</f>
        <v/>
      </c>
      <c r="K90" s="13" t="str">
        <f>_xll.SNL.Clients.Office.Excel.Functions.SPG(H90, "SP_ULT_PARENT_COUNTRY")</f>
        <v/>
      </c>
      <c r="L90" s="13" t="str">
        <f>_xll.SNL.Clients.Office.Excel.Functions.SPG(H90, "SP_PARENT_COMPANY_NAME")</f>
        <v/>
      </c>
      <c r="M90" s="13" t="str">
        <f>_xll.SNL.Clients.Office.Excel.Functions.SPG(H90, "SP_PARENT_COUNTRY")</f>
        <v/>
      </c>
      <c r="N90" s="13" t="str">
        <f>_xll.SNL.Clients.Office.Excel.Functions.SPG(H90, "SP_COUNTRY_NAME")</f>
        <v>China</v>
      </c>
      <c r="O90" s="13" t="str">
        <f>_xll.SNL.Clients.Office.Excel.Functions.SPG(I90, "SP_ULT_PARENT_COMPANY_NAME")</f>
        <v/>
      </c>
      <c r="P90" s="13" t="str">
        <f>_xll.SNL.Clients.Office.Excel.Functions.SPG(I90, "SP_ULT_PARENT_COUNTRY")</f>
        <v/>
      </c>
      <c r="Q90" s="13" t="str">
        <f>_xll.SNL.Clients.Office.Excel.Functions.SPG(I90, "SP_PARENT_COMPANY_NAME")</f>
        <v/>
      </c>
      <c r="R90" s="13" t="str">
        <f>_xll.SNL.Clients.Office.Excel.Functions.SPG(I90, "SP_PARENT_COUNTRY")</f>
        <v/>
      </c>
      <c r="S90" s="13" t="str">
        <f>_xll.SNL.Clients.Office.Excel.Functions.SPG(I90, "SP_COUNTRY_NAME")</f>
        <v>China</v>
      </c>
    </row>
    <row r="91" spans="1:19" ht="45" x14ac:dyDescent="0.25">
      <c r="A91" s="8">
        <v>46022</v>
      </c>
      <c r="B91" s="7" t="s">
        <v>186</v>
      </c>
      <c r="C91" s="7" t="s">
        <v>187</v>
      </c>
      <c r="D91" s="7" t="s">
        <v>282</v>
      </c>
      <c r="E91" s="11">
        <v>4188197</v>
      </c>
      <c r="F91" s="10">
        <v>54</v>
      </c>
      <c r="G91" s="13" t="str">
        <f>[1]!SNLData("243327", $C91, "OWNER_LIST")</f>
        <v>African Rainbow Minerals Limited (Venturer) 54%; Impala Platinum Holdings Limited (Venturer) 46%</v>
      </c>
      <c r="H91" s="14">
        <f>[1]!SNLData("243327", C91, "OWNER_SNL_INSTN_KEY", "Owner 1")</f>
        <v>4188197</v>
      </c>
      <c r="I91" s="14">
        <f>[1]!SNLData("243327", C91, "OWNER_SNL_INSTN_KEY", "Owner 2")</f>
        <v>4351190</v>
      </c>
      <c r="J91" s="13" t="str">
        <f>_xll.SNL.Clients.Office.Excel.Functions.SPG(H91, "SP_ULT_PARENT_COMPANY_NAME")</f>
        <v/>
      </c>
      <c r="K91" s="13" t="str">
        <f>_xll.SNL.Clients.Office.Excel.Functions.SPG(H91, "SP_ULT_PARENT_COUNTRY")</f>
        <v/>
      </c>
      <c r="L91" s="13" t="str">
        <f>_xll.SNL.Clients.Office.Excel.Functions.SPG(H91, "SP_PARENT_COMPANY_NAME")</f>
        <v/>
      </c>
      <c r="M91" s="13" t="str">
        <f>_xll.SNL.Clients.Office.Excel.Functions.SPG(H91, "SP_PARENT_COUNTRY")</f>
        <v/>
      </c>
      <c r="N91" s="13" t="str">
        <f>_xll.SNL.Clients.Office.Excel.Functions.SPG(H91, "SP_COUNTRY_NAME")</f>
        <v>South Africa</v>
      </c>
      <c r="O91" s="13" t="str">
        <f>_xll.SNL.Clients.Office.Excel.Functions.SPG(I91, "SP_ULT_PARENT_COMPANY_NAME")</f>
        <v/>
      </c>
      <c r="P91" s="13" t="str">
        <f>_xll.SNL.Clients.Office.Excel.Functions.SPG(I91, "SP_ULT_PARENT_COUNTRY")</f>
        <v/>
      </c>
      <c r="Q91" s="13" t="str">
        <f>_xll.SNL.Clients.Office.Excel.Functions.SPG(I91, "SP_PARENT_COMPANY_NAME")</f>
        <v/>
      </c>
      <c r="R91" s="13" t="str">
        <f>_xll.SNL.Clients.Office.Excel.Functions.SPG(I91, "SP_PARENT_COUNTRY")</f>
        <v/>
      </c>
      <c r="S91" s="13" t="str">
        <f>_xll.SNL.Clients.Office.Excel.Functions.SPG(I91, "SP_COUNTRY_NAME")</f>
        <v>South Africa</v>
      </c>
    </row>
    <row r="92" spans="1:19" ht="45" x14ac:dyDescent="0.25">
      <c r="A92" s="8">
        <v>46022</v>
      </c>
      <c r="B92" s="7" t="s">
        <v>186</v>
      </c>
      <c r="C92" s="7" t="s">
        <v>187</v>
      </c>
      <c r="D92" s="7" t="s">
        <v>272</v>
      </c>
      <c r="E92" s="11">
        <v>4351190</v>
      </c>
      <c r="F92" s="10">
        <v>46</v>
      </c>
      <c r="G92" s="13" t="str">
        <f>[1]!SNLData("243327", $C92, "OWNER_LIST")</f>
        <v>African Rainbow Minerals Limited (Venturer) 54%; Impala Platinum Holdings Limited (Venturer) 46%</v>
      </c>
      <c r="H92" s="14">
        <f>[1]!SNLData("243327", C92, "OWNER_SNL_INSTN_KEY", "Owner 1")</f>
        <v>4188197</v>
      </c>
      <c r="I92" s="14">
        <f>[1]!SNLData("243327", C92, "OWNER_SNL_INSTN_KEY", "Owner 2")</f>
        <v>4351190</v>
      </c>
      <c r="J92" s="13" t="str">
        <f>_xll.SNL.Clients.Office.Excel.Functions.SPG(H92, "SP_ULT_PARENT_COMPANY_NAME")</f>
        <v/>
      </c>
      <c r="K92" s="13" t="str">
        <f>_xll.SNL.Clients.Office.Excel.Functions.SPG(H92, "SP_ULT_PARENT_COUNTRY")</f>
        <v/>
      </c>
      <c r="L92" s="13" t="str">
        <f>_xll.SNL.Clients.Office.Excel.Functions.SPG(H92, "SP_PARENT_COMPANY_NAME")</f>
        <v/>
      </c>
      <c r="M92" s="13" t="str">
        <f>_xll.SNL.Clients.Office.Excel.Functions.SPG(H92, "SP_PARENT_COUNTRY")</f>
        <v/>
      </c>
      <c r="N92" s="13" t="str">
        <f>_xll.SNL.Clients.Office.Excel.Functions.SPG(H92, "SP_COUNTRY_NAME")</f>
        <v>South Africa</v>
      </c>
      <c r="O92" s="13" t="str">
        <f>_xll.SNL.Clients.Office.Excel.Functions.SPG(I92, "SP_ULT_PARENT_COMPANY_NAME")</f>
        <v/>
      </c>
      <c r="P92" s="13" t="str">
        <f>_xll.SNL.Clients.Office.Excel.Functions.SPG(I92, "SP_ULT_PARENT_COUNTRY")</f>
        <v/>
      </c>
      <c r="Q92" s="13" t="str">
        <f>_xll.SNL.Clients.Office.Excel.Functions.SPG(I92, "SP_PARENT_COMPANY_NAME")</f>
        <v/>
      </c>
      <c r="R92" s="13" t="str">
        <f>_xll.SNL.Clients.Office.Excel.Functions.SPG(I92, "SP_PARENT_COUNTRY")</f>
        <v/>
      </c>
      <c r="S92" s="13" t="str">
        <f>_xll.SNL.Clients.Office.Excel.Functions.SPG(I92, "SP_COUNTRY_NAME")</f>
        <v>South Africa</v>
      </c>
    </row>
    <row r="93" spans="1:19" ht="45" x14ac:dyDescent="0.25">
      <c r="A93" s="8">
        <v>46022</v>
      </c>
      <c r="B93" s="7" t="s">
        <v>153</v>
      </c>
      <c r="C93" s="7" t="s">
        <v>154</v>
      </c>
      <c r="D93" s="7" t="s">
        <v>312</v>
      </c>
      <c r="E93" s="11">
        <v>4348411</v>
      </c>
      <c r="F93" s="10">
        <v>15</v>
      </c>
      <c r="G93" s="13" t="str">
        <f>[1]!SNLData("243327", $C93, "OWNER_LIST")</f>
        <v>Bakgatla Ba Kgafela (Venturer) 15%; Siyanda Resources (Pty) Ltd (Venturer) 85%</v>
      </c>
      <c r="H93" s="14">
        <f>[1]!SNLData("243327", C93, "OWNER_SNL_INSTN_KEY", "Owner 1")</f>
        <v>4379793</v>
      </c>
      <c r="I93" s="14">
        <f>[1]!SNLData("243327", C93, "OWNER_SNL_INSTN_KEY", "Owner 2")</f>
        <v>4348411</v>
      </c>
      <c r="J93" s="13" t="str">
        <f>_xll.SNL.Clients.Office.Excel.Functions.SPG(H93, "SP_ULT_PARENT_COMPANY_NAME")</f>
        <v/>
      </c>
      <c r="K93" s="13" t="str">
        <f>_xll.SNL.Clients.Office.Excel.Functions.SPG(H93, "SP_ULT_PARENT_COUNTRY")</f>
        <v/>
      </c>
      <c r="L93" s="13" t="str">
        <f>_xll.SNL.Clients.Office.Excel.Functions.SPG(H93, "SP_PARENT_COMPANY_NAME")</f>
        <v/>
      </c>
      <c r="M93" s="13" t="str">
        <f>_xll.SNL.Clients.Office.Excel.Functions.SPG(H93, "SP_PARENT_COUNTRY")</f>
        <v/>
      </c>
      <c r="N93" s="13" t="str">
        <f>_xll.SNL.Clients.Office.Excel.Functions.SPG(H93, "SP_COUNTRY_NAME")</f>
        <v>South Africa</v>
      </c>
      <c r="O93" s="13" t="str">
        <f>_xll.SNL.Clients.Office.Excel.Functions.SPG(I93, "SP_ULT_PARENT_COMPANY_NAME")</f>
        <v/>
      </c>
      <c r="P93" s="13" t="str">
        <f>_xll.SNL.Clients.Office.Excel.Functions.SPG(I93, "SP_ULT_PARENT_COUNTRY")</f>
        <v/>
      </c>
      <c r="Q93" s="13" t="str">
        <f>_xll.SNL.Clients.Office.Excel.Functions.SPG(I93, "SP_PARENT_COMPANY_NAME")</f>
        <v/>
      </c>
      <c r="R93" s="13" t="str">
        <f>_xll.SNL.Clients.Office.Excel.Functions.SPG(I93, "SP_PARENT_COUNTRY")</f>
        <v/>
      </c>
      <c r="S93" s="13" t="str">
        <f>_xll.SNL.Clients.Office.Excel.Functions.SPG(I93, "SP_COUNTRY_NAME")</f>
        <v>South Africa</v>
      </c>
    </row>
    <row r="94" spans="1:19" ht="45" x14ac:dyDescent="0.25">
      <c r="A94" s="8">
        <v>46022</v>
      </c>
      <c r="B94" s="7" t="s">
        <v>153</v>
      </c>
      <c r="C94" s="7" t="s">
        <v>154</v>
      </c>
      <c r="D94" s="7" t="s">
        <v>313</v>
      </c>
      <c r="E94" s="11">
        <v>4379793</v>
      </c>
      <c r="F94" s="10">
        <v>85</v>
      </c>
      <c r="G94" s="13" t="str">
        <f>[1]!SNLData("243327", $C94, "OWNER_LIST")</f>
        <v>Bakgatla Ba Kgafela (Venturer) 15%; Siyanda Resources (Pty) Ltd (Venturer) 85%</v>
      </c>
      <c r="H94" s="14">
        <f>[1]!SNLData("243327", C94, "OWNER_SNL_INSTN_KEY", "Owner 1")</f>
        <v>4379793</v>
      </c>
      <c r="I94" s="14">
        <f>[1]!SNLData("243327", C94, "OWNER_SNL_INSTN_KEY", "Owner 2")</f>
        <v>4348411</v>
      </c>
      <c r="J94" s="13" t="str">
        <f>_xll.SNL.Clients.Office.Excel.Functions.SPG(H94, "SP_ULT_PARENT_COMPANY_NAME")</f>
        <v/>
      </c>
      <c r="K94" s="13" t="str">
        <f>_xll.SNL.Clients.Office.Excel.Functions.SPG(H94, "SP_ULT_PARENT_COUNTRY")</f>
        <v/>
      </c>
      <c r="L94" s="13" t="str">
        <f>_xll.SNL.Clients.Office.Excel.Functions.SPG(H94, "SP_PARENT_COMPANY_NAME")</f>
        <v/>
      </c>
      <c r="M94" s="13" t="str">
        <f>_xll.SNL.Clients.Office.Excel.Functions.SPG(H94, "SP_PARENT_COUNTRY")</f>
        <v/>
      </c>
      <c r="N94" s="13" t="str">
        <f>_xll.SNL.Clients.Office.Excel.Functions.SPG(H94, "SP_COUNTRY_NAME")</f>
        <v>South Africa</v>
      </c>
      <c r="O94" s="13" t="str">
        <f>_xll.SNL.Clients.Office.Excel.Functions.SPG(I94, "SP_ULT_PARENT_COMPANY_NAME")</f>
        <v/>
      </c>
      <c r="P94" s="13" t="str">
        <f>_xll.SNL.Clients.Office.Excel.Functions.SPG(I94, "SP_ULT_PARENT_COUNTRY")</f>
        <v/>
      </c>
      <c r="Q94" s="13" t="str">
        <f>_xll.SNL.Clients.Office.Excel.Functions.SPG(I94, "SP_PARENT_COMPANY_NAME")</f>
        <v/>
      </c>
      <c r="R94" s="13" t="str">
        <f>_xll.SNL.Clients.Office.Excel.Functions.SPG(I94, "SP_PARENT_COUNTRY")</f>
        <v/>
      </c>
      <c r="S94" s="13" t="str">
        <f>_xll.SNL.Clients.Office.Excel.Functions.SPG(I94, "SP_COUNTRY_NAME")</f>
        <v>South Africa</v>
      </c>
    </row>
    <row r="95" spans="1:19" ht="30" x14ac:dyDescent="0.25">
      <c r="A95" s="8">
        <v>46022</v>
      </c>
      <c r="B95" s="7" t="s">
        <v>162</v>
      </c>
      <c r="C95" s="7" t="s">
        <v>163</v>
      </c>
      <c r="D95" s="7" t="s">
        <v>259</v>
      </c>
      <c r="E95" s="11">
        <v>4348055</v>
      </c>
      <c r="F95" s="10">
        <v>100</v>
      </c>
      <c r="G95" s="13" t="str">
        <f>[1]!SNLData("243327", $C95, "OWNER_LIST")</f>
        <v>Valterra Platinum Limited  100%</v>
      </c>
      <c r="H95" s="14">
        <f>[1]!SNLData("243327", C95, "OWNER_SNL_INSTN_KEY", "Owner 1")</f>
        <v>4348055</v>
      </c>
      <c r="I95" s="14" t="str">
        <f>[1]!SNLData("243327", C95, "OWNER_SNL_INSTN_KEY", "Owner 2")</f>
        <v>NA</v>
      </c>
      <c r="J95" s="13" t="str">
        <f>_xll.SNL.Clients.Office.Excel.Functions.SPG(H95, "SP_ULT_PARENT_COMPANY_NAME")</f>
        <v/>
      </c>
      <c r="K95" s="13" t="str">
        <f>_xll.SNL.Clients.Office.Excel.Functions.SPG(H95, "SP_ULT_PARENT_COUNTRY")</f>
        <v/>
      </c>
      <c r="L95" s="13" t="str">
        <f>_xll.SNL.Clients.Office.Excel.Functions.SPG(H95, "SP_PARENT_COMPANY_NAME")</f>
        <v/>
      </c>
      <c r="M95" s="13" t="str">
        <f>_xll.SNL.Clients.Office.Excel.Functions.SPG(H95, "SP_PARENT_COUNTRY")</f>
        <v/>
      </c>
      <c r="N95" s="13" t="str">
        <f>_xll.SNL.Clients.Office.Excel.Functions.SPG(H95, "SP_COUNTRY_NAME")</f>
        <v>South Africa</v>
      </c>
      <c r="O95" s="13" t="str">
        <f>_xll.SNL.Clients.Office.Excel.Functions.SPG(I95, "SP_ULT_PARENT_COMPANY_NAME")</f>
        <v/>
      </c>
      <c r="P95" s="13" t="str">
        <f>_xll.SNL.Clients.Office.Excel.Functions.SPG(I95, "SP_ULT_PARENT_COUNTRY")</f>
        <v/>
      </c>
      <c r="Q95" s="13" t="str">
        <f>_xll.SNL.Clients.Office.Excel.Functions.SPG(I95, "SP_PARENT_COMPANY_NAME")</f>
        <v/>
      </c>
      <c r="R95" s="13" t="str">
        <f>_xll.SNL.Clients.Office.Excel.Functions.SPG(I95, "SP_PARENT_COUNTRY")</f>
        <v/>
      </c>
      <c r="S95" s="13" t="str">
        <f>_xll.SNL.Clients.Office.Excel.Functions.SPG(I95, "SP_COUNTRY_NAME")</f>
        <v>China</v>
      </c>
    </row>
    <row r="96" spans="1:19" x14ac:dyDescent="0.25">
      <c r="A96" s="8">
        <v>46022</v>
      </c>
      <c r="B96" s="7" t="s">
        <v>188</v>
      </c>
      <c r="C96" s="7" t="s">
        <v>189</v>
      </c>
      <c r="D96" s="7" t="s">
        <v>277</v>
      </c>
      <c r="E96" s="11">
        <v>4223919</v>
      </c>
      <c r="F96" s="10">
        <v>100</v>
      </c>
      <c r="G96" s="13" t="str">
        <f>[1]!SNLData("243327", $C96, "OWNER_LIST")</f>
        <v>Vale S.A.  100%</v>
      </c>
      <c r="H96" s="14">
        <f>[1]!SNLData("243327", C96, "OWNER_SNL_INSTN_KEY", "Owner 1")</f>
        <v>4223919</v>
      </c>
      <c r="I96" s="14" t="str">
        <f>[1]!SNLData("243327", C96, "OWNER_SNL_INSTN_KEY", "Owner 2")</f>
        <v>NA</v>
      </c>
      <c r="J96" s="13" t="str">
        <f>_xll.SNL.Clients.Office.Excel.Functions.SPG(H96, "SP_ULT_PARENT_COMPANY_NAME")</f>
        <v/>
      </c>
      <c r="K96" s="13" t="str">
        <f>_xll.SNL.Clients.Office.Excel.Functions.SPG(H96, "SP_ULT_PARENT_COUNTRY")</f>
        <v/>
      </c>
      <c r="L96" s="13" t="str">
        <f>_xll.SNL.Clients.Office.Excel.Functions.SPG(H96, "SP_PARENT_COMPANY_NAME")</f>
        <v/>
      </c>
      <c r="M96" s="13" t="str">
        <f>_xll.SNL.Clients.Office.Excel.Functions.SPG(H96, "SP_PARENT_COUNTRY")</f>
        <v/>
      </c>
      <c r="N96" s="13" t="str">
        <f>_xll.SNL.Clients.Office.Excel.Functions.SPG(H96, "SP_COUNTRY_NAME")</f>
        <v>Brazil</v>
      </c>
      <c r="O96" s="13" t="str">
        <f>_xll.SNL.Clients.Office.Excel.Functions.SPG(I96, "SP_ULT_PARENT_COMPANY_NAME")</f>
        <v/>
      </c>
      <c r="P96" s="13" t="str">
        <f>_xll.SNL.Clients.Office.Excel.Functions.SPG(I96, "SP_ULT_PARENT_COUNTRY")</f>
        <v/>
      </c>
      <c r="Q96" s="13" t="str">
        <f>_xll.SNL.Clients.Office.Excel.Functions.SPG(I96, "SP_PARENT_COMPANY_NAME")</f>
        <v/>
      </c>
      <c r="R96" s="13" t="str">
        <f>_xll.SNL.Clients.Office.Excel.Functions.SPG(I96, "SP_PARENT_COUNTRY")</f>
        <v/>
      </c>
      <c r="S96" s="13" t="str">
        <f>_xll.SNL.Clients.Office.Excel.Functions.SPG(I96, "SP_COUNTRY_NAME")</f>
        <v>China</v>
      </c>
    </row>
    <row r="97" spans="1:19" ht="45" x14ac:dyDescent="0.25">
      <c r="A97" s="8">
        <v>46022</v>
      </c>
      <c r="B97" s="7" t="s">
        <v>155</v>
      </c>
      <c r="C97" s="7" t="s">
        <v>156</v>
      </c>
      <c r="D97" s="7" t="s">
        <v>303</v>
      </c>
      <c r="E97" s="11">
        <v>4350028</v>
      </c>
      <c r="F97" s="10">
        <v>38.700000000000003</v>
      </c>
      <c r="G97" s="13" t="str">
        <f>[1]!SNLData("243327", $C97, "OWNER_LIST")</f>
        <v>ERAMET S.A. (Venturer) 38.7%; Tsingshan Holding Group Co., Ltd. (Venturer) 51.3%; PT Antam (Persero) Tbk (Venturer) 10%</v>
      </c>
      <c r="H97" s="14">
        <f>[1]!SNLData("243327", C97, "OWNER_SNL_INSTN_KEY", "Owner 1")</f>
        <v>4355009</v>
      </c>
      <c r="I97" s="14">
        <f>[1]!SNLData("243327", C97, "OWNER_SNL_INSTN_KEY", "Owner 2")</f>
        <v>4350028</v>
      </c>
      <c r="J97" s="13" t="str">
        <f>_xll.SNL.Clients.Office.Excel.Functions.SPG(H97, "SP_ULT_PARENT_COMPANY_NAME")</f>
        <v/>
      </c>
      <c r="K97" s="13" t="str">
        <f>_xll.SNL.Clients.Office.Excel.Functions.SPG(H97, "SP_ULT_PARENT_COUNTRY")</f>
        <v/>
      </c>
      <c r="L97" s="13" t="str">
        <f>_xll.SNL.Clients.Office.Excel.Functions.SPG(H97, "SP_PARENT_COMPANY_NAME")</f>
        <v/>
      </c>
      <c r="M97" s="13" t="str">
        <f>_xll.SNL.Clients.Office.Excel.Functions.SPG(H97, "SP_PARENT_COUNTRY")</f>
        <v/>
      </c>
      <c r="N97" s="13" t="str">
        <f>_xll.SNL.Clients.Office.Excel.Functions.SPG(H97, "SP_COUNTRY_NAME")</f>
        <v>China</v>
      </c>
      <c r="O97" s="13" t="str">
        <f>_xll.SNL.Clients.Office.Excel.Functions.SPG(I97, "SP_ULT_PARENT_COMPANY_NAME")</f>
        <v/>
      </c>
      <c r="P97" s="13" t="str">
        <f>_xll.SNL.Clients.Office.Excel.Functions.SPG(I97, "SP_ULT_PARENT_COUNTRY")</f>
        <v/>
      </c>
      <c r="Q97" s="13" t="str">
        <f>_xll.SNL.Clients.Office.Excel.Functions.SPG(I97, "SP_PARENT_COMPANY_NAME")</f>
        <v/>
      </c>
      <c r="R97" s="13" t="str">
        <f>_xll.SNL.Clients.Office.Excel.Functions.SPG(I97, "SP_PARENT_COUNTRY")</f>
        <v/>
      </c>
      <c r="S97" s="13" t="str">
        <f>_xll.SNL.Clients.Office.Excel.Functions.SPG(I97, "SP_COUNTRY_NAME")</f>
        <v>France</v>
      </c>
    </row>
    <row r="98" spans="1:19" ht="45" x14ac:dyDescent="0.25">
      <c r="A98" s="8">
        <v>46022</v>
      </c>
      <c r="B98" s="7" t="s">
        <v>155</v>
      </c>
      <c r="C98" s="7" t="s">
        <v>156</v>
      </c>
      <c r="D98" s="7" t="s">
        <v>293</v>
      </c>
      <c r="E98" s="11">
        <v>4348047</v>
      </c>
      <c r="F98" s="10">
        <v>10</v>
      </c>
      <c r="G98" s="13" t="str">
        <f>[1]!SNLData("243327", $C98, "OWNER_LIST")</f>
        <v>ERAMET S.A. (Venturer) 38.7%; Tsingshan Holding Group Co., Ltd. (Venturer) 51.3%; PT Antam (Persero) Tbk (Venturer) 10%</v>
      </c>
      <c r="H98" s="14">
        <f>[1]!SNLData("243327", C98, "OWNER_SNL_INSTN_KEY", "Owner 1")</f>
        <v>4355009</v>
      </c>
      <c r="I98" s="14">
        <f>[1]!SNLData("243327", C98, "OWNER_SNL_INSTN_KEY", "Owner 2")</f>
        <v>4350028</v>
      </c>
      <c r="J98" s="13" t="str">
        <f>_xll.SNL.Clients.Office.Excel.Functions.SPG(H98, "SP_ULT_PARENT_COMPANY_NAME")</f>
        <v/>
      </c>
      <c r="K98" s="13" t="str">
        <f>_xll.SNL.Clients.Office.Excel.Functions.SPG(H98, "SP_ULT_PARENT_COUNTRY")</f>
        <v/>
      </c>
      <c r="L98" s="13" t="str">
        <f>_xll.SNL.Clients.Office.Excel.Functions.SPG(H98, "SP_PARENT_COMPANY_NAME")</f>
        <v/>
      </c>
      <c r="M98" s="13" t="str">
        <f>_xll.SNL.Clients.Office.Excel.Functions.SPG(H98, "SP_PARENT_COUNTRY")</f>
        <v/>
      </c>
      <c r="N98" s="13" t="str">
        <f>_xll.SNL.Clients.Office.Excel.Functions.SPG(H98, "SP_COUNTRY_NAME")</f>
        <v>China</v>
      </c>
      <c r="O98" s="13" t="str">
        <f>_xll.SNL.Clients.Office.Excel.Functions.SPG(I98, "SP_ULT_PARENT_COMPANY_NAME")</f>
        <v/>
      </c>
      <c r="P98" s="13" t="str">
        <f>_xll.SNL.Clients.Office.Excel.Functions.SPG(I98, "SP_ULT_PARENT_COUNTRY")</f>
        <v/>
      </c>
      <c r="Q98" s="13" t="str">
        <f>_xll.SNL.Clients.Office.Excel.Functions.SPG(I98, "SP_PARENT_COMPANY_NAME")</f>
        <v/>
      </c>
      <c r="R98" s="13" t="str">
        <f>_xll.SNL.Clients.Office.Excel.Functions.SPG(I98, "SP_PARENT_COUNTRY")</f>
        <v/>
      </c>
      <c r="S98" s="13" t="str">
        <f>_xll.SNL.Clients.Office.Excel.Functions.SPG(I98, "SP_COUNTRY_NAME")</f>
        <v>France</v>
      </c>
    </row>
    <row r="99" spans="1:19" ht="45" x14ac:dyDescent="0.25">
      <c r="A99" s="8">
        <v>46022</v>
      </c>
      <c r="B99" s="7" t="s">
        <v>155</v>
      </c>
      <c r="C99" s="7" t="s">
        <v>156</v>
      </c>
      <c r="D99" s="7" t="s">
        <v>314</v>
      </c>
      <c r="E99" s="11">
        <v>4355009</v>
      </c>
      <c r="F99" s="10">
        <v>51.3</v>
      </c>
      <c r="G99" s="13" t="str">
        <f>[1]!SNLData("243327", $C99, "OWNER_LIST")</f>
        <v>ERAMET S.A. (Venturer) 38.7%; Tsingshan Holding Group Co., Ltd. (Venturer) 51.3%; PT Antam (Persero) Tbk (Venturer) 10%</v>
      </c>
      <c r="H99" s="14">
        <f>[1]!SNLData("243327", C99, "OWNER_SNL_INSTN_KEY", "Owner 1")</f>
        <v>4355009</v>
      </c>
      <c r="I99" s="14">
        <f>[1]!SNLData("243327", C99, "OWNER_SNL_INSTN_KEY", "Owner 2")</f>
        <v>4350028</v>
      </c>
      <c r="J99" s="13" t="str">
        <f>_xll.SNL.Clients.Office.Excel.Functions.SPG(H99, "SP_ULT_PARENT_COMPANY_NAME")</f>
        <v/>
      </c>
      <c r="K99" s="13" t="str">
        <f>_xll.SNL.Clients.Office.Excel.Functions.SPG(H99, "SP_ULT_PARENT_COUNTRY")</f>
        <v/>
      </c>
      <c r="L99" s="13" t="str">
        <f>_xll.SNL.Clients.Office.Excel.Functions.SPG(H99, "SP_PARENT_COMPANY_NAME")</f>
        <v/>
      </c>
      <c r="M99" s="13" t="str">
        <f>_xll.SNL.Clients.Office.Excel.Functions.SPG(H99, "SP_PARENT_COUNTRY")</f>
        <v/>
      </c>
      <c r="N99" s="13" t="str">
        <f>_xll.SNL.Clients.Office.Excel.Functions.SPG(H99, "SP_COUNTRY_NAME")</f>
        <v>China</v>
      </c>
      <c r="O99" s="13" t="str">
        <f>_xll.SNL.Clients.Office.Excel.Functions.SPG(I99, "SP_ULT_PARENT_COMPANY_NAME")</f>
        <v/>
      </c>
      <c r="P99" s="13" t="str">
        <f>_xll.SNL.Clients.Office.Excel.Functions.SPG(I99, "SP_ULT_PARENT_COUNTRY")</f>
        <v/>
      </c>
      <c r="Q99" s="13" t="str">
        <f>_xll.SNL.Clients.Office.Excel.Functions.SPG(I99, "SP_PARENT_COMPANY_NAME")</f>
        <v/>
      </c>
      <c r="R99" s="13" t="str">
        <f>_xll.SNL.Clients.Office.Excel.Functions.SPG(I99, "SP_PARENT_COUNTRY")</f>
        <v/>
      </c>
      <c r="S99" s="13" t="str">
        <f>_xll.SNL.Clients.Office.Excel.Functions.SPG(I99, "SP_COUNTRY_NAME")</f>
        <v>France</v>
      </c>
    </row>
    <row r="100" spans="1:19" ht="30" x14ac:dyDescent="0.25">
      <c r="A100" s="8">
        <v>46022</v>
      </c>
      <c r="B100" s="7" t="s">
        <v>190</v>
      </c>
      <c r="C100" s="7" t="s">
        <v>191</v>
      </c>
      <c r="D100" s="7" t="s">
        <v>276</v>
      </c>
      <c r="E100" s="11">
        <v>4379789</v>
      </c>
      <c r="F100" s="10">
        <v>100</v>
      </c>
      <c r="G100" s="13" t="str">
        <f>[1]!SNLData("243327", $C100, "OWNER_LIST")</f>
        <v>Sibanye Stillwater Limited  100%</v>
      </c>
      <c r="H100" s="14">
        <f>[1]!SNLData("243327", C100, "OWNER_SNL_INSTN_KEY", "Owner 1")</f>
        <v>4379789</v>
      </c>
      <c r="I100" s="14" t="str">
        <f>[1]!SNLData("243327", C100, "OWNER_SNL_INSTN_KEY", "Owner 2")</f>
        <v>NA</v>
      </c>
      <c r="J100" s="13" t="str">
        <f>_xll.SNL.Clients.Office.Excel.Functions.SPG(H100, "SP_ULT_PARENT_COMPANY_NAME")</f>
        <v/>
      </c>
      <c r="K100" s="13" t="str">
        <f>_xll.SNL.Clients.Office.Excel.Functions.SPG(H100, "SP_ULT_PARENT_COUNTRY")</f>
        <v/>
      </c>
      <c r="L100" s="13" t="str">
        <f>_xll.SNL.Clients.Office.Excel.Functions.SPG(H100, "SP_PARENT_COMPANY_NAME")</f>
        <v/>
      </c>
      <c r="M100" s="13" t="str">
        <f>_xll.SNL.Clients.Office.Excel.Functions.SPG(H100, "SP_PARENT_COUNTRY")</f>
        <v/>
      </c>
      <c r="N100" s="13" t="str">
        <f>_xll.SNL.Clients.Office.Excel.Functions.SPG(H100, "SP_COUNTRY_NAME")</f>
        <v>South Africa</v>
      </c>
      <c r="O100" s="13" t="str">
        <f>_xll.SNL.Clients.Office.Excel.Functions.SPG(I100, "SP_ULT_PARENT_COMPANY_NAME")</f>
        <v/>
      </c>
      <c r="P100" s="13" t="str">
        <f>_xll.SNL.Clients.Office.Excel.Functions.SPG(I100, "SP_ULT_PARENT_COUNTRY")</f>
        <v/>
      </c>
      <c r="Q100" s="13" t="str">
        <f>_xll.SNL.Clients.Office.Excel.Functions.SPG(I100, "SP_PARENT_COMPANY_NAME")</f>
        <v/>
      </c>
      <c r="R100" s="13" t="str">
        <f>_xll.SNL.Clients.Office.Excel.Functions.SPG(I100, "SP_PARENT_COUNTRY")</f>
        <v/>
      </c>
      <c r="S100" s="13" t="str">
        <f>_xll.SNL.Clients.Office.Excel.Functions.SPG(I100, "SP_COUNTRY_NAME")</f>
        <v>China</v>
      </c>
    </row>
    <row r="101" spans="1:19" ht="60" x14ac:dyDescent="0.25">
      <c r="A101" s="8">
        <v>46022</v>
      </c>
      <c r="B101" s="7" t="s">
        <v>166</v>
      </c>
      <c r="C101" s="7" t="s">
        <v>167</v>
      </c>
      <c r="D101" s="7" t="s">
        <v>315</v>
      </c>
      <c r="E101" s="11">
        <v>4355649</v>
      </c>
      <c r="F101" s="10">
        <v>100</v>
      </c>
      <c r="G101" s="13" t="str">
        <f>[1]!SNLData("243327", $C101, "OWNER_LIST")</f>
        <v>Zimplats Holdings Limited  100%</v>
      </c>
      <c r="H101" s="14">
        <f>[1]!SNLData("243327", C101, "OWNER_SNL_INSTN_KEY", "Owner 1")</f>
        <v>4355649</v>
      </c>
      <c r="I101" s="14" t="str">
        <f>[1]!SNLData("243327", C101, "OWNER_SNL_INSTN_KEY", "Owner 2")</f>
        <v>NA</v>
      </c>
      <c r="J101" s="13" t="str">
        <f>_xll.SNL.Clients.Office.Excel.Functions.SPG(H101, "SP_ULT_PARENT_COMPANY_NAME")</f>
        <v>Impala Platinum Holdings Limited</v>
      </c>
      <c r="K101" s="13" t="str">
        <f>_xll.SNL.Clients.Office.Excel.Functions.SPG(H101, "SP_ULT_PARENT_COUNTRY")</f>
        <v>South Africa</v>
      </c>
      <c r="L101" s="13" t="str">
        <f>_xll.SNL.Clients.Office.Excel.Functions.SPG(H101, "SP_PARENT_COMPANY_NAME")</f>
        <v>Impala Platinum BV</v>
      </c>
      <c r="M101" s="13" t="str">
        <f>_xll.SNL.Clients.Office.Excel.Functions.SPG(H101, "SP_PARENT_COUNTRY")</f>
        <v>Netherlands</v>
      </c>
      <c r="N101" s="13" t="str">
        <f>_xll.SNL.Clients.Office.Excel.Functions.SPG(H101, "SP_COUNTRY_NAME")</f>
        <v>Guernsey</v>
      </c>
      <c r="O101" s="13" t="str">
        <f>_xll.SNL.Clients.Office.Excel.Functions.SPG(I101, "SP_ULT_PARENT_COMPANY_NAME")</f>
        <v/>
      </c>
      <c r="P101" s="13" t="str">
        <f>_xll.SNL.Clients.Office.Excel.Functions.SPG(I101, "SP_ULT_PARENT_COUNTRY")</f>
        <v/>
      </c>
      <c r="Q101" s="13" t="str">
        <f>_xll.SNL.Clients.Office.Excel.Functions.SPG(I101, "SP_PARENT_COMPANY_NAME")</f>
        <v/>
      </c>
      <c r="R101" s="13" t="str">
        <f>_xll.SNL.Clients.Office.Excel.Functions.SPG(I101, "SP_PARENT_COUNTRY")</f>
        <v/>
      </c>
      <c r="S101" s="13" t="str">
        <f>_xll.SNL.Clients.Office.Excel.Functions.SPG(I101, "SP_COUNTRY_NAME")</f>
        <v>China</v>
      </c>
    </row>
    <row r="102" spans="1:19" ht="30" x14ac:dyDescent="0.25">
      <c r="A102" s="8">
        <v>46022</v>
      </c>
      <c r="B102" s="7" t="s">
        <v>164</v>
      </c>
      <c r="C102" s="7" t="s">
        <v>165</v>
      </c>
      <c r="D102" s="7" t="s">
        <v>264</v>
      </c>
      <c r="E102" s="11">
        <v>4264043</v>
      </c>
      <c r="F102" s="10">
        <v>100</v>
      </c>
      <c r="G102" s="13" t="str">
        <f>[1]!SNLData("243327", $C102, "OWNER_LIST")</f>
        <v>Valterra Platinum Limited (Fractional) %; Northam Platinum Holdings Limited  100%</v>
      </c>
      <c r="H102" s="14">
        <f>[1]!SNLData("243327", C102, "OWNER_SNL_INSTN_KEY", "Owner 1")</f>
        <v>4264043</v>
      </c>
      <c r="I102" s="14">
        <f>[1]!SNLData("243327", C102, "OWNER_SNL_INSTN_KEY", "Owner 2")</f>
        <v>4348055</v>
      </c>
      <c r="J102" s="13" t="str">
        <f>_xll.SNL.Clients.Office.Excel.Functions.SPG(H102, "SP_ULT_PARENT_COMPANY_NAME")</f>
        <v/>
      </c>
      <c r="K102" s="13" t="str">
        <f>_xll.SNL.Clients.Office.Excel.Functions.SPG(H102, "SP_ULT_PARENT_COUNTRY")</f>
        <v/>
      </c>
      <c r="L102" s="13" t="str">
        <f>_xll.SNL.Clients.Office.Excel.Functions.SPG(H102, "SP_PARENT_COMPANY_NAME")</f>
        <v/>
      </c>
      <c r="M102" s="13" t="str">
        <f>_xll.SNL.Clients.Office.Excel.Functions.SPG(H102, "SP_PARENT_COUNTRY")</f>
        <v/>
      </c>
      <c r="N102" s="13" t="str">
        <f>_xll.SNL.Clients.Office.Excel.Functions.SPG(H102, "SP_COUNTRY_NAME")</f>
        <v>South Africa</v>
      </c>
      <c r="O102" s="13" t="str">
        <f>_xll.SNL.Clients.Office.Excel.Functions.SPG(I102, "SP_ULT_PARENT_COMPANY_NAME")</f>
        <v/>
      </c>
      <c r="P102" s="13" t="str">
        <f>_xll.SNL.Clients.Office.Excel.Functions.SPG(I102, "SP_ULT_PARENT_COUNTRY")</f>
        <v/>
      </c>
      <c r="Q102" s="13" t="str">
        <f>_xll.SNL.Clients.Office.Excel.Functions.SPG(I102, "SP_PARENT_COMPANY_NAME")</f>
        <v/>
      </c>
      <c r="R102" s="13" t="str">
        <f>_xll.SNL.Clients.Office.Excel.Functions.SPG(I102, "SP_PARENT_COUNTRY")</f>
        <v/>
      </c>
      <c r="S102" s="13" t="str">
        <f>_xll.SNL.Clients.Office.Excel.Functions.SPG(I102, "SP_COUNTRY_NAME")</f>
        <v>South Africa</v>
      </c>
    </row>
  </sheetData>
  <mergeCells count="20">
    <mergeCell ref="O6:O9"/>
    <mergeCell ref="P6:P9"/>
    <mergeCell ref="Q6:Q9"/>
    <mergeCell ref="R6:R9"/>
    <mergeCell ref="S6:S9"/>
    <mergeCell ref="J6:J9"/>
    <mergeCell ref="K6:K9"/>
    <mergeCell ref="L6:L9"/>
    <mergeCell ref="M6:M9"/>
    <mergeCell ref="N6:N9"/>
    <mergeCell ref="E6:E9"/>
    <mergeCell ref="F6:F9"/>
    <mergeCell ref="G6:G9"/>
    <mergeCell ref="H6:H9"/>
    <mergeCell ref="I6:I9"/>
    <mergeCell ref="A1:D1"/>
    <mergeCell ref="A6:A9"/>
    <mergeCell ref="B6:B9"/>
    <mergeCell ref="C6:C9"/>
    <mergeCell ref="D6:D9"/>
  </mergeCells>
  <pageMargins left="0.7" right="0.7" top="0.75" bottom="0.75" header="0.3" footer="0.3"/>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E4685-4957-4EDB-A08B-4082837575E3}">
  <dimension ref="A1:S101"/>
  <sheetViews>
    <sheetView tabSelected="1" workbookViewId="0">
      <selection sqref="A1:S101"/>
    </sheetView>
  </sheetViews>
  <sheetFormatPr defaultRowHeight="15" x14ac:dyDescent="0.25"/>
  <sheetData>
    <row r="1" spans="1:19" x14ac:dyDescent="0.25">
      <c r="A1" t="s">
        <v>316</v>
      </c>
    </row>
    <row r="2" spans="1:19" x14ac:dyDescent="0.25">
      <c r="A2" t="s">
        <v>0</v>
      </c>
    </row>
    <row r="3" spans="1:19" x14ac:dyDescent="0.25">
      <c r="A3" t="s">
        <v>1</v>
      </c>
    </row>
    <row r="5" spans="1:19" x14ac:dyDescent="0.25">
      <c r="A5" t="s">
        <v>3</v>
      </c>
      <c r="B5" t="s">
        <v>4</v>
      </c>
      <c r="C5" t="s">
        <v>5</v>
      </c>
      <c r="D5" t="s">
        <v>255</v>
      </c>
      <c r="E5" t="s">
        <v>256</v>
      </c>
      <c r="F5" t="s">
        <v>257</v>
      </c>
      <c r="G5" t="s">
        <v>317</v>
      </c>
      <c r="H5" t="s">
        <v>318</v>
      </c>
      <c r="I5" t="s">
        <v>319</v>
      </c>
      <c r="J5" t="s">
        <v>320</v>
      </c>
      <c r="K5" t="s">
        <v>321</v>
      </c>
      <c r="L5" t="s">
        <v>322</v>
      </c>
      <c r="M5" t="s">
        <v>323</v>
      </c>
      <c r="N5" t="s">
        <v>324</v>
      </c>
      <c r="O5" t="s">
        <v>325</v>
      </c>
      <c r="P5" t="s">
        <v>326</v>
      </c>
      <c r="Q5" t="s">
        <v>327</v>
      </c>
      <c r="R5" t="s">
        <v>328</v>
      </c>
      <c r="S5" t="s">
        <v>329</v>
      </c>
    </row>
    <row r="9" spans="1:19" x14ac:dyDescent="0.25">
      <c r="A9" s="17">
        <v>46022</v>
      </c>
      <c r="B9" t="s">
        <v>49</v>
      </c>
      <c r="C9" t="s">
        <v>50</v>
      </c>
      <c r="D9" t="s">
        <v>258</v>
      </c>
      <c r="E9">
        <v>4355482</v>
      </c>
      <c r="F9" s="18">
        <v>100</v>
      </c>
      <c r="G9" t="s">
        <v>330</v>
      </c>
      <c r="H9">
        <v>4355482</v>
      </c>
      <c r="I9" t="s">
        <v>331</v>
      </c>
      <c r="J9" t="s">
        <v>332</v>
      </c>
      <c r="K9" t="s">
        <v>51</v>
      </c>
      <c r="L9" t="s">
        <v>332</v>
      </c>
      <c r="M9" t="s">
        <v>51</v>
      </c>
      <c r="N9" t="s">
        <v>51</v>
      </c>
      <c r="O9" t="s">
        <v>2</v>
      </c>
      <c r="P9" t="s">
        <v>2</v>
      </c>
      <c r="Q9" t="s">
        <v>2</v>
      </c>
      <c r="R9" t="s">
        <v>2</v>
      </c>
      <c r="S9" t="s">
        <v>51</v>
      </c>
    </row>
    <row r="10" spans="1:19" x14ac:dyDescent="0.25">
      <c r="A10" s="17">
        <v>46022</v>
      </c>
      <c r="B10" t="s">
        <v>86</v>
      </c>
      <c r="C10" t="s">
        <v>87</v>
      </c>
      <c r="D10" t="s">
        <v>259</v>
      </c>
      <c r="E10">
        <v>4348055</v>
      </c>
      <c r="F10" s="18">
        <v>100</v>
      </c>
      <c r="G10" t="s">
        <v>333</v>
      </c>
      <c r="H10">
        <v>4348055</v>
      </c>
      <c r="I10" t="s">
        <v>331</v>
      </c>
      <c r="J10" t="s">
        <v>2</v>
      </c>
      <c r="K10" t="s">
        <v>2</v>
      </c>
      <c r="L10" t="s">
        <v>2</v>
      </c>
      <c r="M10" t="s">
        <v>2</v>
      </c>
      <c r="N10" t="s">
        <v>65</v>
      </c>
      <c r="O10" t="s">
        <v>2</v>
      </c>
      <c r="P10" t="s">
        <v>2</v>
      </c>
      <c r="Q10" t="s">
        <v>2</v>
      </c>
      <c r="R10" t="s">
        <v>2</v>
      </c>
      <c r="S10" t="s">
        <v>51</v>
      </c>
    </row>
    <row r="11" spans="1:19" x14ac:dyDescent="0.25">
      <c r="A11" s="17">
        <v>46022</v>
      </c>
      <c r="B11" t="s">
        <v>88</v>
      </c>
      <c r="C11" t="s">
        <v>89</v>
      </c>
      <c r="D11" t="s">
        <v>260</v>
      </c>
      <c r="E11">
        <v>4351671</v>
      </c>
      <c r="F11" s="18">
        <v>45.82</v>
      </c>
      <c r="G11" t="s">
        <v>334</v>
      </c>
      <c r="H11">
        <v>4047416</v>
      </c>
      <c r="I11">
        <v>4351671</v>
      </c>
      <c r="J11" t="s">
        <v>2</v>
      </c>
      <c r="K11" t="s">
        <v>2</v>
      </c>
      <c r="L11" t="s">
        <v>2</v>
      </c>
      <c r="M11" t="s">
        <v>2</v>
      </c>
      <c r="N11" t="s">
        <v>60</v>
      </c>
      <c r="O11" t="s">
        <v>335</v>
      </c>
      <c r="P11" t="s">
        <v>335</v>
      </c>
      <c r="Q11" t="s">
        <v>335</v>
      </c>
      <c r="R11" t="s">
        <v>335</v>
      </c>
      <c r="S11" t="s">
        <v>335</v>
      </c>
    </row>
    <row r="12" spans="1:19" x14ac:dyDescent="0.25">
      <c r="A12" s="17">
        <v>46022</v>
      </c>
      <c r="B12" t="s">
        <v>88</v>
      </c>
      <c r="C12" t="s">
        <v>89</v>
      </c>
      <c r="D12" t="s">
        <v>261</v>
      </c>
      <c r="E12">
        <v>4047416</v>
      </c>
      <c r="F12" s="18">
        <v>54.17</v>
      </c>
      <c r="G12" t="s">
        <v>334</v>
      </c>
      <c r="H12">
        <v>4047416</v>
      </c>
      <c r="I12">
        <v>4351671</v>
      </c>
      <c r="J12" t="s">
        <v>2</v>
      </c>
      <c r="K12" t="s">
        <v>2</v>
      </c>
      <c r="L12" t="s">
        <v>2</v>
      </c>
      <c r="M12" t="s">
        <v>2</v>
      </c>
      <c r="N12" t="s">
        <v>60</v>
      </c>
      <c r="O12" t="s">
        <v>335</v>
      </c>
      <c r="P12" t="s">
        <v>335</v>
      </c>
      <c r="Q12" t="s">
        <v>335</v>
      </c>
      <c r="R12" t="s">
        <v>335</v>
      </c>
      <c r="S12" t="s">
        <v>335</v>
      </c>
    </row>
    <row r="13" spans="1:19" x14ac:dyDescent="0.25">
      <c r="A13" s="17">
        <v>46022</v>
      </c>
      <c r="B13" t="s">
        <v>133</v>
      </c>
      <c r="C13" t="s">
        <v>134</v>
      </c>
      <c r="D13" t="s">
        <v>262</v>
      </c>
      <c r="E13">
        <v>4193273</v>
      </c>
      <c r="F13" s="18">
        <v>100</v>
      </c>
      <c r="G13" t="s">
        <v>336</v>
      </c>
      <c r="H13">
        <v>4193273</v>
      </c>
      <c r="I13" t="s">
        <v>331</v>
      </c>
      <c r="J13" t="s">
        <v>2</v>
      </c>
      <c r="K13" t="s">
        <v>2</v>
      </c>
      <c r="L13" t="s">
        <v>2</v>
      </c>
      <c r="M13" t="s">
        <v>2</v>
      </c>
      <c r="N13" t="s">
        <v>337</v>
      </c>
      <c r="O13" t="s">
        <v>2</v>
      </c>
      <c r="P13" t="s">
        <v>2</v>
      </c>
      <c r="Q13" t="s">
        <v>2</v>
      </c>
      <c r="R13" t="s">
        <v>2</v>
      </c>
      <c r="S13" t="s">
        <v>51</v>
      </c>
    </row>
    <row r="14" spans="1:19" x14ac:dyDescent="0.25">
      <c r="A14" s="17">
        <v>46022</v>
      </c>
      <c r="B14" t="s">
        <v>69</v>
      </c>
      <c r="C14" t="s">
        <v>70</v>
      </c>
      <c r="D14" t="s">
        <v>263</v>
      </c>
      <c r="E14">
        <v>4351260</v>
      </c>
      <c r="F14" s="18">
        <v>100</v>
      </c>
      <c r="G14" t="s">
        <v>338</v>
      </c>
      <c r="H14">
        <v>4351260</v>
      </c>
      <c r="I14" t="s">
        <v>331</v>
      </c>
      <c r="J14" t="s">
        <v>2</v>
      </c>
      <c r="K14" t="s">
        <v>2</v>
      </c>
      <c r="L14" t="s">
        <v>2</v>
      </c>
      <c r="M14" t="s">
        <v>2</v>
      </c>
      <c r="N14" t="s">
        <v>71</v>
      </c>
      <c r="O14" t="s">
        <v>2</v>
      </c>
      <c r="P14" t="s">
        <v>2</v>
      </c>
      <c r="Q14" t="s">
        <v>2</v>
      </c>
      <c r="R14" t="s">
        <v>2</v>
      </c>
      <c r="S14" t="s">
        <v>51</v>
      </c>
    </row>
    <row r="15" spans="1:19" x14ac:dyDescent="0.25">
      <c r="A15" s="17">
        <v>46022</v>
      </c>
      <c r="B15" t="s">
        <v>135</v>
      </c>
      <c r="C15" t="s">
        <v>136</v>
      </c>
      <c r="D15" t="s">
        <v>264</v>
      </c>
      <c r="E15">
        <v>4264043</v>
      </c>
      <c r="F15" s="18">
        <v>100</v>
      </c>
      <c r="G15" t="s">
        <v>339</v>
      </c>
      <c r="H15">
        <v>4264043</v>
      </c>
      <c r="I15" t="s">
        <v>331</v>
      </c>
      <c r="J15" t="s">
        <v>2</v>
      </c>
      <c r="K15" t="s">
        <v>2</v>
      </c>
      <c r="L15" t="s">
        <v>2</v>
      </c>
      <c r="M15" t="s">
        <v>2</v>
      </c>
      <c r="N15" t="s">
        <v>65</v>
      </c>
      <c r="O15" t="s">
        <v>2</v>
      </c>
      <c r="P15" t="s">
        <v>2</v>
      </c>
      <c r="Q15" t="s">
        <v>2</v>
      </c>
      <c r="R15" t="s">
        <v>2</v>
      </c>
      <c r="S15" t="s">
        <v>51</v>
      </c>
    </row>
    <row r="16" spans="1:19" x14ac:dyDescent="0.25">
      <c r="A16" s="17">
        <v>46022</v>
      </c>
      <c r="B16" t="s">
        <v>91</v>
      </c>
      <c r="C16" t="s">
        <v>92</v>
      </c>
      <c r="D16" t="s">
        <v>264</v>
      </c>
      <c r="E16">
        <v>4264043</v>
      </c>
      <c r="F16" s="18">
        <v>100</v>
      </c>
      <c r="G16" t="s">
        <v>339</v>
      </c>
      <c r="H16">
        <v>4264043</v>
      </c>
      <c r="I16" t="s">
        <v>331</v>
      </c>
      <c r="J16" t="s">
        <v>2</v>
      </c>
      <c r="K16" t="s">
        <v>2</v>
      </c>
      <c r="L16" t="s">
        <v>2</v>
      </c>
      <c r="M16" t="s">
        <v>2</v>
      </c>
      <c r="N16" t="s">
        <v>65</v>
      </c>
      <c r="O16" t="s">
        <v>2</v>
      </c>
      <c r="P16" t="s">
        <v>2</v>
      </c>
      <c r="Q16" t="s">
        <v>2</v>
      </c>
      <c r="R16" t="s">
        <v>2</v>
      </c>
      <c r="S16" t="s">
        <v>51</v>
      </c>
    </row>
    <row r="17" spans="1:19" x14ac:dyDescent="0.25">
      <c r="A17" s="17">
        <v>46022</v>
      </c>
      <c r="B17" t="s">
        <v>137</v>
      </c>
      <c r="C17" t="s">
        <v>138</v>
      </c>
      <c r="D17" t="s">
        <v>265</v>
      </c>
      <c r="E17">
        <v>138058646</v>
      </c>
      <c r="F17" s="18">
        <v>99.94</v>
      </c>
      <c r="G17" t="s">
        <v>340</v>
      </c>
      <c r="H17">
        <v>138058646</v>
      </c>
      <c r="I17">
        <v>4352468</v>
      </c>
      <c r="J17" t="s">
        <v>2</v>
      </c>
      <c r="K17" t="s">
        <v>2</v>
      </c>
      <c r="L17" t="s">
        <v>2</v>
      </c>
      <c r="M17" t="s">
        <v>2</v>
      </c>
      <c r="N17" t="s">
        <v>341</v>
      </c>
      <c r="O17" t="s">
        <v>2</v>
      </c>
      <c r="P17" t="s">
        <v>2</v>
      </c>
      <c r="Q17" t="s">
        <v>2</v>
      </c>
      <c r="R17" t="s">
        <v>2</v>
      </c>
      <c r="S17" t="s">
        <v>139</v>
      </c>
    </row>
    <row r="18" spans="1:19" x14ac:dyDescent="0.25">
      <c r="A18" s="17">
        <v>46022</v>
      </c>
      <c r="B18" t="s">
        <v>137</v>
      </c>
      <c r="C18" t="s">
        <v>138</v>
      </c>
      <c r="D18" t="s">
        <v>266</v>
      </c>
      <c r="E18">
        <v>4352468</v>
      </c>
      <c r="F18" s="18">
        <v>0.06</v>
      </c>
      <c r="G18" t="s">
        <v>340</v>
      </c>
      <c r="H18">
        <v>138058646</v>
      </c>
      <c r="I18">
        <v>4352468</v>
      </c>
      <c r="J18" t="s">
        <v>2</v>
      </c>
      <c r="K18" t="s">
        <v>2</v>
      </c>
      <c r="L18" t="s">
        <v>2</v>
      </c>
      <c r="M18" t="s">
        <v>2</v>
      </c>
      <c r="N18" t="s">
        <v>341</v>
      </c>
      <c r="O18" t="s">
        <v>2</v>
      </c>
      <c r="P18" t="s">
        <v>2</v>
      </c>
      <c r="Q18" t="s">
        <v>2</v>
      </c>
      <c r="R18" t="s">
        <v>2</v>
      </c>
      <c r="S18" t="s">
        <v>139</v>
      </c>
    </row>
    <row r="19" spans="1:19" x14ac:dyDescent="0.25">
      <c r="A19" s="17">
        <v>46022</v>
      </c>
      <c r="B19" t="s">
        <v>52</v>
      </c>
      <c r="C19" t="s">
        <v>53</v>
      </c>
      <c r="D19" t="s">
        <v>262</v>
      </c>
      <c r="E19">
        <v>4193273</v>
      </c>
      <c r="F19" s="18">
        <v>100</v>
      </c>
      <c r="G19" t="s">
        <v>336</v>
      </c>
      <c r="H19">
        <v>4193273</v>
      </c>
      <c r="I19" t="s">
        <v>331</v>
      </c>
      <c r="J19" t="s">
        <v>2</v>
      </c>
      <c r="K19" t="s">
        <v>2</v>
      </c>
      <c r="L19" t="s">
        <v>2</v>
      </c>
      <c r="M19" t="s">
        <v>2</v>
      </c>
      <c r="N19" t="s">
        <v>337</v>
      </c>
      <c r="O19" t="s">
        <v>2</v>
      </c>
      <c r="P19" t="s">
        <v>2</v>
      </c>
      <c r="Q19" t="s">
        <v>2</v>
      </c>
      <c r="R19" t="s">
        <v>2</v>
      </c>
      <c r="S19" t="s">
        <v>51</v>
      </c>
    </row>
    <row r="20" spans="1:19" x14ac:dyDescent="0.25">
      <c r="A20" s="17">
        <v>46022</v>
      </c>
      <c r="B20" t="s">
        <v>55</v>
      </c>
      <c r="C20" t="s">
        <v>56</v>
      </c>
      <c r="D20" t="s">
        <v>267</v>
      </c>
      <c r="E20">
        <v>4351931</v>
      </c>
      <c r="F20" s="18">
        <v>100</v>
      </c>
      <c r="G20" t="s">
        <v>342</v>
      </c>
      <c r="H20">
        <v>4354713</v>
      </c>
      <c r="I20" t="s">
        <v>331</v>
      </c>
      <c r="J20" t="s">
        <v>2</v>
      </c>
      <c r="K20" t="s">
        <v>2</v>
      </c>
      <c r="L20" t="s">
        <v>2</v>
      </c>
      <c r="M20" t="s">
        <v>2</v>
      </c>
      <c r="N20" t="s">
        <v>343</v>
      </c>
      <c r="O20" t="s">
        <v>2</v>
      </c>
      <c r="P20" t="s">
        <v>2</v>
      </c>
      <c r="Q20" t="s">
        <v>2</v>
      </c>
      <c r="R20" t="s">
        <v>2</v>
      </c>
      <c r="S20" t="s">
        <v>51</v>
      </c>
    </row>
    <row r="21" spans="1:19" x14ac:dyDescent="0.25">
      <c r="A21" s="17">
        <v>46022</v>
      </c>
      <c r="B21" t="s">
        <v>140</v>
      </c>
      <c r="C21" t="s">
        <v>141</v>
      </c>
      <c r="D21" t="s">
        <v>258</v>
      </c>
      <c r="E21">
        <v>4355482</v>
      </c>
      <c r="F21" s="18">
        <v>100</v>
      </c>
      <c r="G21" t="s">
        <v>330</v>
      </c>
      <c r="H21">
        <v>4355482</v>
      </c>
      <c r="I21" t="s">
        <v>331</v>
      </c>
      <c r="J21" t="s">
        <v>332</v>
      </c>
      <c r="K21" t="s">
        <v>51</v>
      </c>
      <c r="L21" t="s">
        <v>332</v>
      </c>
      <c r="M21" t="s">
        <v>51</v>
      </c>
      <c r="N21" t="s">
        <v>51</v>
      </c>
      <c r="O21" t="s">
        <v>2</v>
      </c>
      <c r="P21" t="s">
        <v>2</v>
      </c>
      <c r="Q21" t="s">
        <v>2</v>
      </c>
      <c r="R21" t="s">
        <v>2</v>
      </c>
      <c r="S21" t="s">
        <v>51</v>
      </c>
    </row>
    <row r="22" spans="1:19" x14ac:dyDescent="0.25">
      <c r="A22" s="17">
        <v>46022</v>
      </c>
      <c r="B22" t="s">
        <v>142</v>
      </c>
      <c r="C22" t="s">
        <v>143</v>
      </c>
      <c r="D22" t="s">
        <v>264</v>
      </c>
      <c r="E22">
        <v>4264043</v>
      </c>
      <c r="F22" s="18">
        <v>100</v>
      </c>
      <c r="G22" t="s">
        <v>339</v>
      </c>
      <c r="H22">
        <v>4264043</v>
      </c>
      <c r="I22" t="s">
        <v>331</v>
      </c>
      <c r="J22" t="s">
        <v>2</v>
      </c>
      <c r="K22" t="s">
        <v>2</v>
      </c>
      <c r="L22" t="s">
        <v>2</v>
      </c>
      <c r="M22" t="s">
        <v>2</v>
      </c>
      <c r="N22" t="s">
        <v>65</v>
      </c>
      <c r="O22" t="s">
        <v>2</v>
      </c>
      <c r="P22" t="s">
        <v>2</v>
      </c>
      <c r="Q22" t="s">
        <v>2</v>
      </c>
      <c r="R22" t="s">
        <v>2</v>
      </c>
      <c r="S22" t="s">
        <v>51</v>
      </c>
    </row>
    <row r="23" spans="1:19" x14ac:dyDescent="0.25">
      <c r="A23" s="17">
        <v>46022</v>
      </c>
      <c r="B23" t="s">
        <v>144</v>
      </c>
      <c r="C23" t="s">
        <v>145</v>
      </c>
      <c r="D23" t="s">
        <v>268</v>
      </c>
      <c r="E23">
        <v>28696936</v>
      </c>
      <c r="F23" s="18">
        <v>95</v>
      </c>
      <c r="G23" t="s">
        <v>344</v>
      </c>
      <c r="H23">
        <v>28696936</v>
      </c>
      <c r="I23">
        <v>4500088</v>
      </c>
      <c r="J23" t="s">
        <v>2</v>
      </c>
      <c r="K23" t="s">
        <v>2</v>
      </c>
      <c r="L23" t="s">
        <v>2</v>
      </c>
      <c r="M23" t="s">
        <v>2</v>
      </c>
      <c r="N23" t="s">
        <v>345</v>
      </c>
      <c r="O23" t="s">
        <v>2</v>
      </c>
      <c r="P23" t="s">
        <v>2</v>
      </c>
      <c r="Q23" t="s">
        <v>2</v>
      </c>
      <c r="R23" t="s">
        <v>2</v>
      </c>
      <c r="S23" t="s">
        <v>345</v>
      </c>
    </row>
    <row r="24" spans="1:19" x14ac:dyDescent="0.25">
      <c r="A24" s="17">
        <v>46022</v>
      </c>
      <c r="B24" t="s">
        <v>144</v>
      </c>
      <c r="C24" t="s">
        <v>145</v>
      </c>
      <c r="D24" t="s">
        <v>269</v>
      </c>
      <c r="E24">
        <v>4500088</v>
      </c>
      <c r="F24" s="18">
        <v>5</v>
      </c>
      <c r="G24" t="s">
        <v>344</v>
      </c>
      <c r="H24">
        <v>28696936</v>
      </c>
      <c r="I24">
        <v>4500088</v>
      </c>
      <c r="J24" t="s">
        <v>2</v>
      </c>
      <c r="K24" t="s">
        <v>2</v>
      </c>
      <c r="L24" t="s">
        <v>2</v>
      </c>
      <c r="M24" t="s">
        <v>2</v>
      </c>
      <c r="N24" t="s">
        <v>345</v>
      </c>
      <c r="O24" t="s">
        <v>2</v>
      </c>
      <c r="P24" t="s">
        <v>2</v>
      </c>
      <c r="Q24" t="s">
        <v>2</v>
      </c>
      <c r="R24" t="s">
        <v>2</v>
      </c>
      <c r="S24" t="s">
        <v>345</v>
      </c>
    </row>
    <row r="25" spans="1:19" x14ac:dyDescent="0.25">
      <c r="A25" s="17">
        <v>46022</v>
      </c>
      <c r="B25" t="s">
        <v>58</v>
      </c>
      <c r="C25" t="s">
        <v>59</v>
      </c>
      <c r="D25" t="s">
        <v>270</v>
      </c>
      <c r="E25">
        <v>4557435</v>
      </c>
      <c r="F25" s="18">
        <v>100</v>
      </c>
      <c r="G25" t="s">
        <v>2</v>
      </c>
      <c r="H25" t="s">
        <v>331</v>
      </c>
      <c r="I25" t="s">
        <v>331</v>
      </c>
      <c r="J25" t="s">
        <v>2</v>
      </c>
      <c r="K25" t="s">
        <v>2</v>
      </c>
      <c r="L25" t="s">
        <v>2</v>
      </c>
      <c r="M25" t="s">
        <v>2</v>
      </c>
      <c r="N25" t="s">
        <v>51</v>
      </c>
      <c r="O25" t="s">
        <v>2</v>
      </c>
      <c r="P25" t="s">
        <v>2</v>
      </c>
      <c r="Q25" t="s">
        <v>2</v>
      </c>
      <c r="R25" t="s">
        <v>2</v>
      </c>
      <c r="S25" t="s">
        <v>51</v>
      </c>
    </row>
    <row r="26" spans="1:19" x14ac:dyDescent="0.25">
      <c r="A26" s="17">
        <v>46022</v>
      </c>
      <c r="B26" t="s">
        <v>146</v>
      </c>
      <c r="C26" t="s">
        <v>147</v>
      </c>
      <c r="D26" t="s">
        <v>271</v>
      </c>
      <c r="E26">
        <v>4360792</v>
      </c>
      <c r="F26" s="18">
        <v>100</v>
      </c>
      <c r="G26" t="s">
        <v>2</v>
      </c>
      <c r="H26" t="s">
        <v>331</v>
      </c>
      <c r="I26" t="s">
        <v>331</v>
      </c>
      <c r="J26" t="s">
        <v>2</v>
      </c>
      <c r="K26" t="s">
        <v>2</v>
      </c>
      <c r="L26" t="s">
        <v>2</v>
      </c>
      <c r="M26" t="s">
        <v>2</v>
      </c>
      <c r="N26" t="s">
        <v>51</v>
      </c>
      <c r="O26" t="s">
        <v>2</v>
      </c>
      <c r="P26" t="s">
        <v>2</v>
      </c>
      <c r="Q26" t="s">
        <v>2</v>
      </c>
      <c r="R26" t="s">
        <v>2</v>
      </c>
      <c r="S26" t="s">
        <v>51</v>
      </c>
    </row>
    <row r="27" spans="1:19" x14ac:dyDescent="0.25">
      <c r="A27" s="17">
        <v>46022</v>
      </c>
      <c r="B27" t="s">
        <v>72</v>
      </c>
      <c r="C27" t="s">
        <v>73</v>
      </c>
      <c r="D27" t="s">
        <v>272</v>
      </c>
      <c r="E27">
        <v>4351190</v>
      </c>
      <c r="F27" s="18">
        <v>87</v>
      </c>
      <c r="G27" t="s">
        <v>346</v>
      </c>
      <c r="H27">
        <v>4351190</v>
      </c>
      <c r="I27">
        <v>4353456</v>
      </c>
      <c r="J27" t="s">
        <v>2</v>
      </c>
      <c r="K27" t="s">
        <v>2</v>
      </c>
      <c r="L27" t="s">
        <v>2</v>
      </c>
      <c r="M27" t="s">
        <v>2</v>
      </c>
      <c r="N27" t="s">
        <v>65</v>
      </c>
      <c r="O27" t="s">
        <v>2</v>
      </c>
      <c r="P27" t="s">
        <v>2</v>
      </c>
      <c r="Q27" t="s">
        <v>2</v>
      </c>
      <c r="R27" t="s">
        <v>2</v>
      </c>
      <c r="S27" t="s">
        <v>51</v>
      </c>
    </row>
    <row r="28" spans="1:19" x14ac:dyDescent="0.25">
      <c r="A28" s="17">
        <v>46022</v>
      </c>
      <c r="B28" t="s">
        <v>72</v>
      </c>
      <c r="C28" t="s">
        <v>73</v>
      </c>
      <c r="D28" t="s">
        <v>273</v>
      </c>
      <c r="E28">
        <v>4353456</v>
      </c>
      <c r="F28" s="18">
        <v>13</v>
      </c>
      <c r="G28" t="s">
        <v>346</v>
      </c>
      <c r="H28">
        <v>4351190</v>
      </c>
      <c r="I28">
        <v>4353456</v>
      </c>
      <c r="J28" t="s">
        <v>2</v>
      </c>
      <c r="K28" t="s">
        <v>2</v>
      </c>
      <c r="L28" t="s">
        <v>2</v>
      </c>
      <c r="M28" t="s">
        <v>2</v>
      </c>
      <c r="N28" t="s">
        <v>65</v>
      </c>
      <c r="O28" t="s">
        <v>2</v>
      </c>
      <c r="P28" t="s">
        <v>2</v>
      </c>
      <c r="Q28" t="s">
        <v>2</v>
      </c>
      <c r="R28" t="s">
        <v>2</v>
      </c>
      <c r="S28" t="s">
        <v>51</v>
      </c>
    </row>
    <row r="29" spans="1:19" x14ac:dyDescent="0.25">
      <c r="A29" s="17">
        <v>46022</v>
      </c>
      <c r="B29" t="s">
        <v>61</v>
      </c>
      <c r="C29" t="s">
        <v>62</v>
      </c>
      <c r="D29" t="s">
        <v>274</v>
      </c>
      <c r="E29">
        <v>4351437</v>
      </c>
      <c r="F29" s="18">
        <v>100</v>
      </c>
      <c r="G29" t="s">
        <v>347</v>
      </c>
      <c r="H29">
        <v>4351437</v>
      </c>
      <c r="I29" t="s">
        <v>331</v>
      </c>
      <c r="J29" t="s">
        <v>348</v>
      </c>
      <c r="K29" t="s">
        <v>51</v>
      </c>
      <c r="L29" t="s">
        <v>348</v>
      </c>
      <c r="M29" t="s">
        <v>51</v>
      </c>
      <c r="N29" t="s">
        <v>51</v>
      </c>
      <c r="O29" t="s">
        <v>2</v>
      </c>
      <c r="P29" t="s">
        <v>2</v>
      </c>
      <c r="Q29" t="s">
        <v>2</v>
      </c>
      <c r="R29" t="s">
        <v>2</v>
      </c>
      <c r="S29" t="s">
        <v>51</v>
      </c>
    </row>
    <row r="30" spans="1:19" x14ac:dyDescent="0.25">
      <c r="A30" s="17">
        <v>46022</v>
      </c>
      <c r="B30" t="s">
        <v>74</v>
      </c>
      <c r="C30" t="s">
        <v>75</v>
      </c>
      <c r="D30" t="s">
        <v>258</v>
      </c>
      <c r="E30">
        <v>4355482</v>
      </c>
      <c r="F30" s="18">
        <v>100</v>
      </c>
      <c r="G30" t="s">
        <v>330</v>
      </c>
      <c r="H30">
        <v>4355482</v>
      </c>
      <c r="I30" t="s">
        <v>331</v>
      </c>
      <c r="J30" t="s">
        <v>332</v>
      </c>
      <c r="K30" t="s">
        <v>51</v>
      </c>
      <c r="L30" t="s">
        <v>332</v>
      </c>
      <c r="M30" t="s">
        <v>51</v>
      </c>
      <c r="N30" t="s">
        <v>51</v>
      </c>
      <c r="O30" t="s">
        <v>2</v>
      </c>
      <c r="P30" t="s">
        <v>2</v>
      </c>
      <c r="Q30" t="s">
        <v>2</v>
      </c>
      <c r="R30" t="s">
        <v>2</v>
      </c>
      <c r="S30" t="s">
        <v>51</v>
      </c>
    </row>
    <row r="31" spans="1:19" x14ac:dyDescent="0.25">
      <c r="A31" s="17">
        <v>46022</v>
      </c>
      <c r="B31" t="s">
        <v>168</v>
      </c>
      <c r="C31" t="s">
        <v>169</v>
      </c>
      <c r="D31" t="s">
        <v>275</v>
      </c>
      <c r="E31">
        <v>4348654</v>
      </c>
      <c r="F31" s="18">
        <v>100</v>
      </c>
      <c r="G31" t="s">
        <v>349</v>
      </c>
      <c r="H31">
        <v>4348654</v>
      </c>
      <c r="I31" t="s">
        <v>331</v>
      </c>
      <c r="J31" t="s">
        <v>2</v>
      </c>
      <c r="K31" t="s">
        <v>2</v>
      </c>
      <c r="L31" t="s">
        <v>2</v>
      </c>
      <c r="M31" t="s">
        <v>2</v>
      </c>
      <c r="N31" t="s">
        <v>350</v>
      </c>
      <c r="O31" t="s">
        <v>2</v>
      </c>
      <c r="P31" t="s">
        <v>2</v>
      </c>
      <c r="Q31" t="s">
        <v>2</v>
      </c>
      <c r="R31" t="s">
        <v>2</v>
      </c>
      <c r="S31" t="s">
        <v>51</v>
      </c>
    </row>
    <row r="32" spans="1:19" x14ac:dyDescent="0.25">
      <c r="A32" s="17">
        <v>46022</v>
      </c>
      <c r="B32" t="s">
        <v>63</v>
      </c>
      <c r="C32" t="s">
        <v>64</v>
      </c>
      <c r="D32" t="s">
        <v>276</v>
      </c>
      <c r="E32">
        <v>4379789</v>
      </c>
      <c r="F32" s="18">
        <v>100</v>
      </c>
      <c r="G32" t="s">
        <v>351</v>
      </c>
      <c r="H32">
        <v>4379789</v>
      </c>
      <c r="I32" t="s">
        <v>331</v>
      </c>
      <c r="J32" t="s">
        <v>2</v>
      </c>
      <c r="K32" t="s">
        <v>2</v>
      </c>
      <c r="L32" t="s">
        <v>2</v>
      </c>
      <c r="M32" t="s">
        <v>2</v>
      </c>
      <c r="N32" t="s">
        <v>65</v>
      </c>
      <c r="O32" t="s">
        <v>2</v>
      </c>
      <c r="P32" t="s">
        <v>2</v>
      </c>
      <c r="Q32" t="s">
        <v>2</v>
      </c>
      <c r="R32" t="s">
        <v>2</v>
      </c>
      <c r="S32" t="s">
        <v>51</v>
      </c>
    </row>
    <row r="33" spans="1:19" x14ac:dyDescent="0.25">
      <c r="A33" s="17">
        <v>46022</v>
      </c>
      <c r="B33" t="s">
        <v>66</v>
      </c>
      <c r="C33" t="s">
        <v>67</v>
      </c>
      <c r="D33" t="s">
        <v>277</v>
      </c>
      <c r="E33">
        <v>4223919</v>
      </c>
      <c r="F33" s="18">
        <v>100</v>
      </c>
      <c r="G33" t="s">
        <v>352</v>
      </c>
      <c r="H33">
        <v>4223919</v>
      </c>
      <c r="I33" t="s">
        <v>331</v>
      </c>
      <c r="J33" t="s">
        <v>2</v>
      </c>
      <c r="K33" t="s">
        <v>2</v>
      </c>
      <c r="L33" t="s">
        <v>2</v>
      </c>
      <c r="M33" t="s">
        <v>2</v>
      </c>
      <c r="N33" t="s">
        <v>54</v>
      </c>
      <c r="O33" t="s">
        <v>2</v>
      </c>
      <c r="P33" t="s">
        <v>2</v>
      </c>
      <c r="Q33" t="s">
        <v>2</v>
      </c>
      <c r="R33" t="s">
        <v>2</v>
      </c>
      <c r="S33" t="s">
        <v>51</v>
      </c>
    </row>
    <row r="34" spans="1:19" x14ac:dyDescent="0.25">
      <c r="A34" s="17">
        <v>46022</v>
      </c>
      <c r="B34" t="s">
        <v>101</v>
      </c>
      <c r="C34" t="s">
        <v>102</v>
      </c>
      <c r="D34" t="s">
        <v>278</v>
      </c>
      <c r="E34">
        <v>4351200</v>
      </c>
      <c r="F34" s="18">
        <v>19.36</v>
      </c>
      <c r="G34" t="s">
        <v>353</v>
      </c>
      <c r="H34">
        <v>4379789</v>
      </c>
      <c r="I34">
        <v>4351200</v>
      </c>
      <c r="J34" t="s">
        <v>2</v>
      </c>
      <c r="K34" t="s">
        <v>2</v>
      </c>
      <c r="L34" t="s">
        <v>2</v>
      </c>
      <c r="M34" t="s">
        <v>2</v>
      </c>
      <c r="N34" t="s">
        <v>65</v>
      </c>
      <c r="O34" t="s">
        <v>354</v>
      </c>
      <c r="P34" t="s">
        <v>65</v>
      </c>
      <c r="Q34" t="s">
        <v>355</v>
      </c>
      <c r="R34" t="s">
        <v>65</v>
      </c>
      <c r="S34" t="s">
        <v>65</v>
      </c>
    </row>
    <row r="35" spans="1:19" x14ac:dyDescent="0.25">
      <c r="A35" s="17">
        <v>46022</v>
      </c>
      <c r="B35" t="s">
        <v>101</v>
      </c>
      <c r="C35" t="s">
        <v>102</v>
      </c>
      <c r="D35" t="s">
        <v>276</v>
      </c>
      <c r="E35">
        <v>4379789</v>
      </c>
      <c r="F35" s="18">
        <v>80.64</v>
      </c>
      <c r="G35" t="s">
        <v>353</v>
      </c>
      <c r="H35">
        <v>4379789</v>
      </c>
      <c r="I35">
        <v>4351200</v>
      </c>
      <c r="J35" t="s">
        <v>2</v>
      </c>
      <c r="K35" t="s">
        <v>2</v>
      </c>
      <c r="L35" t="s">
        <v>2</v>
      </c>
      <c r="M35" t="s">
        <v>2</v>
      </c>
      <c r="N35" t="s">
        <v>65</v>
      </c>
      <c r="O35" t="s">
        <v>354</v>
      </c>
      <c r="P35" t="s">
        <v>65</v>
      </c>
      <c r="Q35" t="s">
        <v>355</v>
      </c>
      <c r="R35" t="s">
        <v>65</v>
      </c>
      <c r="S35" t="s">
        <v>65</v>
      </c>
    </row>
    <row r="36" spans="1:19" x14ac:dyDescent="0.25">
      <c r="A36" s="17">
        <v>46022</v>
      </c>
      <c r="B36" t="s">
        <v>93</v>
      </c>
      <c r="C36" t="s">
        <v>94</v>
      </c>
      <c r="D36" t="s">
        <v>279</v>
      </c>
      <c r="E36">
        <v>4348597</v>
      </c>
      <c r="F36" s="18">
        <v>26.74</v>
      </c>
      <c r="G36" t="s">
        <v>356</v>
      </c>
      <c r="H36">
        <v>4351190</v>
      </c>
      <c r="I36">
        <v>4348597</v>
      </c>
      <c r="J36" t="s">
        <v>2</v>
      </c>
      <c r="K36" t="s">
        <v>2</v>
      </c>
      <c r="L36" t="s">
        <v>2</v>
      </c>
      <c r="M36" t="s">
        <v>2</v>
      </c>
      <c r="N36" t="s">
        <v>65</v>
      </c>
      <c r="O36" t="s">
        <v>357</v>
      </c>
      <c r="P36" t="s">
        <v>65</v>
      </c>
      <c r="Q36" t="s">
        <v>357</v>
      </c>
      <c r="R36" t="s">
        <v>65</v>
      </c>
      <c r="S36" t="s">
        <v>65</v>
      </c>
    </row>
    <row r="37" spans="1:19" x14ac:dyDescent="0.25">
      <c r="A37" s="17">
        <v>46022</v>
      </c>
      <c r="B37" t="s">
        <v>93</v>
      </c>
      <c r="C37" t="s">
        <v>94</v>
      </c>
      <c r="D37" t="s">
        <v>272</v>
      </c>
      <c r="E37">
        <v>4351190</v>
      </c>
      <c r="F37" s="18">
        <v>73.260000000000005</v>
      </c>
      <c r="G37" t="s">
        <v>356</v>
      </c>
      <c r="H37">
        <v>4351190</v>
      </c>
      <c r="I37">
        <v>4348597</v>
      </c>
      <c r="J37" t="s">
        <v>2</v>
      </c>
      <c r="K37" t="s">
        <v>2</v>
      </c>
      <c r="L37" t="s">
        <v>2</v>
      </c>
      <c r="M37" t="s">
        <v>2</v>
      </c>
      <c r="N37" t="s">
        <v>65</v>
      </c>
      <c r="O37" t="s">
        <v>357</v>
      </c>
      <c r="P37" t="s">
        <v>65</v>
      </c>
      <c r="Q37" t="s">
        <v>357</v>
      </c>
      <c r="R37" t="s">
        <v>65</v>
      </c>
      <c r="S37" t="s">
        <v>65</v>
      </c>
    </row>
    <row r="38" spans="1:19" x14ac:dyDescent="0.25">
      <c r="A38" s="17">
        <v>46022</v>
      </c>
      <c r="B38" t="s">
        <v>103</v>
      </c>
      <c r="C38" t="s">
        <v>104</v>
      </c>
      <c r="D38" t="s">
        <v>272</v>
      </c>
      <c r="E38">
        <v>4351190</v>
      </c>
      <c r="F38" s="18">
        <v>50</v>
      </c>
      <c r="G38" t="s">
        <v>358</v>
      </c>
      <c r="H38">
        <v>4351190</v>
      </c>
      <c r="I38">
        <v>4379789</v>
      </c>
      <c r="J38" t="s">
        <v>2</v>
      </c>
      <c r="K38" t="s">
        <v>2</v>
      </c>
      <c r="L38" t="s">
        <v>2</v>
      </c>
      <c r="M38" t="s">
        <v>2</v>
      </c>
      <c r="N38" t="s">
        <v>65</v>
      </c>
      <c r="O38" t="s">
        <v>2</v>
      </c>
      <c r="P38" t="s">
        <v>2</v>
      </c>
      <c r="Q38" t="s">
        <v>2</v>
      </c>
      <c r="R38" t="s">
        <v>2</v>
      </c>
      <c r="S38" t="s">
        <v>65</v>
      </c>
    </row>
    <row r="39" spans="1:19" x14ac:dyDescent="0.25">
      <c r="A39" s="17">
        <v>46022</v>
      </c>
      <c r="B39" t="s">
        <v>103</v>
      </c>
      <c r="C39" t="s">
        <v>104</v>
      </c>
      <c r="D39" t="s">
        <v>276</v>
      </c>
      <c r="E39">
        <v>4379789</v>
      </c>
      <c r="F39" s="18">
        <v>50</v>
      </c>
      <c r="G39" t="s">
        <v>358</v>
      </c>
      <c r="H39">
        <v>4351190</v>
      </c>
      <c r="I39">
        <v>4379789</v>
      </c>
      <c r="J39" t="s">
        <v>2</v>
      </c>
      <c r="K39" t="s">
        <v>2</v>
      </c>
      <c r="L39" t="s">
        <v>2</v>
      </c>
      <c r="M39" t="s">
        <v>2</v>
      </c>
      <c r="N39" t="s">
        <v>65</v>
      </c>
      <c r="O39" t="s">
        <v>2</v>
      </c>
      <c r="P39" t="s">
        <v>2</v>
      </c>
      <c r="Q39" t="s">
        <v>2</v>
      </c>
      <c r="R39" t="s">
        <v>2</v>
      </c>
      <c r="S39" t="s">
        <v>65</v>
      </c>
    </row>
    <row r="40" spans="1:19" x14ac:dyDescent="0.25">
      <c r="A40" s="17">
        <v>46022</v>
      </c>
      <c r="B40" t="s">
        <v>170</v>
      </c>
      <c r="C40" t="s">
        <v>171</v>
      </c>
      <c r="D40" t="s">
        <v>280</v>
      </c>
      <c r="E40">
        <v>4502042</v>
      </c>
      <c r="F40" s="18">
        <v>50</v>
      </c>
      <c r="G40" t="s">
        <v>359</v>
      </c>
      <c r="H40">
        <v>4102700</v>
      </c>
      <c r="I40">
        <v>4502042</v>
      </c>
      <c r="J40" t="s">
        <v>2</v>
      </c>
      <c r="K40" t="s">
        <v>2</v>
      </c>
      <c r="L40" t="s">
        <v>2</v>
      </c>
      <c r="M40" t="s">
        <v>2</v>
      </c>
      <c r="N40" t="s">
        <v>68</v>
      </c>
      <c r="O40" t="s">
        <v>2</v>
      </c>
      <c r="P40" t="s">
        <v>2</v>
      </c>
      <c r="Q40" t="s">
        <v>2</v>
      </c>
      <c r="R40" t="s">
        <v>2</v>
      </c>
      <c r="S40" t="s">
        <v>172</v>
      </c>
    </row>
    <row r="41" spans="1:19" x14ac:dyDescent="0.25">
      <c r="A41" s="17">
        <v>46022</v>
      </c>
      <c r="B41" t="s">
        <v>170</v>
      </c>
      <c r="C41" t="s">
        <v>171</v>
      </c>
      <c r="D41" t="s">
        <v>281</v>
      </c>
      <c r="E41">
        <v>4102700</v>
      </c>
      <c r="F41" s="18">
        <v>50</v>
      </c>
      <c r="G41" t="s">
        <v>359</v>
      </c>
      <c r="H41">
        <v>4102700</v>
      </c>
      <c r="I41">
        <v>4502042</v>
      </c>
      <c r="J41" t="s">
        <v>2</v>
      </c>
      <c r="K41" t="s">
        <v>2</v>
      </c>
      <c r="L41" t="s">
        <v>2</v>
      </c>
      <c r="M41" t="s">
        <v>2</v>
      </c>
      <c r="N41" t="s">
        <v>68</v>
      </c>
      <c r="O41" t="s">
        <v>2</v>
      </c>
      <c r="P41" t="s">
        <v>2</v>
      </c>
      <c r="Q41" t="s">
        <v>2</v>
      </c>
      <c r="R41" t="s">
        <v>2</v>
      </c>
      <c r="S41" t="s">
        <v>172</v>
      </c>
    </row>
    <row r="42" spans="1:19" x14ac:dyDescent="0.25">
      <c r="A42" s="17">
        <v>46022</v>
      </c>
      <c r="B42" t="s">
        <v>95</v>
      </c>
      <c r="C42" t="s">
        <v>96</v>
      </c>
      <c r="D42" t="s">
        <v>282</v>
      </c>
      <c r="E42">
        <v>4188197</v>
      </c>
      <c r="F42" s="18">
        <v>41.5</v>
      </c>
      <c r="G42" t="s">
        <v>360</v>
      </c>
      <c r="H42">
        <v>4348055</v>
      </c>
      <c r="I42">
        <v>4188197</v>
      </c>
      <c r="J42" t="s">
        <v>2</v>
      </c>
      <c r="K42" t="s">
        <v>2</v>
      </c>
      <c r="L42" t="s">
        <v>2</v>
      </c>
      <c r="M42" t="s">
        <v>2</v>
      </c>
      <c r="N42" t="s">
        <v>65</v>
      </c>
      <c r="O42" t="s">
        <v>2</v>
      </c>
      <c r="P42" t="s">
        <v>2</v>
      </c>
      <c r="Q42" t="s">
        <v>2</v>
      </c>
      <c r="R42" t="s">
        <v>2</v>
      </c>
      <c r="S42" t="s">
        <v>65</v>
      </c>
    </row>
    <row r="43" spans="1:19" x14ac:dyDescent="0.25">
      <c r="A43" s="17">
        <v>46022</v>
      </c>
      <c r="B43" t="s">
        <v>95</v>
      </c>
      <c r="C43" t="s">
        <v>96</v>
      </c>
      <c r="D43" t="s">
        <v>273</v>
      </c>
      <c r="E43">
        <v>4353456</v>
      </c>
      <c r="F43" s="18">
        <v>8.5</v>
      </c>
      <c r="G43" t="s">
        <v>360</v>
      </c>
      <c r="H43">
        <v>4348055</v>
      </c>
      <c r="I43">
        <v>4188197</v>
      </c>
      <c r="J43" t="s">
        <v>2</v>
      </c>
      <c r="K43" t="s">
        <v>2</v>
      </c>
      <c r="L43" t="s">
        <v>2</v>
      </c>
      <c r="M43" t="s">
        <v>2</v>
      </c>
      <c r="N43" t="s">
        <v>65</v>
      </c>
      <c r="O43" t="s">
        <v>2</v>
      </c>
      <c r="P43" t="s">
        <v>2</v>
      </c>
      <c r="Q43" t="s">
        <v>2</v>
      </c>
      <c r="R43" t="s">
        <v>2</v>
      </c>
      <c r="S43" t="s">
        <v>65</v>
      </c>
    </row>
    <row r="44" spans="1:19" x14ac:dyDescent="0.25">
      <c r="A44" s="17">
        <v>46022</v>
      </c>
      <c r="B44" t="s">
        <v>95</v>
      </c>
      <c r="C44" t="s">
        <v>96</v>
      </c>
      <c r="D44" t="s">
        <v>259</v>
      </c>
      <c r="E44">
        <v>4348055</v>
      </c>
      <c r="F44" s="18">
        <v>50</v>
      </c>
      <c r="G44" t="s">
        <v>360</v>
      </c>
      <c r="H44">
        <v>4348055</v>
      </c>
      <c r="I44">
        <v>4188197</v>
      </c>
      <c r="J44" t="s">
        <v>2</v>
      </c>
      <c r="K44" t="s">
        <v>2</v>
      </c>
      <c r="L44" t="s">
        <v>2</v>
      </c>
      <c r="M44" t="s">
        <v>2</v>
      </c>
      <c r="N44" t="s">
        <v>65</v>
      </c>
      <c r="O44" t="s">
        <v>2</v>
      </c>
      <c r="P44" t="s">
        <v>2</v>
      </c>
      <c r="Q44" t="s">
        <v>2</v>
      </c>
      <c r="R44" t="s">
        <v>2</v>
      </c>
      <c r="S44" t="s">
        <v>65</v>
      </c>
    </row>
    <row r="45" spans="1:19" x14ac:dyDescent="0.25">
      <c r="A45" s="17">
        <v>46022</v>
      </c>
      <c r="B45" t="s">
        <v>97</v>
      </c>
      <c r="C45" t="s">
        <v>98</v>
      </c>
      <c r="D45" t="s">
        <v>259</v>
      </c>
      <c r="E45">
        <v>4348055</v>
      </c>
      <c r="F45" s="18">
        <v>100</v>
      </c>
      <c r="G45" t="s">
        <v>333</v>
      </c>
      <c r="H45">
        <v>4348055</v>
      </c>
      <c r="I45" t="s">
        <v>331</v>
      </c>
      <c r="J45" t="s">
        <v>2</v>
      </c>
      <c r="K45" t="s">
        <v>2</v>
      </c>
      <c r="L45" t="s">
        <v>2</v>
      </c>
      <c r="M45" t="s">
        <v>2</v>
      </c>
      <c r="N45" t="s">
        <v>65</v>
      </c>
      <c r="O45" t="s">
        <v>2</v>
      </c>
      <c r="P45" t="s">
        <v>2</v>
      </c>
      <c r="Q45" t="s">
        <v>2</v>
      </c>
      <c r="R45" t="s">
        <v>2</v>
      </c>
      <c r="S45" t="s">
        <v>51</v>
      </c>
    </row>
    <row r="46" spans="1:19" x14ac:dyDescent="0.25">
      <c r="A46" s="17">
        <v>46022</v>
      </c>
      <c r="B46" t="s">
        <v>106</v>
      </c>
      <c r="C46" t="s">
        <v>107</v>
      </c>
      <c r="D46" t="s">
        <v>259</v>
      </c>
      <c r="E46">
        <v>4348055</v>
      </c>
      <c r="F46" s="18">
        <v>100</v>
      </c>
      <c r="G46" t="s">
        <v>333</v>
      </c>
      <c r="H46">
        <v>4348055</v>
      </c>
      <c r="I46" t="s">
        <v>331</v>
      </c>
      <c r="J46" t="s">
        <v>2</v>
      </c>
      <c r="K46" t="s">
        <v>2</v>
      </c>
      <c r="L46" t="s">
        <v>2</v>
      </c>
      <c r="M46" t="s">
        <v>2</v>
      </c>
      <c r="N46" t="s">
        <v>65</v>
      </c>
      <c r="O46" t="s">
        <v>2</v>
      </c>
      <c r="P46" t="s">
        <v>2</v>
      </c>
      <c r="Q46" t="s">
        <v>2</v>
      </c>
      <c r="R46" t="s">
        <v>2</v>
      </c>
      <c r="S46" t="s">
        <v>51</v>
      </c>
    </row>
    <row r="47" spans="1:19" x14ac:dyDescent="0.25">
      <c r="A47" s="17">
        <v>46022</v>
      </c>
      <c r="B47" t="s">
        <v>173</v>
      </c>
      <c r="C47" t="s">
        <v>174</v>
      </c>
      <c r="D47" t="s">
        <v>283</v>
      </c>
      <c r="E47">
        <v>4616696</v>
      </c>
      <c r="F47" s="18">
        <v>68</v>
      </c>
      <c r="G47" t="s">
        <v>361</v>
      </c>
      <c r="H47">
        <v>4616696</v>
      </c>
      <c r="I47">
        <v>4361447</v>
      </c>
      <c r="J47" t="s">
        <v>2</v>
      </c>
      <c r="K47" t="s">
        <v>2</v>
      </c>
      <c r="L47" t="s">
        <v>2</v>
      </c>
      <c r="M47" t="s">
        <v>2</v>
      </c>
      <c r="N47" t="s">
        <v>337</v>
      </c>
      <c r="O47" t="s">
        <v>348</v>
      </c>
      <c r="P47" t="s">
        <v>51</v>
      </c>
      <c r="Q47" t="s">
        <v>362</v>
      </c>
      <c r="R47" t="s">
        <v>343</v>
      </c>
      <c r="S47" t="s">
        <v>363</v>
      </c>
    </row>
    <row r="48" spans="1:19" x14ac:dyDescent="0.25">
      <c r="A48" s="17">
        <v>46022</v>
      </c>
      <c r="B48" t="s">
        <v>173</v>
      </c>
      <c r="C48" t="s">
        <v>174</v>
      </c>
      <c r="D48" t="s">
        <v>284</v>
      </c>
      <c r="E48">
        <v>4361447</v>
      </c>
      <c r="F48" s="18">
        <v>32</v>
      </c>
      <c r="G48" t="s">
        <v>361</v>
      </c>
      <c r="H48">
        <v>4616696</v>
      </c>
      <c r="I48">
        <v>4361447</v>
      </c>
      <c r="J48" t="s">
        <v>2</v>
      </c>
      <c r="K48" t="s">
        <v>2</v>
      </c>
      <c r="L48" t="s">
        <v>2</v>
      </c>
      <c r="M48" t="s">
        <v>2</v>
      </c>
      <c r="N48" t="s">
        <v>337</v>
      </c>
      <c r="O48" t="s">
        <v>348</v>
      </c>
      <c r="P48" t="s">
        <v>51</v>
      </c>
      <c r="Q48" t="s">
        <v>362</v>
      </c>
      <c r="R48" t="s">
        <v>343</v>
      </c>
      <c r="S48" t="s">
        <v>363</v>
      </c>
    </row>
    <row r="49" spans="1:19" x14ac:dyDescent="0.25">
      <c r="A49" s="17">
        <v>46022</v>
      </c>
      <c r="B49" t="s">
        <v>76</v>
      </c>
      <c r="C49" t="s">
        <v>77</v>
      </c>
      <c r="D49" t="s">
        <v>285</v>
      </c>
      <c r="E49">
        <v>4113732</v>
      </c>
      <c r="F49" s="18">
        <v>100</v>
      </c>
      <c r="G49" t="s">
        <v>364</v>
      </c>
      <c r="H49">
        <v>4113732</v>
      </c>
      <c r="I49" t="s">
        <v>331</v>
      </c>
      <c r="J49" t="s">
        <v>2</v>
      </c>
      <c r="K49" t="s">
        <v>2</v>
      </c>
      <c r="L49" t="s">
        <v>2</v>
      </c>
      <c r="M49" t="s">
        <v>2</v>
      </c>
      <c r="N49" t="s">
        <v>365</v>
      </c>
      <c r="O49" t="s">
        <v>2</v>
      </c>
      <c r="P49" t="s">
        <v>2</v>
      </c>
      <c r="Q49" t="s">
        <v>2</v>
      </c>
      <c r="R49" t="s">
        <v>2</v>
      </c>
      <c r="S49" t="s">
        <v>51</v>
      </c>
    </row>
    <row r="50" spans="1:19" x14ac:dyDescent="0.25">
      <c r="A50" s="17">
        <v>46022</v>
      </c>
      <c r="B50" t="s">
        <v>78</v>
      </c>
      <c r="C50" t="s">
        <v>79</v>
      </c>
      <c r="D50" t="s">
        <v>286</v>
      </c>
      <c r="E50">
        <v>4352853</v>
      </c>
      <c r="F50" s="18">
        <v>100</v>
      </c>
      <c r="G50" t="s">
        <v>366</v>
      </c>
      <c r="H50">
        <v>4352853</v>
      </c>
      <c r="I50" t="s">
        <v>331</v>
      </c>
      <c r="J50" t="s">
        <v>2</v>
      </c>
      <c r="K50" t="s">
        <v>2</v>
      </c>
      <c r="L50" t="s">
        <v>2</v>
      </c>
      <c r="M50" t="s">
        <v>2</v>
      </c>
      <c r="N50" t="s">
        <v>80</v>
      </c>
      <c r="O50" t="s">
        <v>2</v>
      </c>
      <c r="P50" t="s">
        <v>2</v>
      </c>
      <c r="Q50" t="s">
        <v>2</v>
      </c>
      <c r="R50" t="s">
        <v>2</v>
      </c>
      <c r="S50" t="s">
        <v>51</v>
      </c>
    </row>
    <row r="51" spans="1:19" x14ac:dyDescent="0.25">
      <c r="A51" s="17">
        <v>46022</v>
      </c>
      <c r="B51" t="s">
        <v>81</v>
      </c>
      <c r="C51" t="s">
        <v>82</v>
      </c>
      <c r="D51" t="s">
        <v>287</v>
      </c>
      <c r="E51">
        <v>4351204</v>
      </c>
      <c r="F51" s="18">
        <v>100</v>
      </c>
      <c r="G51" t="s">
        <v>367</v>
      </c>
      <c r="H51">
        <v>4351204</v>
      </c>
      <c r="I51" t="s">
        <v>331</v>
      </c>
      <c r="J51" t="s">
        <v>2</v>
      </c>
      <c r="K51" t="s">
        <v>2</v>
      </c>
      <c r="L51" t="s">
        <v>2</v>
      </c>
      <c r="M51" t="s">
        <v>2</v>
      </c>
      <c r="N51" t="s">
        <v>71</v>
      </c>
      <c r="O51" t="s">
        <v>2</v>
      </c>
      <c r="P51" t="s">
        <v>2</v>
      </c>
      <c r="Q51" t="s">
        <v>2</v>
      </c>
      <c r="R51" t="s">
        <v>2</v>
      </c>
      <c r="S51" t="s">
        <v>51</v>
      </c>
    </row>
    <row r="52" spans="1:19" x14ac:dyDescent="0.25">
      <c r="A52" s="17">
        <v>46022</v>
      </c>
      <c r="B52" t="s">
        <v>108</v>
      </c>
      <c r="C52" t="s">
        <v>109</v>
      </c>
      <c r="D52" t="s">
        <v>288</v>
      </c>
      <c r="E52">
        <v>4237665</v>
      </c>
      <c r="F52" s="18">
        <v>100</v>
      </c>
      <c r="G52" t="s">
        <v>368</v>
      </c>
      <c r="H52">
        <v>4237665</v>
      </c>
      <c r="I52" t="s">
        <v>331</v>
      </c>
      <c r="J52" t="s">
        <v>2</v>
      </c>
      <c r="K52" t="s">
        <v>2</v>
      </c>
      <c r="L52" t="s">
        <v>2</v>
      </c>
      <c r="M52" t="s">
        <v>2</v>
      </c>
      <c r="N52" t="s">
        <v>60</v>
      </c>
      <c r="O52" t="s">
        <v>2</v>
      </c>
      <c r="P52" t="s">
        <v>2</v>
      </c>
      <c r="Q52" t="s">
        <v>2</v>
      </c>
      <c r="R52" t="s">
        <v>2</v>
      </c>
      <c r="S52" t="s">
        <v>51</v>
      </c>
    </row>
    <row r="53" spans="1:19" x14ac:dyDescent="0.25">
      <c r="A53" s="17">
        <v>46022</v>
      </c>
      <c r="B53" t="s">
        <v>110</v>
      </c>
      <c r="C53" t="s">
        <v>111</v>
      </c>
      <c r="D53" t="s">
        <v>277</v>
      </c>
      <c r="E53">
        <v>4223919</v>
      </c>
      <c r="F53" s="18">
        <v>100</v>
      </c>
      <c r="G53" t="s">
        <v>352</v>
      </c>
      <c r="H53">
        <v>4223919</v>
      </c>
      <c r="I53" t="s">
        <v>331</v>
      </c>
      <c r="J53" t="s">
        <v>2</v>
      </c>
      <c r="K53" t="s">
        <v>2</v>
      </c>
      <c r="L53" t="s">
        <v>2</v>
      </c>
      <c r="M53" t="s">
        <v>2</v>
      </c>
      <c r="N53" t="s">
        <v>54</v>
      </c>
      <c r="O53" t="s">
        <v>2</v>
      </c>
      <c r="P53" t="s">
        <v>2</v>
      </c>
      <c r="Q53" t="s">
        <v>2</v>
      </c>
      <c r="R53" t="s">
        <v>2</v>
      </c>
      <c r="S53" t="s">
        <v>51</v>
      </c>
    </row>
    <row r="54" spans="1:19" x14ac:dyDescent="0.25">
      <c r="A54" s="17">
        <v>46022</v>
      </c>
      <c r="B54" t="s">
        <v>175</v>
      </c>
      <c r="C54" t="s">
        <v>176</v>
      </c>
      <c r="D54" t="s">
        <v>277</v>
      </c>
      <c r="E54">
        <v>4223919</v>
      </c>
      <c r="F54" s="18">
        <v>100</v>
      </c>
      <c r="G54" t="s">
        <v>352</v>
      </c>
      <c r="H54">
        <v>4223919</v>
      </c>
      <c r="I54" t="s">
        <v>331</v>
      </c>
      <c r="J54" t="s">
        <v>2</v>
      </c>
      <c r="K54" t="s">
        <v>2</v>
      </c>
      <c r="L54" t="s">
        <v>2</v>
      </c>
      <c r="M54" t="s">
        <v>2</v>
      </c>
      <c r="N54" t="s">
        <v>54</v>
      </c>
      <c r="O54" t="s">
        <v>2</v>
      </c>
      <c r="P54" t="s">
        <v>2</v>
      </c>
      <c r="Q54" t="s">
        <v>2</v>
      </c>
      <c r="R54" t="s">
        <v>2</v>
      </c>
      <c r="S54" t="s">
        <v>51</v>
      </c>
    </row>
    <row r="55" spans="1:19" x14ac:dyDescent="0.25">
      <c r="A55" s="17">
        <v>46022</v>
      </c>
      <c r="B55" t="s">
        <v>99</v>
      </c>
      <c r="C55" t="s">
        <v>100</v>
      </c>
      <c r="D55" t="s">
        <v>289</v>
      </c>
      <c r="E55">
        <v>7971605</v>
      </c>
      <c r="F55" s="18">
        <v>100</v>
      </c>
      <c r="G55" t="s">
        <v>369</v>
      </c>
      <c r="H55">
        <v>7971605</v>
      </c>
      <c r="I55" t="s">
        <v>331</v>
      </c>
      <c r="J55" t="s">
        <v>2</v>
      </c>
      <c r="K55" t="s">
        <v>2</v>
      </c>
      <c r="L55" t="s">
        <v>2</v>
      </c>
      <c r="M55" t="s">
        <v>2</v>
      </c>
      <c r="N55" t="s">
        <v>337</v>
      </c>
      <c r="O55" t="s">
        <v>2</v>
      </c>
      <c r="P55" t="s">
        <v>2</v>
      </c>
      <c r="Q55" t="s">
        <v>2</v>
      </c>
      <c r="R55" t="s">
        <v>2</v>
      </c>
      <c r="S55" t="s">
        <v>51</v>
      </c>
    </row>
    <row r="56" spans="1:19" x14ac:dyDescent="0.25">
      <c r="A56" s="17">
        <v>46022</v>
      </c>
      <c r="B56" t="s">
        <v>177</v>
      </c>
      <c r="C56" t="s">
        <v>178</v>
      </c>
      <c r="D56" t="s">
        <v>290</v>
      </c>
      <c r="E56">
        <v>4353382</v>
      </c>
      <c r="F56" s="18">
        <v>100</v>
      </c>
      <c r="G56" t="s">
        <v>370</v>
      </c>
      <c r="H56">
        <v>4353382</v>
      </c>
      <c r="I56" t="s">
        <v>331</v>
      </c>
      <c r="J56" t="s">
        <v>2</v>
      </c>
      <c r="K56" t="s">
        <v>2</v>
      </c>
      <c r="L56" t="s">
        <v>2</v>
      </c>
      <c r="M56" t="s">
        <v>2</v>
      </c>
      <c r="N56" t="s">
        <v>371</v>
      </c>
      <c r="O56" t="s">
        <v>2</v>
      </c>
      <c r="P56" t="s">
        <v>2</v>
      </c>
      <c r="Q56" t="s">
        <v>2</v>
      </c>
      <c r="R56" t="s">
        <v>2</v>
      </c>
      <c r="S56" t="s">
        <v>51</v>
      </c>
    </row>
    <row r="57" spans="1:19" x14ac:dyDescent="0.25">
      <c r="A57" s="17">
        <v>46022</v>
      </c>
      <c r="B57" t="s">
        <v>179</v>
      </c>
      <c r="C57" t="s">
        <v>180</v>
      </c>
      <c r="D57" t="s">
        <v>291</v>
      </c>
      <c r="E57">
        <v>4239757</v>
      </c>
      <c r="F57" s="18">
        <v>8.3000000000000007</v>
      </c>
      <c r="G57" t="s">
        <v>372</v>
      </c>
      <c r="H57">
        <v>4379789</v>
      </c>
      <c r="I57">
        <v>4239757</v>
      </c>
      <c r="J57" t="s">
        <v>2</v>
      </c>
      <c r="K57" t="s">
        <v>2</v>
      </c>
      <c r="L57" t="s">
        <v>2</v>
      </c>
      <c r="M57" t="s">
        <v>2</v>
      </c>
      <c r="N57" t="s">
        <v>65</v>
      </c>
      <c r="O57" t="s">
        <v>2</v>
      </c>
      <c r="P57" t="s">
        <v>2</v>
      </c>
      <c r="Q57" t="s">
        <v>2</v>
      </c>
      <c r="R57" t="s">
        <v>2</v>
      </c>
      <c r="S57" t="s">
        <v>65</v>
      </c>
    </row>
    <row r="58" spans="1:19" x14ac:dyDescent="0.25">
      <c r="A58" s="17">
        <v>46022</v>
      </c>
      <c r="B58" t="s">
        <v>179</v>
      </c>
      <c r="C58" t="s">
        <v>180</v>
      </c>
      <c r="D58" t="s">
        <v>276</v>
      </c>
      <c r="E58">
        <v>4379789</v>
      </c>
      <c r="F58" s="18">
        <v>91.7</v>
      </c>
      <c r="G58" t="s">
        <v>372</v>
      </c>
      <c r="H58">
        <v>4379789</v>
      </c>
      <c r="I58">
        <v>4239757</v>
      </c>
      <c r="J58" t="s">
        <v>2</v>
      </c>
      <c r="K58" t="s">
        <v>2</v>
      </c>
      <c r="L58" t="s">
        <v>2</v>
      </c>
      <c r="M58" t="s">
        <v>2</v>
      </c>
      <c r="N58" t="s">
        <v>65</v>
      </c>
      <c r="O58" t="s">
        <v>2</v>
      </c>
      <c r="P58" t="s">
        <v>2</v>
      </c>
      <c r="Q58" t="s">
        <v>2</v>
      </c>
      <c r="R58" t="s">
        <v>2</v>
      </c>
      <c r="S58" t="s">
        <v>65</v>
      </c>
    </row>
    <row r="59" spans="1:19" x14ac:dyDescent="0.25">
      <c r="A59" s="17">
        <v>46022</v>
      </c>
      <c r="B59" t="s">
        <v>117</v>
      </c>
      <c r="C59" t="s">
        <v>118</v>
      </c>
      <c r="D59" t="s">
        <v>279</v>
      </c>
      <c r="E59">
        <v>4348597</v>
      </c>
      <c r="F59" s="18">
        <v>26</v>
      </c>
      <c r="G59" t="s">
        <v>373</v>
      </c>
      <c r="H59">
        <v>4351368</v>
      </c>
      <c r="I59">
        <v>4348597</v>
      </c>
      <c r="J59" t="s">
        <v>2</v>
      </c>
      <c r="K59" t="s">
        <v>2</v>
      </c>
      <c r="L59" t="s">
        <v>2</v>
      </c>
      <c r="M59" t="s">
        <v>2</v>
      </c>
      <c r="N59" t="s">
        <v>68</v>
      </c>
      <c r="O59" t="s">
        <v>357</v>
      </c>
      <c r="P59" t="s">
        <v>65</v>
      </c>
      <c r="Q59" t="s">
        <v>357</v>
      </c>
      <c r="R59" t="s">
        <v>65</v>
      </c>
      <c r="S59" t="s">
        <v>65</v>
      </c>
    </row>
    <row r="60" spans="1:19" x14ac:dyDescent="0.25">
      <c r="A60" s="17">
        <v>46022</v>
      </c>
      <c r="B60" t="s">
        <v>117</v>
      </c>
      <c r="C60" t="s">
        <v>118</v>
      </c>
      <c r="D60" t="s">
        <v>292</v>
      </c>
      <c r="E60">
        <v>4351368</v>
      </c>
      <c r="F60" s="18">
        <v>64</v>
      </c>
      <c r="G60" t="s">
        <v>373</v>
      </c>
      <c r="H60">
        <v>4351368</v>
      </c>
      <c r="I60">
        <v>4348597</v>
      </c>
      <c r="J60" t="s">
        <v>2</v>
      </c>
      <c r="K60" t="s">
        <v>2</v>
      </c>
      <c r="L60" t="s">
        <v>2</v>
      </c>
      <c r="M60" t="s">
        <v>2</v>
      </c>
      <c r="N60" t="s">
        <v>68</v>
      </c>
      <c r="O60" t="s">
        <v>357</v>
      </c>
      <c r="P60" t="s">
        <v>65</v>
      </c>
      <c r="Q60" t="s">
        <v>357</v>
      </c>
      <c r="R60" t="s">
        <v>65</v>
      </c>
      <c r="S60" t="s">
        <v>65</v>
      </c>
    </row>
    <row r="61" spans="1:19" x14ac:dyDescent="0.25">
      <c r="A61" s="17">
        <v>46022</v>
      </c>
      <c r="B61" t="s">
        <v>119</v>
      </c>
      <c r="C61" t="s">
        <v>120</v>
      </c>
      <c r="D61" t="s">
        <v>293</v>
      </c>
      <c r="E61">
        <v>4348047</v>
      </c>
      <c r="F61" s="18">
        <v>100</v>
      </c>
      <c r="G61" t="s">
        <v>374</v>
      </c>
      <c r="H61">
        <v>4348047</v>
      </c>
      <c r="I61">
        <v>109479372</v>
      </c>
      <c r="J61" t="s">
        <v>121</v>
      </c>
      <c r="K61" t="s">
        <v>121</v>
      </c>
      <c r="L61" t="s">
        <v>375</v>
      </c>
      <c r="M61" t="s">
        <v>121</v>
      </c>
      <c r="N61" t="s">
        <v>121</v>
      </c>
      <c r="O61" t="s">
        <v>376</v>
      </c>
      <c r="P61" t="s">
        <v>51</v>
      </c>
      <c r="Q61" t="s">
        <v>376</v>
      </c>
      <c r="R61" t="s">
        <v>51</v>
      </c>
      <c r="S61" t="s">
        <v>363</v>
      </c>
    </row>
    <row r="62" spans="1:19" x14ac:dyDescent="0.25">
      <c r="A62" s="17">
        <v>46022</v>
      </c>
      <c r="B62" t="s">
        <v>112</v>
      </c>
      <c r="C62" t="s">
        <v>113</v>
      </c>
      <c r="D62" t="s">
        <v>285</v>
      </c>
      <c r="E62">
        <v>4113732</v>
      </c>
      <c r="F62" s="18">
        <v>100</v>
      </c>
      <c r="G62" t="s">
        <v>364</v>
      </c>
      <c r="H62">
        <v>4113732</v>
      </c>
      <c r="I62" t="s">
        <v>331</v>
      </c>
      <c r="J62" t="s">
        <v>2</v>
      </c>
      <c r="K62" t="s">
        <v>2</v>
      </c>
      <c r="L62" t="s">
        <v>2</v>
      </c>
      <c r="M62" t="s">
        <v>2</v>
      </c>
      <c r="N62" t="s">
        <v>365</v>
      </c>
      <c r="O62" t="s">
        <v>2</v>
      </c>
      <c r="P62" t="s">
        <v>2</v>
      </c>
      <c r="Q62" t="s">
        <v>2</v>
      </c>
      <c r="R62" t="s">
        <v>2</v>
      </c>
      <c r="S62" t="s">
        <v>51</v>
      </c>
    </row>
    <row r="63" spans="1:19" x14ac:dyDescent="0.25">
      <c r="A63" s="17">
        <v>46022</v>
      </c>
      <c r="B63" t="s">
        <v>83</v>
      </c>
      <c r="C63" t="s">
        <v>84</v>
      </c>
      <c r="D63" t="s">
        <v>294</v>
      </c>
      <c r="E63">
        <v>4351435</v>
      </c>
      <c r="F63" s="18">
        <v>11.05</v>
      </c>
      <c r="G63" t="s">
        <v>377</v>
      </c>
      <c r="H63">
        <v>4352229</v>
      </c>
      <c r="I63">
        <v>4351435</v>
      </c>
      <c r="J63" t="s">
        <v>378</v>
      </c>
      <c r="K63" t="s">
        <v>51</v>
      </c>
      <c r="L63" t="s">
        <v>379</v>
      </c>
      <c r="M63" t="s">
        <v>51</v>
      </c>
      <c r="N63" t="s">
        <v>51</v>
      </c>
      <c r="O63" t="s">
        <v>2</v>
      </c>
      <c r="P63" t="s">
        <v>2</v>
      </c>
      <c r="Q63" t="s">
        <v>2</v>
      </c>
      <c r="R63" t="s">
        <v>2</v>
      </c>
      <c r="S63" t="s">
        <v>51</v>
      </c>
    </row>
    <row r="64" spans="1:19" x14ac:dyDescent="0.25">
      <c r="A64" s="17">
        <v>46022</v>
      </c>
      <c r="B64" t="s">
        <v>83</v>
      </c>
      <c r="C64" t="s">
        <v>84</v>
      </c>
      <c r="D64" t="s">
        <v>284</v>
      </c>
      <c r="E64">
        <v>4361447</v>
      </c>
      <c r="F64" s="18">
        <v>5.93</v>
      </c>
      <c r="G64" t="s">
        <v>377</v>
      </c>
      <c r="H64">
        <v>4352229</v>
      </c>
      <c r="I64">
        <v>4351435</v>
      </c>
      <c r="J64" t="s">
        <v>378</v>
      </c>
      <c r="K64" t="s">
        <v>51</v>
      </c>
      <c r="L64" t="s">
        <v>379</v>
      </c>
      <c r="M64" t="s">
        <v>51</v>
      </c>
      <c r="N64" t="s">
        <v>51</v>
      </c>
      <c r="O64" t="s">
        <v>2</v>
      </c>
      <c r="P64" t="s">
        <v>2</v>
      </c>
      <c r="Q64" t="s">
        <v>2</v>
      </c>
      <c r="R64" t="s">
        <v>2</v>
      </c>
      <c r="S64" t="s">
        <v>51</v>
      </c>
    </row>
    <row r="65" spans="1:19" x14ac:dyDescent="0.25">
      <c r="A65" s="17">
        <v>46022</v>
      </c>
      <c r="B65" t="s">
        <v>83</v>
      </c>
      <c r="C65" t="s">
        <v>84</v>
      </c>
      <c r="D65" t="s">
        <v>295</v>
      </c>
      <c r="E65">
        <v>4351456</v>
      </c>
      <c r="F65" s="18">
        <v>11.05</v>
      </c>
      <c r="G65" t="s">
        <v>377</v>
      </c>
      <c r="H65">
        <v>4352229</v>
      </c>
      <c r="I65">
        <v>4351435</v>
      </c>
      <c r="J65" t="s">
        <v>378</v>
      </c>
      <c r="K65" t="s">
        <v>51</v>
      </c>
      <c r="L65" t="s">
        <v>379</v>
      </c>
      <c r="M65" t="s">
        <v>51</v>
      </c>
      <c r="N65" t="s">
        <v>51</v>
      </c>
      <c r="O65" t="s">
        <v>2</v>
      </c>
      <c r="P65" t="s">
        <v>2</v>
      </c>
      <c r="Q65" t="s">
        <v>2</v>
      </c>
      <c r="R65" t="s">
        <v>2</v>
      </c>
      <c r="S65" t="s">
        <v>51</v>
      </c>
    </row>
    <row r="66" spans="1:19" x14ac:dyDescent="0.25">
      <c r="A66" s="17">
        <v>46022</v>
      </c>
      <c r="B66" t="s">
        <v>83</v>
      </c>
      <c r="C66" t="s">
        <v>84</v>
      </c>
      <c r="D66" t="s">
        <v>296</v>
      </c>
      <c r="E66">
        <v>4352229</v>
      </c>
      <c r="F66" s="18">
        <v>56.97</v>
      </c>
      <c r="G66" t="s">
        <v>377</v>
      </c>
      <c r="H66">
        <v>4352229</v>
      </c>
      <c r="I66">
        <v>4351435</v>
      </c>
      <c r="J66" t="s">
        <v>378</v>
      </c>
      <c r="K66" t="s">
        <v>51</v>
      </c>
      <c r="L66" t="s">
        <v>379</v>
      </c>
      <c r="M66" t="s">
        <v>51</v>
      </c>
      <c r="N66" t="s">
        <v>51</v>
      </c>
      <c r="O66" t="s">
        <v>2</v>
      </c>
      <c r="P66" t="s">
        <v>2</v>
      </c>
      <c r="Q66" t="s">
        <v>2</v>
      </c>
      <c r="R66" t="s">
        <v>2</v>
      </c>
      <c r="S66" t="s">
        <v>51</v>
      </c>
    </row>
    <row r="67" spans="1:19" x14ac:dyDescent="0.25">
      <c r="A67" s="17">
        <v>46022</v>
      </c>
      <c r="B67" t="s">
        <v>83</v>
      </c>
      <c r="C67" t="s">
        <v>84</v>
      </c>
      <c r="D67" t="s">
        <v>297</v>
      </c>
      <c r="E67">
        <v>4352437</v>
      </c>
      <c r="F67" s="18">
        <v>3.94</v>
      </c>
      <c r="G67" t="s">
        <v>377</v>
      </c>
      <c r="H67">
        <v>4352229</v>
      </c>
      <c r="I67">
        <v>4351435</v>
      </c>
      <c r="J67" t="s">
        <v>378</v>
      </c>
      <c r="K67" t="s">
        <v>51</v>
      </c>
      <c r="L67" t="s">
        <v>379</v>
      </c>
      <c r="M67" t="s">
        <v>51</v>
      </c>
      <c r="N67" t="s">
        <v>51</v>
      </c>
      <c r="O67" t="s">
        <v>2</v>
      </c>
      <c r="P67" t="s">
        <v>2</v>
      </c>
      <c r="Q67" t="s">
        <v>2</v>
      </c>
      <c r="R67" t="s">
        <v>2</v>
      </c>
      <c r="S67" t="s">
        <v>51</v>
      </c>
    </row>
    <row r="68" spans="1:19" x14ac:dyDescent="0.25">
      <c r="A68" s="17">
        <v>46022</v>
      </c>
      <c r="B68" t="s">
        <v>83</v>
      </c>
      <c r="C68" t="s">
        <v>84</v>
      </c>
      <c r="D68" t="s">
        <v>298</v>
      </c>
      <c r="E68">
        <v>19394423</v>
      </c>
      <c r="F68" s="18">
        <v>8.56</v>
      </c>
      <c r="G68" t="s">
        <v>377</v>
      </c>
      <c r="H68">
        <v>4352229</v>
      </c>
      <c r="I68">
        <v>4351435</v>
      </c>
      <c r="J68" t="s">
        <v>378</v>
      </c>
      <c r="K68" t="s">
        <v>51</v>
      </c>
      <c r="L68" t="s">
        <v>379</v>
      </c>
      <c r="M68" t="s">
        <v>51</v>
      </c>
      <c r="N68" t="s">
        <v>51</v>
      </c>
      <c r="O68" t="s">
        <v>2</v>
      </c>
      <c r="P68" t="s">
        <v>2</v>
      </c>
      <c r="Q68" t="s">
        <v>2</v>
      </c>
      <c r="R68" t="s">
        <v>2</v>
      </c>
      <c r="S68" t="s">
        <v>51</v>
      </c>
    </row>
    <row r="69" spans="1:19" x14ac:dyDescent="0.25">
      <c r="A69" s="17">
        <v>46022</v>
      </c>
      <c r="B69" t="s">
        <v>83</v>
      </c>
      <c r="C69" t="s">
        <v>84</v>
      </c>
      <c r="D69" t="s">
        <v>273</v>
      </c>
      <c r="E69">
        <v>4353456</v>
      </c>
      <c r="F69" s="18">
        <v>2.5</v>
      </c>
      <c r="G69" t="s">
        <v>377</v>
      </c>
      <c r="H69">
        <v>4352229</v>
      </c>
      <c r="I69">
        <v>4351435</v>
      </c>
      <c r="J69" t="s">
        <v>378</v>
      </c>
      <c r="K69" t="s">
        <v>51</v>
      </c>
      <c r="L69" t="s">
        <v>379</v>
      </c>
      <c r="M69" t="s">
        <v>51</v>
      </c>
      <c r="N69" t="s">
        <v>51</v>
      </c>
      <c r="O69" t="s">
        <v>2</v>
      </c>
      <c r="P69" t="s">
        <v>2</v>
      </c>
      <c r="Q69" t="s">
        <v>2</v>
      </c>
      <c r="R69" t="s">
        <v>2</v>
      </c>
      <c r="S69" t="s">
        <v>51</v>
      </c>
    </row>
    <row r="70" spans="1:19" x14ac:dyDescent="0.25">
      <c r="A70" s="17">
        <v>46022</v>
      </c>
      <c r="B70" t="s">
        <v>114</v>
      </c>
      <c r="C70" t="s">
        <v>115</v>
      </c>
      <c r="D70" t="s">
        <v>299</v>
      </c>
      <c r="E70">
        <v>4352804</v>
      </c>
      <c r="F70" s="18">
        <v>60</v>
      </c>
      <c r="G70" t="s">
        <v>380</v>
      </c>
      <c r="H70">
        <v>4352804</v>
      </c>
      <c r="I70">
        <v>4557435</v>
      </c>
      <c r="J70" t="s">
        <v>2</v>
      </c>
      <c r="K70" t="s">
        <v>2</v>
      </c>
      <c r="L70" t="s">
        <v>2</v>
      </c>
      <c r="M70" t="s">
        <v>2</v>
      </c>
      <c r="N70" t="s">
        <v>116</v>
      </c>
      <c r="O70" t="s">
        <v>2</v>
      </c>
      <c r="P70" t="s">
        <v>2</v>
      </c>
      <c r="Q70" t="s">
        <v>2</v>
      </c>
      <c r="R70" t="s">
        <v>2</v>
      </c>
      <c r="S70" t="s">
        <v>60</v>
      </c>
    </row>
    <row r="71" spans="1:19" x14ac:dyDescent="0.25">
      <c r="A71" s="17">
        <v>46022</v>
      </c>
      <c r="B71" t="s">
        <v>114</v>
      </c>
      <c r="C71" t="s">
        <v>115</v>
      </c>
      <c r="D71" t="s">
        <v>270</v>
      </c>
      <c r="E71">
        <v>4557435</v>
      </c>
      <c r="F71" s="18">
        <v>36</v>
      </c>
      <c r="G71" t="s">
        <v>380</v>
      </c>
      <c r="H71">
        <v>4352804</v>
      </c>
      <c r="I71">
        <v>4557435</v>
      </c>
      <c r="J71" t="s">
        <v>2</v>
      </c>
      <c r="K71" t="s">
        <v>2</v>
      </c>
      <c r="L71" t="s">
        <v>2</v>
      </c>
      <c r="M71" t="s">
        <v>2</v>
      </c>
      <c r="N71" t="s">
        <v>116</v>
      </c>
      <c r="O71" t="s">
        <v>2</v>
      </c>
      <c r="P71" t="s">
        <v>2</v>
      </c>
      <c r="Q71" t="s">
        <v>2</v>
      </c>
      <c r="R71" t="s">
        <v>2</v>
      </c>
      <c r="S71" t="s">
        <v>60</v>
      </c>
    </row>
    <row r="72" spans="1:19" x14ac:dyDescent="0.25">
      <c r="A72" s="17">
        <v>46022</v>
      </c>
      <c r="B72" t="s">
        <v>114</v>
      </c>
      <c r="C72" t="s">
        <v>115</v>
      </c>
      <c r="D72" t="s">
        <v>300</v>
      </c>
      <c r="E72">
        <v>4096231</v>
      </c>
      <c r="F72" s="18">
        <v>4</v>
      </c>
      <c r="G72" t="s">
        <v>380</v>
      </c>
      <c r="H72">
        <v>4352804</v>
      </c>
      <c r="I72">
        <v>4557435</v>
      </c>
      <c r="J72" t="s">
        <v>2</v>
      </c>
      <c r="K72" t="s">
        <v>2</v>
      </c>
      <c r="L72" t="s">
        <v>2</v>
      </c>
      <c r="M72" t="s">
        <v>2</v>
      </c>
      <c r="N72" t="s">
        <v>116</v>
      </c>
      <c r="O72" t="s">
        <v>2</v>
      </c>
      <c r="P72" t="s">
        <v>2</v>
      </c>
      <c r="Q72" t="s">
        <v>2</v>
      </c>
      <c r="R72" t="s">
        <v>2</v>
      </c>
      <c r="S72" t="s">
        <v>60</v>
      </c>
    </row>
    <row r="73" spans="1:19" x14ac:dyDescent="0.25">
      <c r="A73" s="17">
        <v>46022</v>
      </c>
      <c r="B73" t="s">
        <v>122</v>
      </c>
      <c r="C73" t="s">
        <v>123</v>
      </c>
      <c r="D73" t="s">
        <v>301</v>
      </c>
      <c r="E73">
        <v>25460448</v>
      </c>
      <c r="F73" s="18">
        <v>26</v>
      </c>
      <c r="G73" t="s">
        <v>381</v>
      </c>
      <c r="H73">
        <v>4379789</v>
      </c>
      <c r="I73">
        <v>25460448</v>
      </c>
      <c r="J73" t="s">
        <v>2</v>
      </c>
      <c r="K73" t="s">
        <v>2</v>
      </c>
      <c r="L73" t="s">
        <v>2</v>
      </c>
      <c r="M73" t="s">
        <v>2</v>
      </c>
      <c r="N73" t="s">
        <v>65</v>
      </c>
      <c r="O73" t="s">
        <v>2</v>
      </c>
      <c r="P73" t="s">
        <v>2</v>
      </c>
      <c r="Q73" t="s">
        <v>2</v>
      </c>
      <c r="R73" t="s">
        <v>2</v>
      </c>
      <c r="S73" t="s">
        <v>57</v>
      </c>
    </row>
    <row r="74" spans="1:19" x14ac:dyDescent="0.25">
      <c r="A74" s="17">
        <v>46022</v>
      </c>
      <c r="B74" t="s">
        <v>122</v>
      </c>
      <c r="C74" t="s">
        <v>123</v>
      </c>
      <c r="D74" t="s">
        <v>276</v>
      </c>
      <c r="E74">
        <v>4379789</v>
      </c>
      <c r="F74" s="18">
        <v>74</v>
      </c>
      <c r="G74" t="s">
        <v>381</v>
      </c>
      <c r="H74">
        <v>4379789</v>
      </c>
      <c r="I74">
        <v>25460448</v>
      </c>
      <c r="J74" t="s">
        <v>2</v>
      </c>
      <c r="K74" t="s">
        <v>2</v>
      </c>
      <c r="L74" t="s">
        <v>2</v>
      </c>
      <c r="M74" t="s">
        <v>2</v>
      </c>
      <c r="N74" t="s">
        <v>65</v>
      </c>
      <c r="O74" t="s">
        <v>2</v>
      </c>
      <c r="P74" t="s">
        <v>2</v>
      </c>
      <c r="Q74" t="s">
        <v>2</v>
      </c>
      <c r="R74" t="s">
        <v>2</v>
      </c>
      <c r="S74" t="s">
        <v>57</v>
      </c>
    </row>
    <row r="75" spans="1:19" x14ac:dyDescent="0.25">
      <c r="A75" s="17">
        <v>46022</v>
      </c>
      <c r="B75" t="s">
        <v>148</v>
      </c>
      <c r="C75" t="s">
        <v>149</v>
      </c>
      <c r="D75" t="s">
        <v>302</v>
      </c>
      <c r="E75">
        <v>4546566</v>
      </c>
      <c r="F75" s="18">
        <v>100</v>
      </c>
      <c r="G75" t="s">
        <v>382</v>
      </c>
      <c r="H75">
        <v>4546566</v>
      </c>
      <c r="I75" t="s">
        <v>331</v>
      </c>
      <c r="J75" t="s">
        <v>2</v>
      </c>
      <c r="K75" t="s">
        <v>2</v>
      </c>
      <c r="L75" t="s">
        <v>2</v>
      </c>
      <c r="M75" t="s">
        <v>2</v>
      </c>
      <c r="N75" t="s">
        <v>337</v>
      </c>
      <c r="O75" t="s">
        <v>2</v>
      </c>
      <c r="P75" t="s">
        <v>2</v>
      </c>
      <c r="Q75" t="s">
        <v>2</v>
      </c>
      <c r="R75" t="s">
        <v>2</v>
      </c>
      <c r="S75" t="s">
        <v>51</v>
      </c>
    </row>
    <row r="76" spans="1:19" x14ac:dyDescent="0.25">
      <c r="A76" s="17">
        <v>46022</v>
      </c>
      <c r="B76" t="s">
        <v>124</v>
      </c>
      <c r="C76" t="s">
        <v>125</v>
      </c>
      <c r="D76" t="s">
        <v>303</v>
      </c>
      <c r="E76">
        <v>4350028</v>
      </c>
      <c r="F76" s="18">
        <v>56</v>
      </c>
      <c r="G76" t="s">
        <v>383</v>
      </c>
      <c r="H76">
        <v>4350028</v>
      </c>
      <c r="I76">
        <v>4354393</v>
      </c>
      <c r="J76" t="s">
        <v>2</v>
      </c>
      <c r="K76" t="s">
        <v>2</v>
      </c>
      <c r="L76" t="s">
        <v>2</v>
      </c>
      <c r="M76" t="s">
        <v>2</v>
      </c>
      <c r="N76" t="s">
        <v>345</v>
      </c>
      <c r="O76" t="s">
        <v>2</v>
      </c>
      <c r="P76" t="s">
        <v>2</v>
      </c>
      <c r="Q76" t="s">
        <v>384</v>
      </c>
      <c r="R76" t="s">
        <v>385</v>
      </c>
      <c r="S76" t="s">
        <v>126</v>
      </c>
    </row>
    <row r="77" spans="1:19" x14ac:dyDescent="0.25">
      <c r="A77" s="17">
        <v>46022</v>
      </c>
      <c r="B77" t="s">
        <v>124</v>
      </c>
      <c r="C77" t="s">
        <v>125</v>
      </c>
      <c r="D77" t="s">
        <v>304</v>
      </c>
      <c r="E77">
        <v>4251857</v>
      </c>
      <c r="F77" s="18">
        <v>10</v>
      </c>
      <c r="G77" t="s">
        <v>383</v>
      </c>
      <c r="H77">
        <v>4350028</v>
      </c>
      <c r="I77">
        <v>4354393</v>
      </c>
      <c r="J77" t="s">
        <v>2</v>
      </c>
      <c r="K77" t="s">
        <v>2</v>
      </c>
      <c r="L77" t="s">
        <v>2</v>
      </c>
      <c r="M77" t="s">
        <v>2</v>
      </c>
      <c r="N77" t="s">
        <v>345</v>
      </c>
      <c r="O77" t="s">
        <v>2</v>
      </c>
      <c r="P77" t="s">
        <v>2</v>
      </c>
      <c r="Q77" t="s">
        <v>384</v>
      </c>
      <c r="R77" t="s">
        <v>385</v>
      </c>
      <c r="S77" t="s">
        <v>126</v>
      </c>
    </row>
    <row r="78" spans="1:19" x14ac:dyDescent="0.25">
      <c r="A78" s="17">
        <v>46022</v>
      </c>
      <c r="B78" t="s">
        <v>124</v>
      </c>
      <c r="C78" t="s">
        <v>125</v>
      </c>
      <c r="D78" t="s">
        <v>305</v>
      </c>
      <c r="E78">
        <v>4354393</v>
      </c>
      <c r="F78" s="18">
        <v>34</v>
      </c>
      <c r="G78" t="s">
        <v>383</v>
      </c>
      <c r="H78">
        <v>4350028</v>
      </c>
      <c r="I78">
        <v>4354393</v>
      </c>
      <c r="J78" t="s">
        <v>2</v>
      </c>
      <c r="K78" t="s">
        <v>2</v>
      </c>
      <c r="L78" t="s">
        <v>2</v>
      </c>
      <c r="M78" t="s">
        <v>2</v>
      </c>
      <c r="N78" t="s">
        <v>345</v>
      </c>
      <c r="O78" t="s">
        <v>2</v>
      </c>
      <c r="P78" t="s">
        <v>2</v>
      </c>
      <c r="Q78" t="s">
        <v>384</v>
      </c>
      <c r="R78" t="s">
        <v>385</v>
      </c>
      <c r="S78" t="s">
        <v>126</v>
      </c>
    </row>
    <row r="79" spans="1:19" x14ac:dyDescent="0.25">
      <c r="A79" s="17">
        <v>46022</v>
      </c>
      <c r="B79" t="s">
        <v>127</v>
      </c>
      <c r="C79" t="s">
        <v>128</v>
      </c>
      <c r="D79" t="s">
        <v>306</v>
      </c>
      <c r="E79">
        <v>4353521</v>
      </c>
      <c r="F79" s="18">
        <v>100</v>
      </c>
      <c r="G79" t="s">
        <v>386</v>
      </c>
      <c r="H79">
        <v>4353521</v>
      </c>
      <c r="I79" t="s">
        <v>331</v>
      </c>
      <c r="J79" t="s">
        <v>2</v>
      </c>
      <c r="K79" t="s">
        <v>2</v>
      </c>
      <c r="L79" t="s">
        <v>2</v>
      </c>
      <c r="M79" t="s">
        <v>2</v>
      </c>
      <c r="N79" t="s">
        <v>121</v>
      </c>
      <c r="O79" t="s">
        <v>2</v>
      </c>
      <c r="P79" t="s">
        <v>2</v>
      </c>
      <c r="Q79" t="s">
        <v>2</v>
      </c>
      <c r="R79" t="s">
        <v>2</v>
      </c>
      <c r="S79" t="s">
        <v>51</v>
      </c>
    </row>
    <row r="80" spans="1:19" x14ac:dyDescent="0.25">
      <c r="A80" s="17">
        <v>46022</v>
      </c>
      <c r="B80" t="s">
        <v>129</v>
      </c>
      <c r="C80" t="s">
        <v>130</v>
      </c>
      <c r="D80" t="s">
        <v>276</v>
      </c>
      <c r="E80">
        <v>4379789</v>
      </c>
      <c r="F80" s="18">
        <v>100</v>
      </c>
      <c r="G80" t="s">
        <v>351</v>
      </c>
      <c r="H80">
        <v>4379789</v>
      </c>
      <c r="I80" t="s">
        <v>331</v>
      </c>
      <c r="J80" t="s">
        <v>2</v>
      </c>
      <c r="K80" t="s">
        <v>2</v>
      </c>
      <c r="L80" t="s">
        <v>2</v>
      </c>
      <c r="M80" t="s">
        <v>2</v>
      </c>
      <c r="N80" t="s">
        <v>65</v>
      </c>
      <c r="O80" t="s">
        <v>2</v>
      </c>
      <c r="P80" t="s">
        <v>2</v>
      </c>
      <c r="Q80" t="s">
        <v>2</v>
      </c>
      <c r="R80" t="s">
        <v>2</v>
      </c>
      <c r="S80" t="s">
        <v>51</v>
      </c>
    </row>
    <row r="81" spans="1:19" x14ac:dyDescent="0.25">
      <c r="A81" s="17">
        <v>46022</v>
      </c>
      <c r="B81" t="s">
        <v>181</v>
      </c>
      <c r="C81" t="s">
        <v>182</v>
      </c>
      <c r="D81" t="s">
        <v>285</v>
      </c>
      <c r="E81">
        <v>4113732</v>
      </c>
      <c r="F81" s="18">
        <v>100</v>
      </c>
      <c r="G81" t="s">
        <v>364</v>
      </c>
      <c r="H81">
        <v>4113732</v>
      </c>
      <c r="I81" t="s">
        <v>331</v>
      </c>
      <c r="J81" t="s">
        <v>2</v>
      </c>
      <c r="K81" t="s">
        <v>2</v>
      </c>
      <c r="L81" t="s">
        <v>2</v>
      </c>
      <c r="M81" t="s">
        <v>2</v>
      </c>
      <c r="N81" t="s">
        <v>365</v>
      </c>
      <c r="O81" t="s">
        <v>2</v>
      </c>
      <c r="P81" t="s">
        <v>2</v>
      </c>
      <c r="Q81" t="s">
        <v>2</v>
      </c>
      <c r="R81" t="s">
        <v>2</v>
      </c>
      <c r="S81" t="s">
        <v>51</v>
      </c>
    </row>
    <row r="82" spans="1:19" x14ac:dyDescent="0.25">
      <c r="A82" s="17">
        <v>46022</v>
      </c>
      <c r="B82" t="s">
        <v>183</v>
      </c>
      <c r="C82" t="s">
        <v>184</v>
      </c>
      <c r="D82" t="s">
        <v>307</v>
      </c>
      <c r="E82">
        <v>4851749</v>
      </c>
      <c r="F82" s="18">
        <v>20</v>
      </c>
      <c r="G82" t="s">
        <v>387</v>
      </c>
      <c r="H82">
        <v>11707121</v>
      </c>
      <c r="I82">
        <v>4851749</v>
      </c>
      <c r="J82" t="s">
        <v>2</v>
      </c>
      <c r="K82" t="s">
        <v>2</v>
      </c>
      <c r="L82" t="s">
        <v>2</v>
      </c>
      <c r="M82" t="s">
        <v>2</v>
      </c>
      <c r="N82" t="s">
        <v>185</v>
      </c>
      <c r="O82" t="s">
        <v>2</v>
      </c>
      <c r="P82" t="s">
        <v>2</v>
      </c>
      <c r="Q82" t="s">
        <v>2</v>
      </c>
      <c r="R82" t="s">
        <v>2</v>
      </c>
      <c r="S82" t="s">
        <v>71</v>
      </c>
    </row>
    <row r="83" spans="1:19" x14ac:dyDescent="0.25">
      <c r="A83" s="17">
        <v>46022</v>
      </c>
      <c r="B83" t="s">
        <v>183</v>
      </c>
      <c r="C83" t="s">
        <v>184</v>
      </c>
      <c r="D83" t="s">
        <v>308</v>
      </c>
      <c r="E83">
        <v>11707121</v>
      </c>
      <c r="F83" s="18">
        <v>80</v>
      </c>
      <c r="G83" t="s">
        <v>387</v>
      </c>
      <c r="H83">
        <v>11707121</v>
      </c>
      <c r="I83">
        <v>4851749</v>
      </c>
      <c r="J83" t="s">
        <v>2</v>
      </c>
      <c r="K83" t="s">
        <v>2</v>
      </c>
      <c r="L83" t="s">
        <v>2</v>
      </c>
      <c r="M83" t="s">
        <v>2</v>
      </c>
      <c r="N83" t="s">
        <v>185</v>
      </c>
      <c r="O83" t="s">
        <v>2</v>
      </c>
      <c r="P83" t="s">
        <v>2</v>
      </c>
      <c r="Q83" t="s">
        <v>2</v>
      </c>
      <c r="R83" t="s">
        <v>2</v>
      </c>
      <c r="S83" t="s">
        <v>71</v>
      </c>
    </row>
    <row r="84" spans="1:19" x14ac:dyDescent="0.25">
      <c r="A84" s="17">
        <v>46022</v>
      </c>
      <c r="B84" t="s">
        <v>157</v>
      </c>
      <c r="C84" t="s">
        <v>158</v>
      </c>
      <c r="D84" t="s">
        <v>299</v>
      </c>
      <c r="E84">
        <v>4352804</v>
      </c>
      <c r="F84" s="18">
        <v>65</v>
      </c>
      <c r="G84" t="s">
        <v>388</v>
      </c>
      <c r="H84">
        <v>4352804</v>
      </c>
      <c r="I84">
        <v>4557435</v>
      </c>
      <c r="J84" t="s">
        <v>2</v>
      </c>
      <c r="K84" t="s">
        <v>2</v>
      </c>
      <c r="L84" t="s">
        <v>2</v>
      </c>
      <c r="M84" t="s">
        <v>2</v>
      </c>
      <c r="N84" t="s">
        <v>116</v>
      </c>
      <c r="O84" t="s">
        <v>2</v>
      </c>
      <c r="P84" t="s">
        <v>2</v>
      </c>
      <c r="Q84" t="s">
        <v>2</v>
      </c>
      <c r="R84" t="s">
        <v>2</v>
      </c>
      <c r="S84" t="s">
        <v>60</v>
      </c>
    </row>
    <row r="85" spans="1:19" x14ac:dyDescent="0.25">
      <c r="A85" s="17">
        <v>46022</v>
      </c>
      <c r="B85" t="s">
        <v>157</v>
      </c>
      <c r="C85" t="s">
        <v>158</v>
      </c>
      <c r="D85" t="s">
        <v>270</v>
      </c>
      <c r="E85">
        <v>4557435</v>
      </c>
      <c r="F85" s="18">
        <v>33.5</v>
      </c>
      <c r="G85" t="s">
        <v>388</v>
      </c>
      <c r="H85">
        <v>4352804</v>
      </c>
      <c r="I85">
        <v>4557435</v>
      </c>
      <c r="J85" t="s">
        <v>2</v>
      </c>
      <c r="K85" t="s">
        <v>2</v>
      </c>
      <c r="L85" t="s">
        <v>2</v>
      </c>
      <c r="M85" t="s">
        <v>2</v>
      </c>
      <c r="N85" t="s">
        <v>116</v>
      </c>
      <c r="O85" t="s">
        <v>2</v>
      </c>
      <c r="P85" t="s">
        <v>2</v>
      </c>
      <c r="Q85" t="s">
        <v>2</v>
      </c>
      <c r="R85" t="s">
        <v>2</v>
      </c>
      <c r="S85" t="s">
        <v>60</v>
      </c>
    </row>
    <row r="86" spans="1:19" x14ac:dyDescent="0.25">
      <c r="A86" s="17">
        <v>46022</v>
      </c>
      <c r="B86" t="s">
        <v>157</v>
      </c>
      <c r="C86" t="s">
        <v>158</v>
      </c>
      <c r="D86" t="s">
        <v>300</v>
      </c>
      <c r="E86">
        <v>4096231</v>
      </c>
      <c r="F86" s="18">
        <v>1.5</v>
      </c>
      <c r="G86" t="s">
        <v>388</v>
      </c>
      <c r="H86">
        <v>4352804</v>
      </c>
      <c r="I86">
        <v>4557435</v>
      </c>
      <c r="J86" t="s">
        <v>2</v>
      </c>
      <c r="K86" t="s">
        <v>2</v>
      </c>
      <c r="L86" t="s">
        <v>2</v>
      </c>
      <c r="M86" t="s">
        <v>2</v>
      </c>
      <c r="N86" t="s">
        <v>116</v>
      </c>
      <c r="O86" t="s">
        <v>2</v>
      </c>
      <c r="P86" t="s">
        <v>2</v>
      </c>
      <c r="Q86" t="s">
        <v>2</v>
      </c>
      <c r="R86" t="s">
        <v>2</v>
      </c>
      <c r="S86" t="s">
        <v>60</v>
      </c>
    </row>
    <row r="87" spans="1:19" x14ac:dyDescent="0.25">
      <c r="A87" s="17">
        <v>46022</v>
      </c>
      <c r="B87" t="s">
        <v>159</v>
      </c>
      <c r="C87" t="s">
        <v>160</v>
      </c>
      <c r="D87" t="s">
        <v>309</v>
      </c>
      <c r="E87">
        <v>4648824</v>
      </c>
      <c r="F87" s="18">
        <v>100</v>
      </c>
      <c r="G87" t="s">
        <v>389</v>
      </c>
      <c r="H87">
        <v>4648824</v>
      </c>
      <c r="I87" t="s">
        <v>331</v>
      </c>
      <c r="J87" t="s">
        <v>390</v>
      </c>
      <c r="K87" t="s">
        <v>161</v>
      </c>
      <c r="L87" t="s">
        <v>390</v>
      </c>
      <c r="M87" t="s">
        <v>161</v>
      </c>
      <c r="N87" t="s">
        <v>161</v>
      </c>
      <c r="O87" t="s">
        <v>2</v>
      </c>
      <c r="P87" t="s">
        <v>2</v>
      </c>
      <c r="Q87" t="s">
        <v>2</v>
      </c>
      <c r="R87" t="s">
        <v>2</v>
      </c>
      <c r="S87" t="s">
        <v>51</v>
      </c>
    </row>
    <row r="88" spans="1:19" x14ac:dyDescent="0.25">
      <c r="A88" s="17">
        <v>46022</v>
      </c>
      <c r="B88" t="s">
        <v>150</v>
      </c>
      <c r="C88" t="s">
        <v>151</v>
      </c>
      <c r="D88" t="s">
        <v>310</v>
      </c>
      <c r="E88">
        <v>4350215</v>
      </c>
      <c r="F88" s="18">
        <v>100</v>
      </c>
      <c r="G88" t="s">
        <v>391</v>
      </c>
      <c r="H88">
        <v>4350215</v>
      </c>
      <c r="I88" t="s">
        <v>331</v>
      </c>
      <c r="J88" t="s">
        <v>2</v>
      </c>
      <c r="K88" t="s">
        <v>2</v>
      </c>
      <c r="L88" t="s">
        <v>2</v>
      </c>
      <c r="M88" t="s">
        <v>2</v>
      </c>
      <c r="N88" t="s">
        <v>68</v>
      </c>
      <c r="O88" t="s">
        <v>2</v>
      </c>
      <c r="P88" t="s">
        <v>2</v>
      </c>
      <c r="Q88" t="s">
        <v>2</v>
      </c>
      <c r="R88" t="s">
        <v>2</v>
      </c>
      <c r="S88" t="s">
        <v>51</v>
      </c>
    </row>
    <row r="89" spans="1:19" x14ac:dyDescent="0.25">
      <c r="A89" s="17">
        <v>46022</v>
      </c>
      <c r="B89" t="s">
        <v>131</v>
      </c>
      <c r="C89" t="s">
        <v>132</v>
      </c>
      <c r="D89" t="s">
        <v>311</v>
      </c>
      <c r="E89">
        <v>10393182</v>
      </c>
      <c r="F89" s="18">
        <v>100</v>
      </c>
      <c r="G89" t="s">
        <v>392</v>
      </c>
      <c r="H89">
        <v>10393182</v>
      </c>
      <c r="I89" t="s">
        <v>331</v>
      </c>
      <c r="J89" t="s">
        <v>2</v>
      </c>
      <c r="K89" t="s">
        <v>2</v>
      </c>
      <c r="L89" t="s">
        <v>2</v>
      </c>
      <c r="M89" t="s">
        <v>2</v>
      </c>
      <c r="N89" t="s">
        <v>51</v>
      </c>
      <c r="O89" t="s">
        <v>2</v>
      </c>
      <c r="P89" t="s">
        <v>2</v>
      </c>
      <c r="Q89" t="s">
        <v>2</v>
      </c>
      <c r="R89" t="s">
        <v>2</v>
      </c>
      <c r="S89" t="s">
        <v>51</v>
      </c>
    </row>
    <row r="90" spans="1:19" x14ac:dyDescent="0.25">
      <c r="A90" s="17">
        <v>46022</v>
      </c>
      <c r="B90" t="s">
        <v>186</v>
      </c>
      <c r="C90" t="s">
        <v>187</v>
      </c>
      <c r="D90" t="s">
        <v>282</v>
      </c>
      <c r="E90">
        <v>4188197</v>
      </c>
      <c r="F90" s="18">
        <v>54</v>
      </c>
      <c r="G90" t="s">
        <v>393</v>
      </c>
      <c r="H90">
        <v>4188197</v>
      </c>
      <c r="I90">
        <v>4351190</v>
      </c>
      <c r="J90" t="s">
        <v>2</v>
      </c>
      <c r="K90" t="s">
        <v>2</v>
      </c>
      <c r="L90" t="s">
        <v>2</v>
      </c>
      <c r="M90" t="s">
        <v>2</v>
      </c>
      <c r="N90" t="s">
        <v>65</v>
      </c>
      <c r="O90" t="s">
        <v>2</v>
      </c>
      <c r="P90" t="s">
        <v>2</v>
      </c>
      <c r="Q90" t="s">
        <v>2</v>
      </c>
      <c r="R90" t="s">
        <v>2</v>
      </c>
      <c r="S90" t="s">
        <v>65</v>
      </c>
    </row>
    <row r="91" spans="1:19" x14ac:dyDescent="0.25">
      <c r="A91" s="17">
        <v>46022</v>
      </c>
      <c r="B91" t="s">
        <v>186</v>
      </c>
      <c r="C91" t="s">
        <v>187</v>
      </c>
      <c r="D91" t="s">
        <v>272</v>
      </c>
      <c r="E91">
        <v>4351190</v>
      </c>
      <c r="F91" s="18">
        <v>46</v>
      </c>
      <c r="G91" t="s">
        <v>393</v>
      </c>
      <c r="H91">
        <v>4188197</v>
      </c>
      <c r="I91">
        <v>4351190</v>
      </c>
      <c r="J91" t="s">
        <v>2</v>
      </c>
      <c r="K91" t="s">
        <v>2</v>
      </c>
      <c r="L91" t="s">
        <v>2</v>
      </c>
      <c r="M91" t="s">
        <v>2</v>
      </c>
      <c r="N91" t="s">
        <v>65</v>
      </c>
      <c r="O91" t="s">
        <v>2</v>
      </c>
      <c r="P91" t="s">
        <v>2</v>
      </c>
      <c r="Q91" t="s">
        <v>2</v>
      </c>
      <c r="R91" t="s">
        <v>2</v>
      </c>
      <c r="S91" t="s">
        <v>65</v>
      </c>
    </row>
    <row r="92" spans="1:19" x14ac:dyDescent="0.25">
      <c r="A92" s="17">
        <v>46022</v>
      </c>
      <c r="B92" t="s">
        <v>153</v>
      </c>
      <c r="C92" t="s">
        <v>154</v>
      </c>
      <c r="D92" t="s">
        <v>312</v>
      </c>
      <c r="E92">
        <v>4348411</v>
      </c>
      <c r="F92" s="18">
        <v>15</v>
      </c>
      <c r="G92" t="s">
        <v>394</v>
      </c>
      <c r="H92">
        <v>4379793</v>
      </c>
      <c r="I92">
        <v>4348411</v>
      </c>
      <c r="J92" t="s">
        <v>2</v>
      </c>
      <c r="K92" t="s">
        <v>2</v>
      </c>
      <c r="L92" t="s">
        <v>2</v>
      </c>
      <c r="M92" t="s">
        <v>2</v>
      </c>
      <c r="N92" t="s">
        <v>65</v>
      </c>
      <c r="O92" t="s">
        <v>2</v>
      </c>
      <c r="P92" t="s">
        <v>2</v>
      </c>
      <c r="Q92" t="s">
        <v>2</v>
      </c>
      <c r="R92" t="s">
        <v>2</v>
      </c>
      <c r="S92" t="s">
        <v>65</v>
      </c>
    </row>
    <row r="93" spans="1:19" x14ac:dyDescent="0.25">
      <c r="A93" s="17">
        <v>46022</v>
      </c>
      <c r="B93" t="s">
        <v>153</v>
      </c>
      <c r="C93" t="s">
        <v>154</v>
      </c>
      <c r="D93" t="s">
        <v>313</v>
      </c>
      <c r="E93">
        <v>4379793</v>
      </c>
      <c r="F93" s="18">
        <v>85</v>
      </c>
      <c r="G93" t="s">
        <v>394</v>
      </c>
      <c r="H93">
        <v>4379793</v>
      </c>
      <c r="I93">
        <v>4348411</v>
      </c>
      <c r="J93" t="s">
        <v>2</v>
      </c>
      <c r="K93" t="s">
        <v>2</v>
      </c>
      <c r="L93" t="s">
        <v>2</v>
      </c>
      <c r="M93" t="s">
        <v>2</v>
      </c>
      <c r="N93" t="s">
        <v>65</v>
      </c>
      <c r="O93" t="s">
        <v>2</v>
      </c>
      <c r="P93" t="s">
        <v>2</v>
      </c>
      <c r="Q93" t="s">
        <v>2</v>
      </c>
      <c r="R93" t="s">
        <v>2</v>
      </c>
      <c r="S93" t="s">
        <v>65</v>
      </c>
    </row>
    <row r="94" spans="1:19" x14ac:dyDescent="0.25">
      <c r="A94" s="17">
        <v>46022</v>
      </c>
      <c r="B94" t="s">
        <v>162</v>
      </c>
      <c r="C94" t="s">
        <v>163</v>
      </c>
      <c r="D94" t="s">
        <v>259</v>
      </c>
      <c r="E94">
        <v>4348055</v>
      </c>
      <c r="F94" s="18">
        <v>100</v>
      </c>
      <c r="G94" t="s">
        <v>333</v>
      </c>
      <c r="H94">
        <v>4348055</v>
      </c>
      <c r="I94" t="s">
        <v>331</v>
      </c>
      <c r="J94" t="s">
        <v>2</v>
      </c>
      <c r="K94" t="s">
        <v>2</v>
      </c>
      <c r="L94" t="s">
        <v>2</v>
      </c>
      <c r="M94" t="s">
        <v>2</v>
      </c>
      <c r="N94" t="s">
        <v>65</v>
      </c>
      <c r="O94" t="s">
        <v>2</v>
      </c>
      <c r="P94" t="s">
        <v>2</v>
      </c>
      <c r="Q94" t="s">
        <v>2</v>
      </c>
      <c r="R94" t="s">
        <v>2</v>
      </c>
      <c r="S94" t="s">
        <v>51</v>
      </c>
    </row>
    <row r="95" spans="1:19" x14ac:dyDescent="0.25">
      <c r="A95" s="17">
        <v>46022</v>
      </c>
      <c r="B95" t="s">
        <v>188</v>
      </c>
      <c r="C95" t="s">
        <v>189</v>
      </c>
      <c r="D95" t="s">
        <v>277</v>
      </c>
      <c r="E95">
        <v>4223919</v>
      </c>
      <c r="F95" s="18">
        <v>100</v>
      </c>
      <c r="G95" t="s">
        <v>352</v>
      </c>
      <c r="H95">
        <v>4223919</v>
      </c>
      <c r="I95" t="s">
        <v>331</v>
      </c>
      <c r="J95" t="s">
        <v>2</v>
      </c>
      <c r="K95" t="s">
        <v>2</v>
      </c>
      <c r="L95" t="s">
        <v>2</v>
      </c>
      <c r="M95" t="s">
        <v>2</v>
      </c>
      <c r="N95" t="s">
        <v>54</v>
      </c>
      <c r="O95" t="s">
        <v>2</v>
      </c>
      <c r="P95" t="s">
        <v>2</v>
      </c>
      <c r="Q95" t="s">
        <v>2</v>
      </c>
      <c r="R95" t="s">
        <v>2</v>
      </c>
      <c r="S95" t="s">
        <v>51</v>
      </c>
    </row>
    <row r="96" spans="1:19" x14ac:dyDescent="0.25">
      <c r="A96" s="17">
        <v>46022</v>
      </c>
      <c r="B96" t="s">
        <v>155</v>
      </c>
      <c r="C96" t="s">
        <v>156</v>
      </c>
      <c r="D96" t="s">
        <v>303</v>
      </c>
      <c r="E96">
        <v>4350028</v>
      </c>
      <c r="F96" s="18">
        <v>38.700000000000003</v>
      </c>
      <c r="G96" t="s">
        <v>395</v>
      </c>
      <c r="H96">
        <v>4355009</v>
      </c>
      <c r="I96">
        <v>4350028</v>
      </c>
      <c r="J96" t="s">
        <v>2</v>
      </c>
      <c r="K96" t="s">
        <v>2</v>
      </c>
      <c r="L96" t="s">
        <v>2</v>
      </c>
      <c r="M96" t="s">
        <v>2</v>
      </c>
      <c r="N96" t="s">
        <v>51</v>
      </c>
      <c r="O96" t="s">
        <v>2</v>
      </c>
      <c r="P96" t="s">
        <v>2</v>
      </c>
      <c r="Q96" t="s">
        <v>2</v>
      </c>
      <c r="R96" t="s">
        <v>2</v>
      </c>
      <c r="S96" t="s">
        <v>345</v>
      </c>
    </row>
    <row r="97" spans="1:19" x14ac:dyDescent="0.25">
      <c r="A97" s="17">
        <v>46022</v>
      </c>
      <c r="B97" t="s">
        <v>155</v>
      </c>
      <c r="C97" t="s">
        <v>156</v>
      </c>
      <c r="D97" t="s">
        <v>293</v>
      </c>
      <c r="E97">
        <v>4348047</v>
      </c>
      <c r="F97" s="18">
        <v>10</v>
      </c>
      <c r="G97" t="s">
        <v>395</v>
      </c>
      <c r="H97">
        <v>4355009</v>
      </c>
      <c r="I97">
        <v>4350028</v>
      </c>
      <c r="J97" t="s">
        <v>2</v>
      </c>
      <c r="K97" t="s">
        <v>2</v>
      </c>
      <c r="L97" t="s">
        <v>2</v>
      </c>
      <c r="M97" t="s">
        <v>2</v>
      </c>
      <c r="N97" t="s">
        <v>51</v>
      </c>
      <c r="O97" t="s">
        <v>2</v>
      </c>
      <c r="P97" t="s">
        <v>2</v>
      </c>
      <c r="Q97" t="s">
        <v>2</v>
      </c>
      <c r="R97" t="s">
        <v>2</v>
      </c>
      <c r="S97" t="s">
        <v>345</v>
      </c>
    </row>
    <row r="98" spans="1:19" x14ac:dyDescent="0.25">
      <c r="A98" s="17">
        <v>46022</v>
      </c>
      <c r="B98" t="s">
        <v>155</v>
      </c>
      <c r="C98" t="s">
        <v>156</v>
      </c>
      <c r="D98" t="s">
        <v>314</v>
      </c>
      <c r="E98">
        <v>4355009</v>
      </c>
      <c r="F98" s="18">
        <v>51.3</v>
      </c>
      <c r="G98" t="s">
        <v>395</v>
      </c>
      <c r="H98">
        <v>4355009</v>
      </c>
      <c r="I98">
        <v>4350028</v>
      </c>
      <c r="J98" t="s">
        <v>2</v>
      </c>
      <c r="K98" t="s">
        <v>2</v>
      </c>
      <c r="L98" t="s">
        <v>2</v>
      </c>
      <c r="M98" t="s">
        <v>2</v>
      </c>
      <c r="N98" t="s">
        <v>51</v>
      </c>
      <c r="O98" t="s">
        <v>2</v>
      </c>
      <c r="P98" t="s">
        <v>2</v>
      </c>
      <c r="Q98" t="s">
        <v>2</v>
      </c>
      <c r="R98" t="s">
        <v>2</v>
      </c>
      <c r="S98" t="s">
        <v>345</v>
      </c>
    </row>
    <row r="99" spans="1:19" x14ac:dyDescent="0.25">
      <c r="A99" s="17">
        <v>46022</v>
      </c>
      <c r="B99" t="s">
        <v>190</v>
      </c>
      <c r="C99" t="s">
        <v>191</v>
      </c>
      <c r="D99" t="s">
        <v>276</v>
      </c>
      <c r="E99">
        <v>4379789</v>
      </c>
      <c r="F99" s="18">
        <v>100</v>
      </c>
      <c r="G99" t="s">
        <v>351</v>
      </c>
      <c r="H99">
        <v>4379789</v>
      </c>
      <c r="I99" t="s">
        <v>331</v>
      </c>
      <c r="J99" t="s">
        <v>2</v>
      </c>
      <c r="K99" t="s">
        <v>2</v>
      </c>
      <c r="L99" t="s">
        <v>2</v>
      </c>
      <c r="M99" t="s">
        <v>2</v>
      </c>
      <c r="N99" t="s">
        <v>65</v>
      </c>
      <c r="O99" t="s">
        <v>2</v>
      </c>
      <c r="P99" t="s">
        <v>2</v>
      </c>
      <c r="Q99" t="s">
        <v>2</v>
      </c>
      <c r="R99" t="s">
        <v>2</v>
      </c>
      <c r="S99" t="s">
        <v>51</v>
      </c>
    </row>
    <row r="100" spans="1:19" x14ac:dyDescent="0.25">
      <c r="A100" s="17">
        <v>46022</v>
      </c>
      <c r="B100" t="s">
        <v>166</v>
      </c>
      <c r="C100" t="s">
        <v>167</v>
      </c>
      <c r="D100" t="s">
        <v>315</v>
      </c>
      <c r="E100">
        <v>4355649</v>
      </c>
      <c r="F100" s="18">
        <v>100</v>
      </c>
      <c r="G100" t="s">
        <v>396</v>
      </c>
      <c r="H100">
        <v>4355649</v>
      </c>
      <c r="I100" t="s">
        <v>331</v>
      </c>
      <c r="J100" t="s">
        <v>397</v>
      </c>
      <c r="K100" t="s">
        <v>65</v>
      </c>
      <c r="L100" t="s">
        <v>398</v>
      </c>
      <c r="M100" t="s">
        <v>399</v>
      </c>
      <c r="N100" t="s">
        <v>371</v>
      </c>
      <c r="O100" t="s">
        <v>2</v>
      </c>
      <c r="P100" t="s">
        <v>2</v>
      </c>
      <c r="Q100" t="s">
        <v>2</v>
      </c>
      <c r="R100" t="s">
        <v>2</v>
      </c>
      <c r="S100" t="s">
        <v>51</v>
      </c>
    </row>
    <row r="101" spans="1:19" x14ac:dyDescent="0.25">
      <c r="A101" s="17">
        <v>46022</v>
      </c>
      <c r="B101" t="s">
        <v>164</v>
      </c>
      <c r="C101" t="s">
        <v>165</v>
      </c>
      <c r="D101" t="s">
        <v>264</v>
      </c>
      <c r="E101">
        <v>4264043</v>
      </c>
      <c r="F101" s="18">
        <v>100</v>
      </c>
      <c r="G101" t="s">
        <v>400</v>
      </c>
      <c r="H101">
        <v>4264043</v>
      </c>
      <c r="I101">
        <v>4348055</v>
      </c>
      <c r="J101" t="s">
        <v>2</v>
      </c>
      <c r="K101" t="s">
        <v>2</v>
      </c>
      <c r="L101" t="s">
        <v>2</v>
      </c>
      <c r="M101" t="s">
        <v>2</v>
      </c>
      <c r="N101" t="s">
        <v>65</v>
      </c>
      <c r="O101" t="s">
        <v>2</v>
      </c>
      <c r="P101" t="s">
        <v>2</v>
      </c>
      <c r="Q101" t="s">
        <v>2</v>
      </c>
      <c r="R101" t="s">
        <v>2</v>
      </c>
      <c r="S101"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Ore</vt:lpstr>
      <vt:lpstr>Production Costs Co Product</vt:lpstr>
      <vt:lpstr>Production Costs By Product</vt:lpstr>
      <vt:lpstr>Cash Flow</vt:lpstr>
      <vt:lpstr>Ownership</vt:lpstr>
      <vt:lpstr>Sheet1</vt:lpstr>
    </vt:vector>
  </TitlesOfParts>
  <Manager/>
  <Company>SoftArtisans,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Alessio Raskine</cp:lastModifiedBy>
  <dcterms:created xsi:type="dcterms:W3CDTF">2026-07-07T16:38:28Z</dcterms:created>
  <dcterms:modified xsi:type="dcterms:W3CDTF">2026-07-07T16:38:28Z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