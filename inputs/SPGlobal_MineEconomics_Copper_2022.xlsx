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houhamdi_w\Downloads\"/>
    </mc:Choice>
  </mc:AlternateContent>
  <xr:revisionPtr revIDLastSave="0" documentId="13_ncr:1_{080D2DE7-6ED7-47C5-B0A8-FD58B33F8EEA}" xr6:coauthVersionLast="47" xr6:coauthVersionMax="47" xr10:uidLastSave="{00000000-0000-0000-0000-000000000000}"/>
  <bookViews>
    <workbookView xWindow="-2580" yWindow="-21720" windowWidth="38640" windowHeight="21120" activeTab="1" xr2:uid="{00000000-000D-0000-FFFF-FFFF00000000}"/>
  </bookViews>
  <sheets>
    <sheet name="Chart" sheetId="1" r:id="rId1"/>
    <sheet name="Data" sheetId="2" r:id="rId2"/>
    <sheet name="Flex Assump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7" i="2" l="1"/>
  <c r="O16" i="2"/>
  <c r="O15" i="2"/>
  <c r="O14" i="2"/>
  <c r="N15" i="2"/>
  <c r="N16" i="2" s="1"/>
  <c r="N17" i="2" s="1"/>
  <c r="N18" i="2" s="1"/>
  <c r="N19" i="2" s="1"/>
  <c r="N20" i="2" s="1"/>
  <c r="N21" i="2" s="1"/>
  <c r="N22" i="2" s="1"/>
  <c r="N23" i="2" s="1"/>
  <c r="N24" i="2" s="1"/>
  <c r="N25" i="2" s="1"/>
  <c r="N26" i="2" s="1"/>
  <c r="N27" i="2" s="1"/>
  <c r="N28" i="2" s="1"/>
  <c r="N29" i="2" s="1"/>
  <c r="N30" i="2" s="1"/>
  <c r="N31" i="2" s="1"/>
  <c r="N32" i="2" s="1"/>
  <c r="N33" i="2" s="1"/>
  <c r="N34" i="2" s="1"/>
  <c r="N35" i="2" s="1"/>
  <c r="N36" i="2" s="1"/>
  <c r="N37" i="2" s="1"/>
  <c r="N38" i="2" s="1"/>
  <c r="N39" i="2" s="1"/>
  <c r="N40" i="2" s="1"/>
  <c r="N41" i="2" s="1"/>
  <c r="N42" i="2" s="1"/>
  <c r="N43" i="2" s="1"/>
  <c r="N44" i="2" s="1"/>
  <c r="N45" i="2" s="1"/>
  <c r="N46" i="2" s="1"/>
  <c r="N47" i="2" s="1"/>
  <c r="N48" i="2" s="1"/>
  <c r="N49" i="2" s="1"/>
  <c r="N50" i="2" s="1"/>
  <c r="N51" i="2" s="1"/>
  <c r="N52" i="2" s="1"/>
  <c r="N53" i="2" s="1"/>
  <c r="N54" i="2" s="1"/>
  <c r="N55" i="2" s="1"/>
  <c r="N56" i="2" s="1"/>
  <c r="N57" i="2" s="1"/>
  <c r="N58" i="2" s="1"/>
  <c r="N59" i="2" s="1"/>
  <c r="N60" i="2" s="1"/>
  <c r="N61" i="2" s="1"/>
  <c r="N62" i="2" s="1"/>
  <c r="N63" i="2" s="1"/>
  <c r="N64" i="2" s="1"/>
  <c r="N65" i="2" s="1"/>
  <c r="N66" i="2" s="1"/>
  <c r="N67" i="2" s="1"/>
  <c r="N68" i="2" s="1"/>
  <c r="N69" i="2" s="1"/>
  <c r="N70" i="2" s="1"/>
  <c r="N71" i="2" s="1"/>
  <c r="N72" i="2" s="1"/>
  <c r="N73" i="2" s="1"/>
  <c r="N74" i="2" s="1"/>
  <c r="N75" i="2" s="1"/>
  <c r="N76" i="2" s="1"/>
  <c r="N77" i="2" s="1"/>
  <c r="N78" i="2" s="1"/>
  <c r="N79" i="2" s="1"/>
  <c r="N80" i="2" s="1"/>
  <c r="N81" i="2" s="1"/>
  <c r="N82" i="2" s="1"/>
  <c r="N83" i="2" s="1"/>
  <c r="N84" i="2" s="1"/>
  <c r="N85" i="2" s="1"/>
  <c r="N86" i="2" s="1"/>
  <c r="N87" i="2" s="1"/>
  <c r="N88" i="2" s="1"/>
  <c r="N89" i="2" s="1"/>
  <c r="N90" i="2" s="1"/>
  <c r="N91" i="2" s="1"/>
  <c r="N92" i="2" s="1"/>
  <c r="N93" i="2" s="1"/>
  <c r="N94" i="2" s="1"/>
  <c r="N95" i="2" s="1"/>
  <c r="N96" i="2" s="1"/>
  <c r="N97" i="2" s="1"/>
  <c r="N98" i="2" s="1"/>
  <c r="N99" i="2" s="1"/>
  <c r="N100" i="2" s="1"/>
  <c r="N101" i="2" s="1"/>
  <c r="N102" i="2" s="1"/>
  <c r="N103" i="2" s="1"/>
  <c r="N104" i="2" s="1"/>
  <c r="N105" i="2" s="1"/>
  <c r="N106" i="2" s="1"/>
  <c r="N107" i="2" s="1"/>
  <c r="N108" i="2" s="1"/>
  <c r="N109" i="2" s="1"/>
  <c r="N110" i="2" s="1"/>
  <c r="N111" i="2" s="1"/>
  <c r="N112" i="2" s="1"/>
  <c r="N113" i="2" s="1"/>
  <c r="N114" i="2" s="1"/>
  <c r="N115" i="2" s="1"/>
  <c r="N116" i="2" s="1"/>
  <c r="N117" i="2" s="1"/>
  <c r="N118" i="2" s="1"/>
  <c r="N119" i="2" s="1"/>
  <c r="N120" i="2" s="1"/>
  <c r="N121" i="2" s="1"/>
  <c r="N122" i="2" s="1"/>
  <c r="N123" i="2" s="1"/>
  <c r="N124" i="2" s="1"/>
  <c r="N125" i="2" s="1"/>
  <c r="N126" i="2" s="1"/>
  <c r="N127" i="2" s="1"/>
  <c r="N128" i="2" s="1"/>
  <c r="N129" i="2" s="1"/>
  <c r="N130" i="2" s="1"/>
  <c r="N131" i="2" s="1"/>
  <c r="N132" i="2" s="1"/>
  <c r="N133" i="2" s="1"/>
  <c r="N134" i="2" s="1"/>
  <c r="N135" i="2" s="1"/>
  <c r="N136" i="2" s="1"/>
  <c r="N137" i="2" s="1"/>
  <c r="N138" i="2" s="1"/>
  <c r="N139" i="2" s="1"/>
  <c r="N140" i="2" s="1"/>
  <c r="N141" i="2" s="1"/>
  <c r="N142" i="2" s="1"/>
  <c r="N143" i="2" s="1"/>
  <c r="N144" i="2" s="1"/>
  <c r="N145" i="2" s="1"/>
  <c r="N146" i="2" s="1"/>
  <c r="N147" i="2" s="1"/>
  <c r="N148" i="2" s="1"/>
  <c r="N149" i="2" s="1"/>
  <c r="N150" i="2" s="1"/>
  <c r="N151" i="2" s="1"/>
  <c r="N152" i="2" s="1"/>
  <c r="N153" i="2" s="1"/>
  <c r="N154" i="2" s="1"/>
  <c r="N155" i="2" s="1"/>
  <c r="N156" i="2" s="1"/>
  <c r="N157" i="2" s="1"/>
  <c r="N158" i="2" s="1"/>
  <c r="N159" i="2" s="1"/>
  <c r="N160" i="2" s="1"/>
  <c r="N161" i="2" s="1"/>
  <c r="N162" i="2" s="1"/>
  <c r="N163" i="2" s="1"/>
  <c r="N164" i="2" s="1"/>
  <c r="N165" i="2" s="1"/>
  <c r="N166" i="2" s="1"/>
  <c r="N167" i="2" s="1"/>
  <c r="N168" i="2" s="1"/>
  <c r="N169" i="2" s="1"/>
  <c r="N170" i="2" s="1"/>
  <c r="N171" i="2" s="1"/>
  <c r="N172" i="2" s="1"/>
  <c r="N173" i="2" s="1"/>
  <c r="N174" i="2" s="1"/>
  <c r="N175" i="2" s="1"/>
  <c r="N176" i="2" s="1"/>
  <c r="N177" i="2" s="1"/>
  <c r="N178" i="2" s="1"/>
  <c r="N179" i="2" s="1"/>
  <c r="N180" i="2" s="1"/>
  <c r="N181" i="2" s="1"/>
  <c r="N182" i="2" s="1"/>
  <c r="N183" i="2" s="1"/>
  <c r="N184" i="2" s="1"/>
  <c r="N185" i="2" s="1"/>
  <c r="N186" i="2" s="1"/>
  <c r="N187" i="2" s="1"/>
  <c r="N188" i="2" s="1"/>
  <c r="N189" i="2" s="1"/>
  <c r="N190" i="2" s="1"/>
  <c r="N191" i="2" s="1"/>
  <c r="N192" i="2" s="1"/>
  <c r="N193" i="2" s="1"/>
  <c r="N194" i="2" s="1"/>
  <c r="N195" i="2" s="1"/>
  <c r="N196" i="2" s="1"/>
  <c r="N197" i="2" s="1"/>
  <c r="N198" i="2" s="1"/>
  <c r="N199" i="2" s="1"/>
  <c r="N200" i="2" s="1"/>
  <c r="N201" i="2" s="1"/>
  <c r="N202" i="2" s="1"/>
  <c r="N203" i="2" s="1"/>
  <c r="N204" i="2" s="1"/>
  <c r="N205" i="2" s="1"/>
  <c r="N206" i="2" s="1"/>
  <c r="N207" i="2" s="1"/>
  <c r="N208" i="2" s="1"/>
  <c r="N209" i="2" s="1"/>
  <c r="N210" i="2" s="1"/>
  <c r="N211" i="2" s="1"/>
  <c r="N212" i="2" s="1"/>
  <c r="N213" i="2" s="1"/>
  <c r="N214" i="2" s="1"/>
  <c r="N215" i="2" s="1"/>
  <c r="N216" i="2" s="1"/>
  <c r="N217" i="2" s="1"/>
  <c r="N218" i="2" s="1"/>
  <c r="N219" i="2" s="1"/>
  <c r="N220" i="2" s="1"/>
  <c r="N221" i="2" s="1"/>
  <c r="N222" i="2" s="1"/>
  <c r="N223" i="2" s="1"/>
  <c r="N224" i="2" s="1"/>
  <c r="N225" i="2" s="1"/>
  <c r="N226" i="2" s="1"/>
  <c r="N227" i="2" s="1"/>
  <c r="N228" i="2" s="1"/>
  <c r="N229" i="2" s="1"/>
  <c r="N230" i="2" s="1"/>
  <c r="N231" i="2" s="1"/>
  <c r="N232" i="2" s="1"/>
  <c r="N233" i="2" s="1"/>
  <c r="N234" i="2" s="1"/>
  <c r="N235" i="2" s="1"/>
  <c r="N236" i="2" s="1"/>
  <c r="N237" i="2" s="1"/>
  <c r="N238" i="2" s="1"/>
  <c r="N239" i="2" s="1"/>
  <c r="N240" i="2" s="1"/>
  <c r="N241" i="2" s="1"/>
  <c r="N242" i="2" s="1"/>
  <c r="N243" i="2" s="1"/>
  <c r="N244" i="2" s="1"/>
  <c r="N245" i="2" s="1"/>
  <c r="N246" i="2" s="1"/>
  <c r="N247" i="2" s="1"/>
  <c r="N248" i="2" s="1"/>
  <c r="N249" i="2" s="1"/>
  <c r="N250" i="2" s="1"/>
  <c r="N251" i="2" s="1"/>
  <c r="N252" i="2" s="1"/>
  <c r="N253" i="2" s="1"/>
  <c r="N254" i="2" s="1"/>
  <c r="N255" i="2" s="1"/>
  <c r="N256" i="2" s="1"/>
  <c r="N257" i="2" s="1"/>
  <c r="N258" i="2" s="1"/>
  <c r="N259" i="2" s="1"/>
  <c r="N260" i="2" s="1"/>
  <c r="N261" i="2" s="1"/>
  <c r="N262" i="2" s="1"/>
  <c r="N263" i="2" s="1"/>
  <c r="N264" i="2" s="1"/>
  <c r="N265" i="2" s="1"/>
  <c r="N266" i="2" s="1"/>
  <c r="N267" i="2" s="1"/>
  <c r="N268" i="2" s="1"/>
  <c r="N269" i="2" s="1"/>
  <c r="N270" i="2" s="1"/>
  <c r="N271" i="2" s="1"/>
  <c r="N272" i="2" s="1"/>
  <c r="N273" i="2" s="1"/>
  <c r="N274" i="2" s="1"/>
  <c r="N275" i="2" s="1"/>
  <c r="N276" i="2" s="1"/>
  <c r="N277" i="2" s="1"/>
  <c r="N278" i="2" s="1"/>
  <c r="N279" i="2" s="1"/>
  <c r="N280" i="2" s="1"/>
  <c r="N281" i="2" s="1"/>
  <c r="N282" i="2" s="1"/>
  <c r="N283" i="2" s="1"/>
  <c r="N284" i="2" s="1"/>
  <c r="N285" i="2" s="1"/>
  <c r="N286" i="2" s="1"/>
  <c r="N287" i="2" s="1"/>
  <c r="N288" i="2" s="1"/>
  <c r="N289" i="2" s="1"/>
  <c r="N290" i="2" s="1"/>
  <c r="N291" i="2" s="1"/>
  <c r="N292" i="2" s="1"/>
  <c r="N293" i="2" s="1"/>
  <c r="N294" i="2" s="1"/>
  <c r="N295" i="2" s="1"/>
  <c r="N296" i="2" s="1"/>
  <c r="N297" i="2" s="1"/>
  <c r="N298" i="2" s="1"/>
  <c r="N299" i="2" s="1"/>
  <c r="N300" i="2" s="1"/>
  <c r="N301" i="2" s="1"/>
  <c r="N302" i="2" s="1"/>
  <c r="N303" i="2" s="1"/>
  <c r="N304" i="2" s="1"/>
  <c r="N305" i="2" s="1"/>
  <c r="N306" i="2" s="1"/>
  <c r="N307" i="2" s="1"/>
  <c r="N308" i="2" s="1"/>
  <c r="N309" i="2" s="1"/>
  <c r="N310" i="2" s="1"/>
  <c r="N311" i="2" s="1"/>
  <c r="N312" i="2" s="1"/>
  <c r="N313" i="2" s="1"/>
  <c r="N314" i="2" s="1"/>
  <c r="N315" i="2" s="1"/>
  <c r="N316" i="2" s="1"/>
  <c r="N317" i="2" s="1"/>
  <c r="N318" i="2" s="1"/>
  <c r="N319" i="2" s="1"/>
  <c r="N320" i="2" s="1"/>
  <c r="N321" i="2" s="1"/>
  <c r="N322" i="2" s="1"/>
  <c r="N323" i="2" s="1"/>
  <c r="N324" i="2" s="1"/>
  <c r="N325" i="2" s="1"/>
  <c r="N326" i="2" s="1"/>
  <c r="N327" i="2" s="1"/>
  <c r="N328" i="2" s="1"/>
  <c r="N329" i="2" s="1"/>
  <c r="N330" i="2" s="1"/>
  <c r="N331" i="2" s="1"/>
  <c r="N332" i="2" s="1"/>
  <c r="N333" i="2" s="1"/>
  <c r="N334" i="2" s="1"/>
  <c r="N335" i="2" s="1"/>
  <c r="N336" i="2" s="1"/>
  <c r="N337" i="2" s="1"/>
  <c r="N338" i="2" s="1"/>
  <c r="N339" i="2" s="1"/>
  <c r="N340" i="2" s="1"/>
  <c r="N341" i="2" s="1"/>
  <c r="N342" i="2" s="1"/>
  <c r="N343" i="2" s="1"/>
  <c r="N344" i="2" s="1"/>
  <c r="N345" i="2" s="1"/>
  <c r="N346" i="2" s="1"/>
  <c r="N347" i="2" s="1"/>
  <c r="N348" i="2" s="1"/>
  <c r="N349" i="2" s="1"/>
  <c r="N350" i="2" s="1"/>
  <c r="N351" i="2" s="1"/>
  <c r="N352" i="2" s="1"/>
  <c r="N353" i="2" s="1"/>
  <c r="N354" i="2" s="1"/>
  <c r="N355" i="2" s="1"/>
  <c r="N356" i="2" s="1"/>
  <c r="N357" i="2" s="1"/>
  <c r="N358" i="2" s="1"/>
  <c r="N359" i="2" s="1"/>
  <c r="N360" i="2" s="1"/>
  <c r="N361" i="2" s="1"/>
  <c r="N362" i="2" s="1"/>
  <c r="N363" i="2" s="1"/>
  <c r="N364" i="2" s="1"/>
  <c r="N365" i="2" s="1"/>
  <c r="N366" i="2" s="1"/>
  <c r="N367" i="2" s="1"/>
  <c r="N368" i="2" s="1"/>
  <c r="N369" i="2" s="1"/>
  <c r="N370" i="2" s="1"/>
  <c r="N371" i="2" s="1"/>
  <c r="N372" i="2" s="1"/>
  <c r="N373" i="2" s="1"/>
  <c r="N374" i="2" s="1"/>
  <c r="N375" i="2" s="1"/>
  <c r="N376" i="2" s="1"/>
  <c r="N377" i="2" s="1"/>
  <c r="N378" i="2" s="1"/>
  <c r="N379" i="2" s="1"/>
  <c r="N380" i="2" s="1"/>
  <c r="N381" i="2" s="1"/>
  <c r="N382" i="2" s="1"/>
  <c r="N383" i="2" s="1"/>
  <c r="N384" i="2" s="1"/>
  <c r="N385" i="2" s="1"/>
  <c r="N386" i="2" s="1"/>
  <c r="N387" i="2" s="1"/>
  <c r="N388" i="2" s="1"/>
  <c r="N389" i="2" s="1"/>
  <c r="N390" i="2" s="1"/>
  <c r="N391" i="2" s="1"/>
  <c r="N392" i="2" s="1"/>
  <c r="N393" i="2" s="1"/>
  <c r="N394" i="2" s="1"/>
  <c r="N395" i="2" s="1"/>
  <c r="N396" i="2" s="1"/>
  <c r="N397" i="2" s="1"/>
  <c r="N398" i="2" s="1"/>
  <c r="N399" i="2" s="1"/>
  <c r="N400" i="2" s="1"/>
  <c r="N401" i="2" s="1"/>
  <c r="N402" i="2" s="1"/>
  <c r="N403" i="2" s="1"/>
  <c r="N404" i="2" s="1"/>
  <c r="N405" i="2" s="1"/>
  <c r="N406" i="2" s="1"/>
  <c r="N407" i="2" s="1"/>
  <c r="N408" i="2" s="1"/>
  <c r="N409" i="2" s="1"/>
  <c r="N410" i="2" s="1"/>
  <c r="N411" i="2" s="1"/>
  <c r="N412" i="2" s="1"/>
  <c r="N413" i="2" s="1"/>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alcChain>
</file>

<file path=xl/sharedStrings.xml><?xml version="1.0" encoding="utf-8"?>
<sst xmlns="http://schemas.openxmlformats.org/spreadsheetml/2006/main" count="1981" uniqueCount="1269">
  <si>
    <t xml:space="preserve"> Actual Money of the Day</t>
  </si>
  <si>
    <t>Commodity: Copper</t>
  </si>
  <si>
    <t>Report Type: Stacked Bar</t>
  </si>
  <si>
    <t>Production Parameter: Paid Copper</t>
  </si>
  <si>
    <t>Data Series: Labor/Energy/Reagents/Other Onsite/TCRC+Shipment/Royalty</t>
  </si>
  <si>
    <t>Costing Method: Co-Product</t>
  </si>
  <si>
    <t>Year: 2022</t>
  </si>
  <si>
    <t>*Figures pre-2025 are based on reported/actual data where available. Figures from 2025 and later are based on S&amp;P Global Market Intelligence's estimates and forecasts. For Market Intelligence's Constant scenario, all forecasts for prices are in constant 2024 US dollars (e.g. wage rates, electricity prices, reagent or fuel costs and metal prices).
Mine Economics covers 85.79% of 2025 global recovered Copper production.</t>
  </si>
  <si>
    <t>Mine Economics</t>
  </si>
  <si>
    <t>Property</t>
  </si>
  <si>
    <t>Property ID</t>
  </si>
  <si>
    <t>Country/Region</t>
  </si>
  <si>
    <t xml:space="preserve"> Equity Owner(s) (Ownership %)</t>
  </si>
  <si>
    <t>Paid Copper (000 tonnes)</t>
  </si>
  <si>
    <t xml:space="preserve"> Labor (¢/lb)</t>
  </si>
  <si>
    <t xml:space="preserve"> Energy (¢/lb)</t>
  </si>
  <si>
    <t xml:space="preserve"> Reagents (¢/lb)</t>
  </si>
  <si>
    <t xml:space="preserve"> Other Onsite (¢/lb)</t>
  </si>
  <si>
    <t xml:space="preserve"> TCRC+Shipment (¢/lb)</t>
  </si>
  <si>
    <t xml:space="preserve"> Royalty (¢/lb)</t>
  </si>
  <si>
    <t xml:space="preserve"> Total Cash Cost (¢/lb)</t>
  </si>
  <si>
    <t>Zhezkazgan Complex</t>
  </si>
  <si>
    <t>27034</t>
  </si>
  <si>
    <t>Kazakhstan</t>
  </si>
  <si>
    <t>Cuprum Holding Ltd. (100.00)</t>
  </si>
  <si>
    <t>Metalkol RTR</t>
  </si>
  <si>
    <t>29829</t>
  </si>
  <si>
    <t>Dem. Rep. Congo</t>
  </si>
  <si>
    <t>Eurasian Group LLP (100.00)</t>
  </si>
  <si>
    <t>Central Region</t>
  </si>
  <si>
    <t>28638</t>
  </si>
  <si>
    <t>Garpenberg</t>
  </si>
  <si>
    <t>29632</t>
  </si>
  <si>
    <t>Sweden</t>
  </si>
  <si>
    <t>Boliden AB (publ) (100.00)</t>
  </si>
  <si>
    <t>Wenshan Dulong</t>
  </si>
  <si>
    <t>30968</t>
  </si>
  <si>
    <t>China</t>
  </si>
  <si>
    <t>Yunnan Hualian Zinc and Indium Co. Ltd. (100.00)</t>
  </si>
  <si>
    <t>Toquepala SX-EW</t>
  </si>
  <si>
    <t>75985</t>
  </si>
  <si>
    <t>Peru</t>
  </si>
  <si>
    <t>Southern Copper Corp. (100.00)</t>
  </si>
  <si>
    <t>Kevitsa</t>
  </si>
  <si>
    <t>29179</t>
  </si>
  <si>
    <t>Finland</t>
  </si>
  <si>
    <t>Heiniudong</t>
  </si>
  <si>
    <t>81508</t>
  </si>
  <si>
    <t>Unnamed Owner (100.00)</t>
  </si>
  <si>
    <t>Karaganda Region</t>
  </si>
  <si>
    <t>29432</t>
  </si>
  <si>
    <t>Kounrad Dump</t>
  </si>
  <si>
    <t>38114</t>
  </si>
  <si>
    <t>Central Asia Metals PLC (100.00)</t>
  </si>
  <si>
    <t>La Caridad SX-EW</t>
  </si>
  <si>
    <t>75984</t>
  </si>
  <si>
    <t>Mexico</t>
  </si>
  <si>
    <t>Southern Copper Corp. (98.10)
Unnamed Owner (1.90)</t>
  </si>
  <si>
    <t>Sanxin</t>
  </si>
  <si>
    <t>33937</t>
  </si>
  <si>
    <t>Zhongjin Gold Corp.Ltd. (51.00)
Unnamed Owner (49.00)</t>
  </si>
  <si>
    <t>Buenavista SX-EW</t>
  </si>
  <si>
    <t>75974</t>
  </si>
  <si>
    <t>Southern Copper Corp. (98.30)
Mexico (1.70)</t>
  </si>
  <si>
    <t>Jinchuan</t>
  </si>
  <si>
    <t>27136</t>
  </si>
  <si>
    <t>JinChuan Group Co.Ltd. (100.00)</t>
  </si>
  <si>
    <t>Union Section</t>
  </si>
  <si>
    <t>31296</t>
  </si>
  <si>
    <t>South Africa</t>
  </si>
  <si>
    <t>Siyanda Resources (Pty) Ltd. (85.00)
Bakgatla Ba Kgafela (15.00)</t>
  </si>
  <si>
    <t>Ashele</t>
  </si>
  <si>
    <t>28228</t>
  </si>
  <si>
    <t>Zijin Mining Group Co. Ltd. (51.00)
Xinjiang NonFerrous Metal Industry (Group) Co.Ltd. (34.00)
People's Government of Gansu Province (15.00)</t>
  </si>
  <si>
    <t>Santa Rita</t>
  </si>
  <si>
    <t>33832</t>
  </si>
  <si>
    <t>Brazil</t>
  </si>
  <si>
    <t>Appian Capital Advisory LLP (100.00)</t>
  </si>
  <si>
    <t>Radomiro Tomic</t>
  </si>
  <si>
    <t>27523</t>
  </si>
  <si>
    <t>Chile</t>
  </si>
  <si>
    <t>Codelco (100.00)</t>
  </si>
  <si>
    <t>Tonglvshan</t>
  </si>
  <si>
    <t>80699</t>
  </si>
  <si>
    <t>China Daye Non-Ferrous Metals Mining Ltd. (95.35)
Unnamed Owner (4.65)</t>
  </si>
  <si>
    <t>Miniere Musoshi Kinsenda</t>
  </si>
  <si>
    <t>30678</t>
  </si>
  <si>
    <t>Jinchuan Group International Resources Co. Ltd. (77.00)
SODIMICO (23.00)</t>
  </si>
  <si>
    <t>Timok</t>
  </si>
  <si>
    <t>33986</t>
  </si>
  <si>
    <t>Serbia</t>
  </si>
  <si>
    <t>Zijin Mining Group Co. Ltd. (100.00)</t>
  </si>
  <si>
    <t>Aljustrel</t>
  </si>
  <si>
    <t>26483</t>
  </si>
  <si>
    <t>Portugal</t>
  </si>
  <si>
    <t>I'M - SGPS SA (100.00)</t>
  </si>
  <si>
    <t>Liwu</t>
  </si>
  <si>
    <t>38217</t>
  </si>
  <si>
    <t>Sichuan Liwu Copper Mining Co. Ltd. (100.00)</t>
  </si>
  <si>
    <t>Sunan Dongshanding</t>
  </si>
  <si>
    <t>80830</t>
  </si>
  <si>
    <t>Private Interest (100.00)</t>
  </si>
  <si>
    <t>Eagle</t>
  </si>
  <si>
    <t>33795</t>
  </si>
  <si>
    <t>USA</t>
  </si>
  <si>
    <t>Lundin Mining Corp. (100.00)</t>
  </si>
  <si>
    <t>Lomas Bayas</t>
  </si>
  <si>
    <t>28842</t>
  </si>
  <si>
    <t>Glencore PLC (100.00)</t>
  </si>
  <si>
    <t>Kidd Creek</t>
  </si>
  <si>
    <t>27145</t>
  </si>
  <si>
    <t>Canada</t>
  </si>
  <si>
    <t>Buribayevsky</t>
  </si>
  <si>
    <t>33190</t>
  </si>
  <si>
    <t>Russia</t>
  </si>
  <si>
    <t>Ural Mining &amp; Metallurgical Co. (64.66)
People's Government of Gansu Province (35.34)</t>
  </si>
  <si>
    <t>Longwan</t>
  </si>
  <si>
    <t>80396</t>
  </si>
  <si>
    <t>Guangxi Luxi Longwan Mining Co., Ltd. (100.00)</t>
  </si>
  <si>
    <t>Antamina</t>
  </si>
  <si>
    <t>27115</t>
  </si>
  <si>
    <t>Glencore PLC (33.75)
BHP Group Ltd. (33.75)
Teck Resources Ltd. (22.50)
Mitsubishi Corp. (10.00)</t>
  </si>
  <si>
    <t>Booysendal South</t>
  </si>
  <si>
    <t>38707</t>
  </si>
  <si>
    <t>Northam Platinum Holdings Ltd. (100.00)</t>
  </si>
  <si>
    <t>Yinshan</t>
  </si>
  <si>
    <t>27818</t>
  </si>
  <si>
    <t>Jiangxi Copper Co. Ltd. (100.00)</t>
  </si>
  <si>
    <t>Nova-Bollinger</t>
  </si>
  <si>
    <t>40767</t>
  </si>
  <si>
    <t>Australia</t>
  </si>
  <si>
    <t>IGO Ltd. (100.00)</t>
  </si>
  <si>
    <t>Palabora</t>
  </si>
  <si>
    <t>27868</t>
  </si>
  <si>
    <t>HBIS Group Company Ltd. (35.00)
The Industrial Development Corporation of South Africa Ltd. (20.00)
Tewoo Group Co. Ltd. (20.00)
General Nice Development Ltd (20.00)
China-Africa Development Fund (5.00)</t>
  </si>
  <si>
    <t>Yulong</t>
  </si>
  <si>
    <t>29743</t>
  </si>
  <si>
    <t>Western Mining Co.Ltd. (58.00)
Zijin Mining Group Co. Ltd. (22.00)
Tibet No 6 Geology Survey Team (10.00)
Changdu Capital Management And Operation Co. (8.00)
Xizang Mineral Development Co. LTD (2.00)</t>
  </si>
  <si>
    <t>Collahuasi</t>
  </si>
  <si>
    <t>27283</t>
  </si>
  <si>
    <t>Glencore PLC (44.00)
Anglo American PLC (44.00)
Mitsui &amp; Co. Ltd. (11.03)
Mitsui Kinzoku Company Ltd. (0.97)</t>
  </si>
  <si>
    <t>Gaisky Complex</t>
  </si>
  <si>
    <t>28092</t>
  </si>
  <si>
    <t>Ural Mining &amp; Metallurgical Co. (100.00)</t>
  </si>
  <si>
    <t>Mogalakwena</t>
  </si>
  <si>
    <t>27377</t>
  </si>
  <si>
    <t>Valterra Platinum Ltd. (100.00)</t>
  </si>
  <si>
    <t>Norilsk</t>
  </si>
  <si>
    <t>75972</t>
  </si>
  <si>
    <t>PJSC Mining and Metallurgical Co. Norilsk Nickel (100.00)</t>
  </si>
  <si>
    <t>Mufulira</t>
  </si>
  <si>
    <t>28269</t>
  </si>
  <si>
    <t>Zambia</t>
  </si>
  <si>
    <t>ZCCM Investments Holdings PLC (100.00)</t>
  </si>
  <si>
    <t>Escondida SX-EW</t>
  </si>
  <si>
    <t>75982</t>
  </si>
  <si>
    <t>BHP Group Ltd. (57.50)
Rio Tinto Group (30.00)
Mitsubishi Corp. (8.25)
JX Advanced Metals Corp. (3.00)
Mitsubishi Materials Corp. (1.25)</t>
  </si>
  <si>
    <t>Ministro Hales</t>
  </si>
  <si>
    <t>28704</t>
  </si>
  <si>
    <t>Jabal Sayid</t>
  </si>
  <si>
    <t>25698</t>
  </si>
  <si>
    <t>Saudi Arabia</t>
  </si>
  <si>
    <t>Barrick Mining Corp. (50.00)
Saudi Arabian Mining Company (Maaden) (50.00)</t>
  </si>
  <si>
    <t>Aktogay SX-EW</t>
  </si>
  <si>
    <t>79434</t>
  </si>
  <si>
    <t>KAZ Minerals Limited (100.00)</t>
  </si>
  <si>
    <t>Los Bronces SX-EW</t>
  </si>
  <si>
    <t>75986</t>
  </si>
  <si>
    <t>Anglo American PLC (50.06)
Mitsubishi Corp. (20.44)
Codelco (20.00)
Mitsui &amp; Co. Ltd. (9.50)</t>
  </si>
  <si>
    <t>Kalatongke</t>
  </si>
  <si>
    <t>34844</t>
  </si>
  <si>
    <t>Xinjiang Xinxin Mining Industry Co. Ltd. (100.00)</t>
  </si>
  <si>
    <t>Mototolo</t>
  </si>
  <si>
    <t>33727</t>
  </si>
  <si>
    <t>Tulaergen</t>
  </si>
  <si>
    <t>80826</t>
  </si>
  <si>
    <t>China State-Owned Mining Enterprise (100.00)</t>
  </si>
  <si>
    <t>Sichuan La-La</t>
  </si>
  <si>
    <t>31591</t>
  </si>
  <si>
    <t>Andina Division</t>
  </si>
  <si>
    <t>27525</t>
  </si>
  <si>
    <t>Caraíba</t>
  </si>
  <si>
    <t>27830</t>
  </si>
  <si>
    <t>Ero Copper Corp. (99.60)
Unnamed Owner (0.40)</t>
  </si>
  <si>
    <t>Platinum Mile</t>
  </si>
  <si>
    <t>36120</t>
  </si>
  <si>
    <t>Sibanye Stillwater Ltd. (91.70)
Mvelaphanda Holdings (Proprietary) Ltd (8.30)</t>
  </si>
  <si>
    <t>Kolwezi</t>
  </si>
  <si>
    <t>78612</t>
  </si>
  <si>
    <t>Gécamines SA (61.00)</t>
  </si>
  <si>
    <t>Etoile</t>
  </si>
  <si>
    <t>36399</t>
  </si>
  <si>
    <t>Shalina Resources Ltd. (95.00)
Dem. Rep. Congo (5.00)</t>
  </si>
  <si>
    <t>Rubtsovskoye</t>
  </si>
  <si>
    <t>29195</t>
  </si>
  <si>
    <t>JSC "Sibir-Polymetal" (100.00)</t>
  </si>
  <si>
    <t>Zinkgruvan</t>
  </si>
  <si>
    <t>27384</t>
  </si>
  <si>
    <t>Kainantu</t>
  </si>
  <si>
    <t>31239</t>
  </si>
  <si>
    <t>Papua New Guinea</t>
  </si>
  <si>
    <t>K92 Mining Inc. (100.00)</t>
  </si>
  <si>
    <t>Tuwu-Yandong</t>
  </si>
  <si>
    <t>31590</t>
  </si>
  <si>
    <t>Yunnan Copper Co.Ltd. (51.00)
Oriental Pearl Group Co.Ltd. (49.00)</t>
  </si>
  <si>
    <t>Escondida</t>
  </si>
  <si>
    <t>26490</t>
  </si>
  <si>
    <t>Frontier</t>
  </si>
  <si>
    <t>32917</t>
  </si>
  <si>
    <t>Eurasian Resources Group SARL (95.00)
Dem. Rep. Congo (5.00)</t>
  </si>
  <si>
    <t>Toromocho</t>
  </si>
  <si>
    <t>28680</t>
  </si>
  <si>
    <t>Aluminum Corp. of China Ltd. (100.00)</t>
  </si>
  <si>
    <t>Chuquicamata SX-EW</t>
  </si>
  <si>
    <t>75977</t>
  </si>
  <si>
    <t>Yincan</t>
  </si>
  <si>
    <t>80825</t>
  </si>
  <si>
    <t>Buenavista</t>
  </si>
  <si>
    <t>26672</t>
  </si>
  <si>
    <t>Batu Hijau</t>
  </si>
  <si>
    <t>28386</t>
  </si>
  <si>
    <t>Indonesia</t>
  </si>
  <si>
    <t>Pt Medco Daya Abadi Lestari (12.94)
Vanguard Group Inc. (0.33)
PT AP Investment (0.01)</t>
  </si>
  <si>
    <t>Tizapa</t>
  </si>
  <si>
    <t>27632</t>
  </si>
  <si>
    <t>Industrias Peñoles SAB de CV (51.00)
Dowa Metals &amp; Mining Co. Ltd. (39.00)
Sumitomo Corp. (10.00)</t>
  </si>
  <si>
    <t>Grasberg</t>
  </si>
  <si>
    <t>26568</t>
  </si>
  <si>
    <t>Freeport-McMoRan Inc. (81.28)
PT Mineral Industri Indonesia (Persero) (18.72)</t>
  </si>
  <si>
    <t>Chambishi</t>
  </si>
  <si>
    <t>28268</t>
  </si>
  <si>
    <t>China Nonferrous Mining Corp. Ltd. (85.00)
ZCCM Investments Holdings PLC (15.00)</t>
  </si>
  <si>
    <t>Qilianshan</t>
  </si>
  <si>
    <t>81212</t>
  </si>
  <si>
    <t>Qinghai Qilianshan Copper Industry Co. Ltd. (100.00)</t>
  </si>
  <si>
    <t>Mirador</t>
  </si>
  <si>
    <t>31300</t>
  </si>
  <si>
    <t>Ecuador</t>
  </si>
  <si>
    <t>Tongling Nonferrous Metals Group Co. Ltd. (70.00)
China Railway Construction Investment Group Co.Ltd. (30.00)</t>
  </si>
  <si>
    <t>Bozshakol</t>
  </si>
  <si>
    <t>29312</t>
  </si>
  <si>
    <t>Cozamin</t>
  </si>
  <si>
    <t>32931</t>
  </si>
  <si>
    <t>Capstone Copper Corp. (100.00)</t>
  </si>
  <si>
    <t>Aranzazu</t>
  </si>
  <si>
    <t>30526</t>
  </si>
  <si>
    <t>Aura Minerals Inc. (100.00)</t>
  </si>
  <si>
    <t>Quellaveco</t>
  </si>
  <si>
    <t>27805</t>
  </si>
  <si>
    <t>Anglo American PLC (60.00)
Mitsubishi Corp. (40.00)</t>
  </si>
  <si>
    <t>Mutanda SX-EW</t>
  </si>
  <si>
    <t>76076</t>
  </si>
  <si>
    <t>Deziwa</t>
  </si>
  <si>
    <t>36928</t>
  </si>
  <si>
    <t>NA</t>
  </si>
  <si>
    <t>Tenke Fungurume</t>
  </si>
  <si>
    <t>28371</t>
  </si>
  <si>
    <t>CMOC Group Ltd. (80.00)
Gécamines SA (20.00)</t>
  </si>
  <si>
    <t>Kamoa-Kakula</t>
  </si>
  <si>
    <t>38134</t>
  </si>
  <si>
    <t>Ivanhoe Mines Ltd. (39.60)
Zijin Mining Group Co. Ltd. (39.60)
Dem. Rep. Congo (20.00)
Crystal River Global Limited (0.80)</t>
  </si>
  <si>
    <t>Kazzinc Consolidated</t>
  </si>
  <si>
    <t>29980</t>
  </si>
  <si>
    <t>Kazzinc Ltd. (100.00)</t>
  </si>
  <si>
    <t>El Teniente</t>
  </si>
  <si>
    <t>26696</t>
  </si>
  <si>
    <t>Deerni</t>
  </si>
  <si>
    <t>30531</t>
  </si>
  <si>
    <t>Modikwa</t>
  </si>
  <si>
    <t>31138</t>
  </si>
  <si>
    <t>Valterra Platinum Ltd. (50.00)
African Rainbow Minerals Ltd. (41.50)
Private Interest (8.50)</t>
  </si>
  <si>
    <t>Zarechensky</t>
  </si>
  <si>
    <t>30711</t>
  </si>
  <si>
    <t>Phu Kham</t>
  </si>
  <si>
    <t>33208</t>
  </si>
  <si>
    <t>Laos</t>
  </si>
  <si>
    <t>PanAust Ltd. (90.00)
Laos (10.00)</t>
  </si>
  <si>
    <t>Jinshen</t>
  </si>
  <si>
    <t>81270</t>
  </si>
  <si>
    <t>Anhui Chizhou Jinsen Mining Co. Ltd. (100.00)</t>
  </si>
  <si>
    <t>Marikana</t>
  </si>
  <si>
    <t>27605</t>
  </si>
  <si>
    <t>Sibanye Stillwater Ltd. (95.25)
Incwala Resource (Pty) Ltd. (4.75)</t>
  </si>
  <si>
    <t>Ernest Henry</t>
  </si>
  <si>
    <t>28428</t>
  </si>
  <si>
    <t>Evolution Mining Ltd. (100.00)</t>
  </si>
  <si>
    <t>Aitik</t>
  </si>
  <si>
    <t>27291</t>
  </si>
  <si>
    <t>Los Pelambres</t>
  </si>
  <si>
    <t>27131</t>
  </si>
  <si>
    <t>Antofagasta PLC (60.00)
JX Advanced Metals Corp. (15.79)
Mitsubishi Materials Corp. (10.00)
Marubeni Corp. (9.21)
Mitsubishi Corp. (5.00)</t>
  </si>
  <si>
    <t>Wushan</t>
  </si>
  <si>
    <t>27817</t>
  </si>
  <si>
    <t>Asientos</t>
  </si>
  <si>
    <t>31282</t>
  </si>
  <si>
    <t>Minera Frisco S.A.B. de C.V. (99.99)
Unnamed Owner (0.01)</t>
  </si>
  <si>
    <t>Amandelbult</t>
  </si>
  <si>
    <t>31295</t>
  </si>
  <si>
    <t>Booysendal North</t>
  </si>
  <si>
    <t>32552</t>
  </si>
  <si>
    <t>El Brocal</t>
  </si>
  <si>
    <t>26711</t>
  </si>
  <si>
    <t>Compañía de Minas Buenaventura SAA (61.43)
Unnamed Owner (38.57)</t>
  </si>
  <si>
    <t>Zijinshan</t>
  </si>
  <si>
    <t>29735</t>
  </si>
  <si>
    <t>Franke</t>
  </si>
  <si>
    <t>35428</t>
  </si>
  <si>
    <t>Grupo Minero Las Cenizas SA (100.00)</t>
  </si>
  <si>
    <t>Gabriela Mistral</t>
  </si>
  <si>
    <t>30555</t>
  </si>
  <si>
    <t>Black Mountain</t>
  </si>
  <si>
    <t>27286</t>
  </si>
  <si>
    <t>Vedanta Ltd. (74.00)
Exxaro Resources Ltd. (26.00)</t>
  </si>
  <si>
    <t>Yinlu</t>
  </si>
  <si>
    <t>81261</t>
  </si>
  <si>
    <t>Mt Isa Copper</t>
  </si>
  <si>
    <t>27243</t>
  </si>
  <si>
    <t>East Yellow Mountain</t>
  </si>
  <si>
    <t>33386</t>
  </si>
  <si>
    <t>Mount Milligan</t>
  </si>
  <si>
    <t>26984</t>
  </si>
  <si>
    <t>Centerra Gold Inc. (100.00)</t>
  </si>
  <si>
    <t>LaRonde</t>
  </si>
  <si>
    <t>25790</t>
  </si>
  <si>
    <t>Agnico Eagle Mines Ltd. (100.00)</t>
  </si>
  <si>
    <t>Toquepala</t>
  </si>
  <si>
    <t>26654</t>
  </si>
  <si>
    <t>Aktogay</t>
  </si>
  <si>
    <t>28811</t>
  </si>
  <si>
    <t>Matagami</t>
  </si>
  <si>
    <t>28581</t>
  </si>
  <si>
    <t>Dongshengmiao</t>
  </si>
  <si>
    <t>80256</t>
  </si>
  <si>
    <t>Wancheng Commercial Dongshengmiao Co. Ltd. (100.00)</t>
  </si>
  <si>
    <t>Cobre Panama</t>
  </si>
  <si>
    <t>34468</t>
  </si>
  <si>
    <t>Panama</t>
  </si>
  <si>
    <t>First Quantum Minerals Ltd. (90.00)
Korea Mine Rehabilitation and Mineral Resources Corp. (10.00)</t>
  </si>
  <si>
    <t>DeGrussa Processing Facility</t>
  </si>
  <si>
    <t>46435</t>
  </si>
  <si>
    <t>Hunchun</t>
  </si>
  <si>
    <t>33149</t>
  </si>
  <si>
    <t>Cuajone</t>
  </si>
  <si>
    <t>26653</t>
  </si>
  <si>
    <t>Sierra Gorda</t>
  </si>
  <si>
    <t>28650</t>
  </si>
  <si>
    <t>KGHM International Ltd. (55.00)
South32 Ltd. (45.00)</t>
  </si>
  <si>
    <t>Boddington</t>
  </si>
  <si>
    <t>25613</t>
  </si>
  <si>
    <t>Newmont Corp. (100.00)</t>
  </si>
  <si>
    <t>Carlota</t>
  </si>
  <si>
    <t>28022</t>
  </si>
  <si>
    <t>KGHM Polska Miedz SA (100.00)</t>
  </si>
  <si>
    <t>Raglan</t>
  </si>
  <si>
    <t>26073</t>
  </si>
  <si>
    <t>Two Rivers</t>
  </si>
  <si>
    <t>30707</t>
  </si>
  <si>
    <t>African Rainbow Minerals Ltd. (54.00)
Impala Platinum Holdings Ltd. (46.00)</t>
  </si>
  <si>
    <t>Didipio</t>
  </si>
  <si>
    <t>28530</t>
  </si>
  <si>
    <t>Philippines</t>
  </si>
  <si>
    <t>OceanaGold Corp. (92.00)
Private Interest (8.00)</t>
  </si>
  <si>
    <t>Doe Run Mines</t>
  </si>
  <si>
    <t>25493</t>
  </si>
  <si>
    <t>The Doe Run Resources Corp. (100.00)</t>
  </si>
  <si>
    <t>Kamoto SX-EW</t>
  </si>
  <si>
    <t>79271</t>
  </si>
  <si>
    <t>Glencore PLC (75.00)
Dem. Rep. Congo (25.00)</t>
  </si>
  <si>
    <t>Chengmenshan</t>
  </si>
  <si>
    <t>33372</t>
  </si>
  <si>
    <t>Duobaoshan</t>
  </si>
  <si>
    <t>33791</t>
  </si>
  <si>
    <t>Ray SX-EW</t>
  </si>
  <si>
    <t>76081</t>
  </si>
  <si>
    <t>Grupo México SAB de CV (100.00)</t>
  </si>
  <si>
    <t>Suolagou</t>
  </si>
  <si>
    <t>80824</t>
  </si>
  <si>
    <t>Sudbury Operations</t>
  </si>
  <si>
    <t>27146</t>
  </si>
  <si>
    <t>Dexing Complex</t>
  </si>
  <si>
    <t>27385</t>
  </si>
  <si>
    <t>Dajingzi</t>
  </si>
  <si>
    <t>81250</t>
  </si>
  <si>
    <t>Chifeng Dajingzi Mining Co., Ltd. (100.00)</t>
  </si>
  <si>
    <t>Ruashi</t>
  </si>
  <si>
    <t>29830</t>
  </si>
  <si>
    <t>Jinchuan Group International Resources Co. Ltd. (75.00)
Gécamines SA (25.00)</t>
  </si>
  <si>
    <t>Songjiang</t>
  </si>
  <si>
    <t>36775</t>
  </si>
  <si>
    <t>Carrapateena</t>
  </si>
  <si>
    <t>33838</t>
  </si>
  <si>
    <t>OZ Minerals Pty. Ltd. (100.00)</t>
  </si>
  <si>
    <t>Boliden Area</t>
  </si>
  <si>
    <t>27166</t>
  </si>
  <si>
    <t>Shitouzui</t>
  </si>
  <si>
    <t>61040</t>
  </si>
  <si>
    <t>Cerro de Maimon</t>
  </si>
  <si>
    <t>25700</t>
  </si>
  <si>
    <t>Dominican Republic</t>
  </si>
  <si>
    <t>Perilya Ltd. (100.00)</t>
  </si>
  <si>
    <t>Zangezur</t>
  </si>
  <si>
    <t>29283</t>
  </si>
  <si>
    <t>Armenia</t>
  </si>
  <si>
    <t>Zangezur Copper Molybdenum Combine CJSC (100.00)</t>
  </si>
  <si>
    <t>Zhibula</t>
  </si>
  <si>
    <t>81511</t>
  </si>
  <si>
    <t>Zijin Mining Group Co. Ltd. (50.10)
Private Interest (25.00)
Zangge Mining Company Ltd. (24.90)</t>
  </si>
  <si>
    <t>Suolajier</t>
  </si>
  <si>
    <t>81647</t>
  </si>
  <si>
    <t>Fuyuan</t>
  </si>
  <si>
    <t>81248</t>
  </si>
  <si>
    <t>Inner Mongolia Chifeng Fuyuan Mining Co. Ltd. (100.00)</t>
  </si>
  <si>
    <t>Huogeqi</t>
  </si>
  <si>
    <t>30656</t>
  </si>
  <si>
    <t>Western Mining Co.Ltd. (100.00)</t>
  </si>
  <si>
    <t>El Teniente SX-EW</t>
  </si>
  <si>
    <t>75978</t>
  </si>
  <si>
    <t>Nkana</t>
  </si>
  <si>
    <t>28270</t>
  </si>
  <si>
    <t>Bulyanhulu</t>
  </si>
  <si>
    <t>27160</t>
  </si>
  <si>
    <t>Tanzania</t>
  </si>
  <si>
    <t>Barrick Mining Corp. (84.00)
Tanzania (16.00)</t>
  </si>
  <si>
    <t>Tongkuangyu</t>
  </si>
  <si>
    <t>62900</t>
  </si>
  <si>
    <t>Munali</t>
  </si>
  <si>
    <t>27453</t>
  </si>
  <si>
    <t>Consolidated Mining and Investments Ltd (68.00)
Jinchuan Group International Resources Co. Ltd. (32.00)</t>
  </si>
  <si>
    <t>Constancia</t>
  </si>
  <si>
    <t>33414</t>
  </si>
  <si>
    <t>Hudbay Minerals Inc. (100.00)</t>
  </si>
  <si>
    <t>Trident - Sentinel</t>
  </si>
  <si>
    <t>36127</t>
  </si>
  <si>
    <t>First Quantum Minerals Ltd. (100.00)</t>
  </si>
  <si>
    <t>Luodong</t>
  </si>
  <si>
    <t>80822</t>
  </si>
  <si>
    <t>Huili County Luodong Copper Industry Co. Ltd. (100.00)</t>
  </si>
  <si>
    <t>Cerro Corona</t>
  </si>
  <si>
    <t>28818</t>
  </si>
  <si>
    <t>Gold Fields Ltd. (99.53)
Private Interest (0.47)</t>
  </si>
  <si>
    <t>Dapingzhang</t>
  </si>
  <si>
    <t>35291</t>
  </si>
  <si>
    <t>Yuxi Resources Corp. (50.00)
Grand Long Enterprises Ltd. (40.00)
Yunnan Dingtai Investment Co., Ltd. (10.00)</t>
  </si>
  <si>
    <t>Langyashan</t>
  </si>
  <si>
    <t>38210</t>
  </si>
  <si>
    <t>Zhangzhou Tongxin Mining Co. Ltd. (100.00)</t>
  </si>
  <si>
    <t>Chuquicamata</t>
  </si>
  <si>
    <t>26697</t>
  </si>
  <si>
    <t>Yauli</t>
  </si>
  <si>
    <t>26574</t>
  </si>
  <si>
    <t>Volcan Compañía Minera SAA (100.00)</t>
  </si>
  <si>
    <t>Bisha</t>
  </si>
  <si>
    <t>32625</t>
  </si>
  <si>
    <t>Eritrea</t>
  </si>
  <si>
    <t>Zijin Mining Group Co. Ltd. (55.00)
Eritrean National Mining Corp. (45.00)</t>
  </si>
  <si>
    <t>Zondereinde</t>
  </si>
  <si>
    <t>27501</t>
  </si>
  <si>
    <t>Centinela Oxide</t>
  </si>
  <si>
    <t>27981</t>
  </si>
  <si>
    <t>Antofagasta PLC (70.00)
Marubeni Corp. (30.00)</t>
  </si>
  <si>
    <t>Weilasituo</t>
  </si>
  <si>
    <t>35851</t>
  </si>
  <si>
    <t>Inner Mongolia Weila Situo Mining Industry Co., Ltd. (100.00)</t>
  </si>
  <si>
    <t>IMMSA</t>
  </si>
  <si>
    <t>29434</t>
  </si>
  <si>
    <t>Jiama</t>
  </si>
  <si>
    <t>32856</t>
  </si>
  <si>
    <t>China Gold International Resources Corp. Ltd. (100.00)</t>
  </si>
  <si>
    <t>Xiliduo</t>
  </si>
  <si>
    <t>81271</t>
  </si>
  <si>
    <t>Chengde Shuoda Mining Co., Ltd. (100.00)</t>
  </si>
  <si>
    <t>Olympic Dam</t>
  </si>
  <si>
    <t>25635</t>
  </si>
  <si>
    <t>BHP Group Ltd. (100.00)</t>
  </si>
  <si>
    <t>Las Bambas</t>
  </si>
  <si>
    <t>27804</t>
  </si>
  <si>
    <t>MMG Ltd. (62.50)
CNIC Corp. Ltd. (22.50)
Citic Ltd. (15.00)</t>
  </si>
  <si>
    <t>Candelaria</t>
  </si>
  <si>
    <t>27244</t>
  </si>
  <si>
    <t>Lundin Mining Corp. (80.00)
Sumitomo Metal Mining Co. Ltd. (16.00)
Sumitomo Corp. (4.00)</t>
  </si>
  <si>
    <t>Khoemacau</t>
  </si>
  <si>
    <t>36026</t>
  </si>
  <si>
    <t>Botswana</t>
  </si>
  <si>
    <t>Cupric Canyon Capital LLC (87.89)
RCF Private Equity Fund I LP (11.05)
Missouri Local Government Employees Retirement System (0.85)
The Ferreira Family Trust (0.21)</t>
  </si>
  <si>
    <t>Centinela Sulfide</t>
  </si>
  <si>
    <t>30972</t>
  </si>
  <si>
    <t>Xinzhuang</t>
  </si>
  <si>
    <t>40771</t>
  </si>
  <si>
    <t>Wanguo Gold Group Ltd. (100.00)</t>
  </si>
  <si>
    <t>Jinxing</t>
  </si>
  <si>
    <t>67702</t>
  </si>
  <si>
    <t>Bay Area Gold Group Ltd. (100.00)</t>
  </si>
  <si>
    <t>Silver Bell</t>
  </si>
  <si>
    <t>24880</t>
  </si>
  <si>
    <t>East Region Operations</t>
  </si>
  <si>
    <t>30277</t>
  </si>
  <si>
    <t>Pulang</t>
  </si>
  <si>
    <t>35707</t>
  </si>
  <si>
    <t>Yunnan Copper Co.Ltd. (70.00)
Yunnan Gold&amp;Mineral Group Co. Ltd. (20.00)
iqing Development and Investment Co. Ltd. (10.00)</t>
  </si>
  <si>
    <t>Wutonghua</t>
  </si>
  <si>
    <t>80807</t>
  </si>
  <si>
    <t>Wengniute Banner Wutonghua Copper Mine Houshan Mining (100.00)</t>
  </si>
  <si>
    <t>Continental</t>
  </si>
  <si>
    <t>24673</t>
  </si>
  <si>
    <t>Montana Resources LLP (100.00)</t>
  </si>
  <si>
    <t>Tayahua</t>
  </si>
  <si>
    <t>29924</t>
  </si>
  <si>
    <t>Minera Frisco S.A.B. de C.V. (90.20)
Minera Tayahua, S.A. De C.V. (9.80)</t>
  </si>
  <si>
    <t>Northparkes</t>
  </si>
  <si>
    <t>27165</t>
  </si>
  <si>
    <t>CMOC Group Ltd. (80.00)
Sumitomo Metal Mining Co. Ltd. (13.30)
Sumitomo Corp. (6.70)</t>
  </si>
  <si>
    <t>Baiyin Changtong</t>
  </si>
  <si>
    <t>28734</t>
  </si>
  <si>
    <t>Huayu</t>
  </si>
  <si>
    <t>80388</t>
  </si>
  <si>
    <t>Tibet Huayu Mining Co. Ltd. (100.00)</t>
  </si>
  <si>
    <t>Velardena</t>
  </si>
  <si>
    <t>35515</t>
  </si>
  <si>
    <t>Industrias Peñoles SAB de CV (100.00)</t>
  </si>
  <si>
    <t>Amawusu</t>
  </si>
  <si>
    <t>81246</t>
  </si>
  <si>
    <t>Siziwangqi Amawusu Mining Co. Ltd.Siziwangqi Amawusu Mining Co. Ltd. (100.00)</t>
  </si>
  <si>
    <t>Sarcheshmeh</t>
  </si>
  <si>
    <t>27619</t>
  </si>
  <si>
    <t>Iran</t>
  </si>
  <si>
    <t>National Iranian Copper (100.00)</t>
  </si>
  <si>
    <t>Unki</t>
  </si>
  <si>
    <t>30514</t>
  </si>
  <si>
    <t>Zimbabwe</t>
  </si>
  <si>
    <t>Nuoergai</t>
  </si>
  <si>
    <t>81249</t>
  </si>
  <si>
    <t>Bahrain Right Banner Norga Copper Mine Co. Ltd. (100.00)</t>
  </si>
  <si>
    <t>Huachin</t>
  </si>
  <si>
    <t>76077</t>
  </si>
  <si>
    <t>China Nonferrous Mining Corp. Ltd. (67.50)
Huachin SPRL (32.50)</t>
  </si>
  <si>
    <t>Caserones</t>
  </si>
  <si>
    <t>29152</t>
  </si>
  <si>
    <t>JX Advanced Metals Corp. (100.00)</t>
  </si>
  <si>
    <t>Deflector</t>
  </si>
  <si>
    <t>28512</t>
  </si>
  <si>
    <t>Silver Lake Resources Ltd. (100.00)</t>
  </si>
  <si>
    <t>Rosebery</t>
  </si>
  <si>
    <t>27542</t>
  </si>
  <si>
    <t>MMG Ltd. (100.00)</t>
  </si>
  <si>
    <t>Lindero</t>
  </si>
  <si>
    <t>32363</t>
  </si>
  <si>
    <t>Argentina</t>
  </si>
  <si>
    <t>Fortuna Mining Corp. (100.00)</t>
  </si>
  <si>
    <t>Lalor Lake</t>
  </si>
  <si>
    <t>35586</t>
  </si>
  <si>
    <t>Avino</t>
  </si>
  <si>
    <t>26257</t>
  </si>
  <si>
    <t>Avino Silver &amp; Gold Mines Ltd. (99.67)
Private Interest (0.33)</t>
  </si>
  <si>
    <t>Kroondal</t>
  </si>
  <si>
    <t>32954</t>
  </si>
  <si>
    <t>Valterra Platinum Ltd. (50.00)
Sibanye Stillwater Ltd. (50.00)</t>
  </si>
  <si>
    <t>Yangla</t>
  </si>
  <si>
    <t>33964</t>
  </si>
  <si>
    <t>Yunnan Copper Co.Ltd. (75.00)
云南楚雄矿冶有限公司 (16.67)
iqing Development and Investment Co. Ltd. (8.33)</t>
  </si>
  <si>
    <t>Highland Valley</t>
  </si>
  <si>
    <t>26575</t>
  </si>
  <si>
    <t>Teck Resources Ltd. (100.00)</t>
  </si>
  <si>
    <t>Chelopech</t>
  </si>
  <si>
    <t>28244</t>
  </si>
  <si>
    <t>Bulgaria</t>
  </si>
  <si>
    <t>DPM Metals Inc. (100.00)</t>
  </si>
  <si>
    <t>Zimplats</t>
  </si>
  <si>
    <t>29249</t>
  </si>
  <si>
    <t>Zimplats Holdings Ltd. (100.00)</t>
  </si>
  <si>
    <t>Bingham Canyon</t>
  </si>
  <si>
    <t>24783</t>
  </si>
  <si>
    <t>Rio Tinto Group (100.00)</t>
  </si>
  <si>
    <t>Spence</t>
  </si>
  <si>
    <t>30025</t>
  </si>
  <si>
    <t>Spence SX-EW</t>
  </si>
  <si>
    <t>79640</t>
  </si>
  <si>
    <t>Chibuluma South</t>
  </si>
  <si>
    <t>31323</t>
  </si>
  <si>
    <t>Changhong</t>
  </si>
  <si>
    <t>81644</t>
  </si>
  <si>
    <t>Nevada Operations</t>
  </si>
  <si>
    <t>27560</t>
  </si>
  <si>
    <t>Barrick Mining Corp. (61.50)
Newmont Corp. (38.50)</t>
  </si>
  <si>
    <t>Impala Bafokeng</t>
  </si>
  <si>
    <t>30267</t>
  </si>
  <si>
    <t>Impala Bafokeng Platinum (Pty) Ltd. (100.00)</t>
  </si>
  <si>
    <t>Antapaccay</t>
  </si>
  <si>
    <t>36915</t>
  </si>
  <si>
    <t>Qulong</t>
  </si>
  <si>
    <t>34296</t>
  </si>
  <si>
    <t>Xingjiang</t>
  </si>
  <si>
    <t>36137</t>
  </si>
  <si>
    <t>China Daye Non-Ferrous Metals Mining Ltd. (55.00)
Unnamed Owner (45.00)</t>
  </si>
  <si>
    <t>Varvara</t>
  </si>
  <si>
    <t>29607</t>
  </si>
  <si>
    <t>Solidcore Resources PLC (100.00)</t>
  </si>
  <si>
    <t>Tongdan</t>
  </si>
  <si>
    <t>80815</t>
  </si>
  <si>
    <t>Xinqiao</t>
  </si>
  <si>
    <t>61038</t>
  </si>
  <si>
    <t>Tongling Chemical Industry Group Co.Ltd. (100.00)</t>
  </si>
  <si>
    <t>El Abra</t>
  </si>
  <si>
    <t>27678</t>
  </si>
  <si>
    <t>Freeport-McMoRan Inc. (51.00)
Codelco (49.00)</t>
  </si>
  <si>
    <t>San Martin</t>
  </si>
  <si>
    <t>29435</t>
  </si>
  <si>
    <t>Prominent Hill</t>
  </si>
  <si>
    <t>32233</t>
  </si>
  <si>
    <t>Rustenburg</t>
  </si>
  <si>
    <t>27519</t>
  </si>
  <si>
    <t>Sibanye Stillwater Ltd. (100.00)</t>
  </si>
  <si>
    <t>Salobo</t>
  </si>
  <si>
    <t>25761</t>
  </si>
  <si>
    <t>Vale SA (100.00)</t>
  </si>
  <si>
    <t>Western Limb Tailings</t>
  </si>
  <si>
    <t>32553</t>
  </si>
  <si>
    <t>Zaldivar</t>
  </si>
  <si>
    <t>27390</t>
  </si>
  <si>
    <t>Barrick Mining Corp. (50.00)
Antofagasta PLC (50.00)</t>
  </si>
  <si>
    <t>Dongguashan</t>
  </si>
  <si>
    <t>29285</t>
  </si>
  <si>
    <t>Tongling Nonferrous Metals Group Co. Ltd. (100.00)</t>
  </si>
  <si>
    <t>Yauliyacu</t>
  </si>
  <si>
    <t>27728</t>
  </si>
  <si>
    <t>Glencore PLC (97.60)
Private Interest (2.40)</t>
  </si>
  <si>
    <t>Robinson</t>
  </si>
  <si>
    <t>27653</t>
  </si>
  <si>
    <t>Lumwana</t>
  </si>
  <si>
    <t>28868</t>
  </si>
  <si>
    <t>Barrick Mining Corp. (100.00)</t>
  </si>
  <si>
    <t>Los Bronces</t>
  </si>
  <si>
    <t>26723</t>
  </si>
  <si>
    <t>Wunugetushan</t>
  </si>
  <si>
    <t>29742</t>
  </si>
  <si>
    <t>Zhongjin Gold Corp.Ltd. (90.00)
China National Gold Group Co. Ltd. (10.00)</t>
  </si>
  <si>
    <t>Eloise</t>
  </si>
  <si>
    <t>28703</t>
  </si>
  <si>
    <t>AIC Mines Ltd. (100.00)</t>
  </si>
  <si>
    <t>Eland</t>
  </si>
  <si>
    <t>34342</t>
  </si>
  <si>
    <t>Campo Morado</t>
  </si>
  <si>
    <t>29404</t>
  </si>
  <si>
    <t>Luca Mining Corp. (99.90)
Reynas Minas SA de CV (0.10)</t>
  </si>
  <si>
    <t>Chino SX-EW</t>
  </si>
  <si>
    <t>75976</t>
  </si>
  <si>
    <t>Freeport-McMoRan Inc. (100.00)</t>
  </si>
  <si>
    <t>Salvador</t>
  </si>
  <si>
    <t>28010</t>
  </si>
  <si>
    <t>Tyrone SX-EW</t>
  </si>
  <si>
    <t>76109</t>
  </si>
  <si>
    <t>Sunan</t>
  </si>
  <si>
    <t>38224</t>
  </si>
  <si>
    <t>La Caridad</t>
  </si>
  <si>
    <t>27342</t>
  </si>
  <si>
    <t>Kansanshi</t>
  </si>
  <si>
    <t>26668</t>
  </si>
  <si>
    <t>First Quantum Minerals Ltd. (80.00)
ZCCM Investments Holdings PLC (20.00)</t>
  </si>
  <si>
    <t>Shilong</t>
  </si>
  <si>
    <t>81649</t>
  </si>
  <si>
    <t>Cerro Verde SX-EW</t>
  </si>
  <si>
    <t>75975</t>
  </si>
  <si>
    <t>Freeport-McMoRan Inc. (53.56)
Sumitomo Metal Mining Co. Ltd. (21.00)
Compañía de Minas Buenaventura SAA (19.58)
Unnamed Owner (5.86)</t>
  </si>
  <si>
    <t>Kyzyl-Tash Turk</t>
  </si>
  <si>
    <t>35493</t>
  </si>
  <si>
    <t>Zijin Mining Group Co. Ltd. (70.00)
Shandong Longxing Group Laizhou Chemical Building Materials Co.Ltd. (30.00)</t>
  </si>
  <si>
    <t>Uchaly</t>
  </si>
  <si>
    <t>28090</t>
  </si>
  <si>
    <t>Tangtang</t>
  </si>
  <si>
    <t>81642</t>
  </si>
  <si>
    <t>Huzhan</t>
  </si>
  <si>
    <t>80804</t>
  </si>
  <si>
    <t>Shuyang County Qianpu Mining Co., Ltd. (100.00)</t>
  </si>
  <si>
    <t>Sierrita SX-EW</t>
  </si>
  <si>
    <t>76079</t>
  </si>
  <si>
    <t>Mimosa</t>
  </si>
  <si>
    <t>27951</t>
  </si>
  <si>
    <t>Impala Platinum Holdings Ltd. (50.00)
Sibanye Stillwater Ltd. (50.00)</t>
  </si>
  <si>
    <t>Miami</t>
  </si>
  <si>
    <t>24469</t>
  </si>
  <si>
    <t>Safford</t>
  </si>
  <si>
    <t>27280</t>
  </si>
  <si>
    <t>Jiuquan</t>
  </si>
  <si>
    <t>36374</t>
  </si>
  <si>
    <t>Sunan County Qilianshan Mining Co. Ltd. (100.00)</t>
  </si>
  <si>
    <t>Morenci SX-EW</t>
  </si>
  <si>
    <t>75988</t>
  </si>
  <si>
    <t>Freeport-McMoRan Inc. (72.00)
Sumitomo Metal Mining Co. Ltd. (25.00)
Sumitomo Corp. (3.00)</t>
  </si>
  <si>
    <t>Chino</t>
  </si>
  <si>
    <t>24733</t>
  </si>
  <si>
    <t>Antucoya</t>
  </si>
  <si>
    <t>30340</t>
  </si>
  <si>
    <t>Padcal</t>
  </si>
  <si>
    <t>27918</t>
  </si>
  <si>
    <t>Philex Mining Corp. (100.00)</t>
  </si>
  <si>
    <t>Chungar</t>
  </si>
  <si>
    <t>31651</t>
  </si>
  <si>
    <t>Erdenet</t>
  </si>
  <si>
    <t>27495</t>
  </si>
  <si>
    <t>Mongolia</t>
  </si>
  <si>
    <t>Mongolia (51.00)
Mongolian Copper Corp. LLC (49.00)</t>
  </si>
  <si>
    <t>Mantos Blancos</t>
  </si>
  <si>
    <t>27616</t>
  </si>
  <si>
    <t>Bozymchak</t>
  </si>
  <si>
    <t>35199</t>
  </si>
  <si>
    <t>Kyrgyzstan</t>
  </si>
  <si>
    <t>Luojiahe</t>
  </si>
  <si>
    <t>80813</t>
  </si>
  <si>
    <t>Wuqu County Wulong Industrial Co. Ltd. (100.00)</t>
  </si>
  <si>
    <t>Antas</t>
  </si>
  <si>
    <t>35780</t>
  </si>
  <si>
    <t>MATSA</t>
  </si>
  <si>
    <t>27674</t>
  </si>
  <si>
    <t>Spain</t>
  </si>
  <si>
    <t>Sandfire Resources Ltd. (100.00)</t>
  </si>
  <si>
    <t>Jilongshan</t>
  </si>
  <si>
    <t>34035</t>
  </si>
  <si>
    <t>Zhongjin Gold Corp.Ltd. (55.00)
Unnamed Owner (45.00)</t>
  </si>
  <si>
    <t>Ontario Division</t>
  </si>
  <si>
    <t>27672</t>
  </si>
  <si>
    <t>Sierrita</t>
  </si>
  <si>
    <t>24503</t>
  </si>
  <si>
    <t>Tanyaokou</t>
  </si>
  <si>
    <t>29749</t>
  </si>
  <si>
    <t>Qingdao Qihua Investment Holding Co., Ltd. (100.00)</t>
  </si>
  <si>
    <t>Bagdad</t>
  </si>
  <si>
    <t>24518</t>
  </si>
  <si>
    <t>Jingbian</t>
  </si>
  <si>
    <t>80803</t>
  </si>
  <si>
    <t>Morenci</t>
  </si>
  <si>
    <t>24473</t>
  </si>
  <si>
    <t>Cerro Verde</t>
  </si>
  <si>
    <t>27055</t>
  </si>
  <si>
    <t>Freeport-McMoRan Inc. (53.56)
Compañía de Minas Buenaventura SAA (19.58)
Sumitomo Metal Mining Co. Ltd. (16.80)
Unnamed Owner (5.86)
Sumitomo Corp. (4.20)</t>
  </si>
  <si>
    <t>Mabende</t>
  </si>
  <si>
    <t>76078</t>
  </si>
  <si>
    <t>China Nonferrous Mining Corp. Ltd. (42.00)
Huachin SARL (35.00)
Unnamed Owner (23.00)</t>
  </si>
  <si>
    <t>El Soldado</t>
  </si>
  <si>
    <t>26722</t>
  </si>
  <si>
    <t>Myra Falls</t>
  </si>
  <si>
    <t>25831</t>
  </si>
  <si>
    <t>Trafigura Group Pte. Ltd. (100.00)</t>
  </si>
  <si>
    <t>Kansanshi SX-EW</t>
  </si>
  <si>
    <t>75983</t>
  </si>
  <si>
    <t>Trojan</t>
  </si>
  <si>
    <t>28364</t>
  </si>
  <si>
    <t>Bindura Nickel Corp. Ltd. (100.00)</t>
  </si>
  <si>
    <t>Huaron</t>
  </si>
  <si>
    <t>27879</t>
  </si>
  <si>
    <t>Pan American Silver Corp. (100.00)</t>
  </si>
  <si>
    <t>Chapada</t>
  </si>
  <si>
    <t>29357</t>
  </si>
  <si>
    <t>Stillwater</t>
  </si>
  <si>
    <t>24891</t>
  </si>
  <si>
    <t>Penasquito</t>
  </si>
  <si>
    <t>30578</t>
  </si>
  <si>
    <t>El Porvenir</t>
  </si>
  <si>
    <t>28596</t>
  </si>
  <si>
    <t>Nexa Resources Perú SAA (100.00)</t>
  </si>
  <si>
    <t>Wetar</t>
  </si>
  <si>
    <t>27065</t>
  </si>
  <si>
    <t>PT Merdeka Copper Gold Tbk (99.99)
Posco International Corp. (0.01)</t>
  </si>
  <si>
    <t>Mantoverde SX-EW</t>
  </si>
  <si>
    <t>90939</t>
  </si>
  <si>
    <t>Capstone Copper Corp. (69.99)
Mitsubishi Materials Corp. (30.00)
Unnamed Owner (0.01)</t>
  </si>
  <si>
    <t>Peak</t>
  </si>
  <si>
    <t>26771</t>
  </si>
  <si>
    <t>Aurelia Metals Ltd. (100.00)</t>
  </si>
  <si>
    <t>Charcas</t>
  </si>
  <si>
    <t>28283</t>
  </si>
  <si>
    <t>Pinto Valley</t>
  </si>
  <si>
    <t>24470</t>
  </si>
  <si>
    <t>Ok Tedi</t>
  </si>
  <si>
    <t>25715</t>
  </si>
  <si>
    <t>Ok Tedi Mining Ltd. (100.00)</t>
  </si>
  <si>
    <t>Daluowan</t>
  </si>
  <si>
    <t>81201</t>
  </si>
  <si>
    <t>KGHM Polska Miedz</t>
  </si>
  <si>
    <t>28257</t>
  </si>
  <si>
    <t>Poland</t>
  </si>
  <si>
    <t>Tonghe</t>
  </si>
  <si>
    <t>80810</t>
  </si>
  <si>
    <t>Linxi County Tonghe Mining Co., Ltd. (100.00)</t>
  </si>
  <si>
    <t>Yauricocha</t>
  </si>
  <si>
    <t>27747</t>
  </si>
  <si>
    <t>Sierra Metals Inc. (81.84)
Private Interest (18.16)</t>
  </si>
  <si>
    <t>Shunqiang</t>
  </si>
  <si>
    <t>81263</t>
  </si>
  <si>
    <t>Kunming Shunqiang Mining Co. Ltd. (100.00)</t>
  </si>
  <si>
    <t>Oyu Tolgoi</t>
  </si>
  <si>
    <t>31528</t>
  </si>
  <si>
    <t>Rio Tinto Group (66.00)
Mongolia (34.00)</t>
  </si>
  <si>
    <t>Alex</t>
  </si>
  <si>
    <t>81253</t>
  </si>
  <si>
    <t>Minto</t>
  </si>
  <si>
    <t>26096</t>
  </si>
  <si>
    <t>Minto Metals Corp. (100.00)</t>
  </si>
  <si>
    <t>Kinsevere</t>
  </si>
  <si>
    <t>33340</t>
  </si>
  <si>
    <t>Kapan</t>
  </si>
  <si>
    <t>31402</t>
  </si>
  <si>
    <t>Chaarat Gold Holdings Ltd. (100.00)</t>
  </si>
  <si>
    <t>Lianhuashan</t>
  </si>
  <si>
    <t>30657</t>
  </si>
  <si>
    <t>Tuquan County Lianhuashan Mining Co. Ltd. (100.00)</t>
  </si>
  <si>
    <t>Yiyang Xuri</t>
  </si>
  <si>
    <t>80832</t>
  </si>
  <si>
    <t>Shuyang Xuri Copper Mining Co. Ltd. (100.00)</t>
  </si>
  <si>
    <t>Impala Canada</t>
  </si>
  <si>
    <t>25979</t>
  </si>
  <si>
    <t>Impala Platinum Holdings Ltd. (100.00)</t>
  </si>
  <si>
    <t>Bystrinskoye</t>
  </si>
  <si>
    <t>33413</t>
  </si>
  <si>
    <t>PJSC Mining and Metallurgical Co. Norilsk Nickel (50.01)
CIS Natural Resources Fund (39.32)
Highland Fund (10.67)</t>
  </si>
  <si>
    <t>Pyhasalmi</t>
  </si>
  <si>
    <t>29071</t>
  </si>
  <si>
    <t>Mantos Blancos SX-EW</t>
  </si>
  <si>
    <t>75987</t>
  </si>
  <si>
    <t>Cobar</t>
  </si>
  <si>
    <t>28004</t>
  </si>
  <si>
    <t>Bizhigou</t>
  </si>
  <si>
    <t>80814</t>
  </si>
  <si>
    <t>Shanxi Zhongtiaoshan Nonferrous Metals Group Zizigou Mining Co. Ltd. (100.00)</t>
  </si>
  <si>
    <t>Muliashi North</t>
  </si>
  <si>
    <t>30969</t>
  </si>
  <si>
    <t>China Nonferrous Mining Corp. Ltd. (80.00)
Zambia (20.00)</t>
  </si>
  <si>
    <t>Phoenix SX-EW</t>
  </si>
  <si>
    <t>76083</t>
  </si>
  <si>
    <t>Yaodongzao</t>
  </si>
  <si>
    <t>81202</t>
  </si>
  <si>
    <t>Subei County Yuxi Mining Co. Ltd. (100.00)</t>
  </si>
  <si>
    <t>Laolaihong</t>
  </si>
  <si>
    <t>81232</t>
  </si>
  <si>
    <t>Kunming Laolaihong Mining Co. Ltd. (100.00)</t>
  </si>
  <si>
    <t>Lanniping</t>
  </si>
  <si>
    <t>81195</t>
  </si>
  <si>
    <t>Tangdan Conc. Plant (100.00)</t>
  </si>
  <si>
    <t>Somincor</t>
  </si>
  <si>
    <t>25687</t>
  </si>
  <si>
    <t>Yinmin</t>
  </si>
  <si>
    <t>81242</t>
  </si>
  <si>
    <t>Erzhulong</t>
  </si>
  <si>
    <t>81213</t>
  </si>
  <si>
    <t>Qinghai Xinguang Mining and Trade Co. Ltd. (100.00)</t>
  </si>
  <si>
    <t>Flin Flon</t>
  </si>
  <si>
    <t>75971</t>
  </si>
  <si>
    <t>Lubambe</t>
  </si>
  <si>
    <t>28837</t>
  </si>
  <si>
    <t>EMR Capital Pty. Ltd. (80.00)
ZCCM Investments Holdings PLC (20.00)</t>
  </si>
  <si>
    <t>Julcani</t>
  </si>
  <si>
    <t>28605</t>
  </si>
  <si>
    <t>Compañía de Minas Buenaventura SAA (100.00)</t>
  </si>
  <si>
    <t>Voisey's Bay</t>
  </si>
  <si>
    <t>28992</t>
  </si>
  <si>
    <t>Maoyuan</t>
  </si>
  <si>
    <t>81251</t>
  </si>
  <si>
    <t>San Vicente</t>
  </si>
  <si>
    <t>27623</t>
  </si>
  <si>
    <t>Bolivia</t>
  </si>
  <si>
    <t>Pan American Silver Corp. (95.00)
Trafigura Group Pte. Ltd. (5.00)</t>
  </si>
  <si>
    <t>Cerro Lindo</t>
  </si>
  <si>
    <t>29509</t>
  </si>
  <si>
    <t>Tongshanpai</t>
  </si>
  <si>
    <t>81198</t>
  </si>
  <si>
    <t>Anhui Chizhou Jinchi Investment Co. Ltd. (100.00)</t>
  </si>
  <si>
    <t>Sossego</t>
  </si>
  <si>
    <t>31223</t>
  </si>
  <si>
    <t>Langlike</t>
  </si>
  <si>
    <t>61027</t>
  </si>
  <si>
    <t>Guelb Moghrein</t>
  </si>
  <si>
    <t>28286</t>
  </si>
  <si>
    <t>Mauritania</t>
  </si>
  <si>
    <t>Atlas Toledo</t>
  </si>
  <si>
    <t>26908</t>
  </si>
  <si>
    <t>Atlas Consolidated Mining &amp; Development Corp. (100.00)</t>
  </si>
  <si>
    <t>Niutoushan</t>
  </si>
  <si>
    <t>66154</t>
  </si>
  <si>
    <t>Wanyu Mining (65.00)
Yinfu Gold Corp. (35.00)</t>
  </si>
  <si>
    <t>Zhenxing</t>
  </si>
  <si>
    <t>80806</t>
  </si>
  <si>
    <t>New Afton</t>
  </si>
  <si>
    <t>26942</t>
  </si>
  <si>
    <t>New Gold Inc. (100.00)</t>
  </si>
  <si>
    <t>Fengjiashan</t>
  </si>
  <si>
    <t>81205</t>
  </si>
  <si>
    <t>Hubei Fengjiashan Mining Co. Ltd. (100.00)</t>
  </si>
  <si>
    <t>Fenghuangshan</t>
  </si>
  <si>
    <t>29286</t>
  </si>
  <si>
    <t>Savannah</t>
  </si>
  <si>
    <t>27713</t>
  </si>
  <si>
    <t>Panoramic Resources Ltd. (100.00)</t>
  </si>
  <si>
    <t>Bor Basin</t>
  </si>
  <si>
    <t>27543</t>
  </si>
  <si>
    <t>Zijin Mining Group Co. Ltd. (63.00)
RTB Bor Group d.o.o. (37.00)</t>
  </si>
  <si>
    <t>Ray</t>
  </si>
  <si>
    <t>24509</t>
  </si>
  <si>
    <t>Tianbaoshan</t>
  </si>
  <si>
    <t>61042</t>
  </si>
  <si>
    <t>Sichuan Huili Lead &amp; Zinc Co., Ltd. (100.00)</t>
  </si>
  <si>
    <t>Gibraltar</t>
  </si>
  <si>
    <t>26577</t>
  </si>
  <si>
    <t>Taseko Mines Ltd. (75.00)
Sojitz Corp. (12.50)
Furukawa Co.Ltd. (6.25)
Dowa Holdings Co. Ltd. (6.25)</t>
  </si>
  <si>
    <t>Carmen de Andacollo</t>
  </si>
  <si>
    <t>27530</t>
  </si>
  <si>
    <t>Teck Resources Ltd. (90.00)
Empresa Nacional de Minería (10.00)</t>
  </si>
  <si>
    <t>Golden Grove</t>
  </si>
  <si>
    <t>25685</t>
  </si>
  <si>
    <t>29Metals Ltd. (100.00)</t>
  </si>
  <si>
    <t>Shijiangjun</t>
  </si>
  <si>
    <t>81256</t>
  </si>
  <si>
    <t>Bashkir</t>
  </si>
  <si>
    <t>30486</t>
  </si>
  <si>
    <t>Ural Mining &amp; Metallurgical Co. (79.78)</t>
  </si>
  <si>
    <t>Proyecto de Rio Tinto</t>
  </si>
  <si>
    <t>30469</t>
  </si>
  <si>
    <t>Atalaya Mining Copper SA (100.00)</t>
  </si>
  <si>
    <t>Caserones SX-EW</t>
  </si>
  <si>
    <t>76101</t>
  </si>
  <si>
    <t>Shangrao</t>
  </si>
  <si>
    <t>81211</t>
  </si>
  <si>
    <t>Jiangxi Jinyu Industrial Group Co. Ltd. (100.00)</t>
  </si>
  <si>
    <t>Red Chris</t>
  </si>
  <si>
    <t>28908</t>
  </si>
  <si>
    <t>Newcrest Mining Ltd. (70.00)
Imperial Metals Corp. (30.00)</t>
  </si>
  <si>
    <t>Pilanesberg</t>
  </si>
  <si>
    <t>32875</t>
  </si>
  <si>
    <t>Sedibelo Resources Limited (100.00)</t>
  </si>
  <si>
    <t>Anqing</t>
  </si>
  <si>
    <t>27467</t>
  </si>
  <si>
    <t>Tongdu Copper Works (100.00)</t>
  </si>
  <si>
    <t>Jiujiang</t>
  </si>
  <si>
    <t>80801</t>
  </si>
  <si>
    <t>Jiujiang Mining and Metallurgy Co. Ltd. (100.00)</t>
  </si>
  <si>
    <t>Soerkuduke</t>
  </si>
  <si>
    <t>30665</t>
  </si>
  <si>
    <t>Baiyin Nonferrous Group Co. Ltd. (100.00)</t>
  </si>
  <si>
    <t>Kipoi SX-EW</t>
  </si>
  <si>
    <t>80064</t>
  </si>
  <si>
    <t>Tiger Resources Ltd. (95.00)
Gécamines SA (5.00)</t>
  </si>
  <si>
    <t>Yinshanling</t>
  </si>
  <si>
    <t>81196</t>
  </si>
  <si>
    <t>Yinxianling Mining Co. Ltd. (100.00)</t>
  </si>
  <si>
    <t>Dahongshan</t>
  </si>
  <si>
    <t>29744</t>
  </si>
  <si>
    <t>Yunnan Copper Co.Ltd. (100.00)</t>
  </si>
  <si>
    <t>El Teniente Tailings</t>
  </si>
  <si>
    <t>32770</t>
  </si>
  <si>
    <t>Amerigo Resources Ltd. (100.00)</t>
  </si>
  <si>
    <t>Ellatzite</t>
  </si>
  <si>
    <t>28750</t>
  </si>
  <si>
    <t>Geotechmin Ood (100.00)</t>
  </si>
  <si>
    <t>Hemeida Industrial and Trading Company</t>
  </si>
  <si>
    <t>81231</t>
  </si>
  <si>
    <t>Kunming Hemeida Industry and Trade Co. Ltd. (100.00)</t>
  </si>
  <si>
    <t>San Francisco del Oro</t>
  </si>
  <si>
    <t>28591</t>
  </si>
  <si>
    <t>Minera Frisco S.A.B. de C.V. (99.16)
Unnamed Owner (0.84)</t>
  </si>
  <si>
    <t>Zhixincheng Conc. Plant</t>
  </si>
  <si>
    <t>81238</t>
  </si>
  <si>
    <t>Zhixincheng Conc. Plant (100.00)</t>
  </si>
  <si>
    <t>Tritton</t>
  </si>
  <si>
    <t>29544</t>
  </si>
  <si>
    <t>Aeris Resources Ltd. (100.00)</t>
  </si>
  <si>
    <t>Zhurihe</t>
  </si>
  <si>
    <t>80811</t>
  </si>
  <si>
    <t>Sunite Right Banner Zhurihe Copper Industry Co. Ltd. (100.00)</t>
  </si>
  <si>
    <t>Telfer</t>
  </si>
  <si>
    <t>26419</t>
  </si>
  <si>
    <t>Newcrest Mining Ltd. (100.00)</t>
  </si>
  <si>
    <t>Fengshan</t>
  </si>
  <si>
    <t>80697</t>
  </si>
  <si>
    <t>Tongshan</t>
  </si>
  <si>
    <t>29739</t>
  </si>
  <si>
    <t>Datong</t>
  </si>
  <si>
    <t>80818</t>
  </si>
  <si>
    <t>Thalanga</t>
  </si>
  <si>
    <t>25699</t>
  </si>
  <si>
    <t>Red River Resources Ltd. (100.00)</t>
  </si>
  <si>
    <t>Nanchong</t>
  </si>
  <si>
    <t>81216</t>
  </si>
  <si>
    <t>Yinan</t>
  </si>
  <si>
    <t>63901</t>
  </si>
  <si>
    <t>Shandong Gold Mining Co. Ltd. (100.00)</t>
  </si>
  <si>
    <t>Quebrada Blanca SX-EW</t>
  </si>
  <si>
    <t>76084</t>
  </si>
  <si>
    <t>Teck Resources Ltd. (60.00)
Sumitomo Metal Mining Co. Ltd. (25.00)
Empresa Nacional de Minería (10.00)
Sumitomo Corp. (5.00)</t>
  </si>
  <si>
    <t>Lvshui</t>
  </si>
  <si>
    <t>81218</t>
  </si>
  <si>
    <t>Huili Xingda Mining Co. Ltd. (100.00)</t>
  </si>
  <si>
    <t>Sabinas</t>
  </si>
  <si>
    <t>30768</t>
  </si>
  <si>
    <t>Capela</t>
  </si>
  <si>
    <t>27826</t>
  </si>
  <si>
    <t>Xinwang</t>
  </si>
  <si>
    <t>81254</t>
  </si>
  <si>
    <t>Zhejiang Xinwang Mining Group Co. Ltd. (100.00)</t>
  </si>
  <si>
    <t>Panagyurishte SX-EW</t>
  </si>
  <si>
    <t>83736</t>
  </si>
  <si>
    <t>Assarel-Medet JSCo. (100.00)</t>
  </si>
  <si>
    <t>Wutongjing</t>
  </si>
  <si>
    <t>81199</t>
  </si>
  <si>
    <t>Mission</t>
  </si>
  <si>
    <t>24505</t>
  </si>
  <si>
    <t>Qiaoxiahala</t>
  </si>
  <si>
    <t>80827</t>
  </si>
  <si>
    <t>Tongshankou</t>
  </si>
  <si>
    <t>30654</t>
  </si>
  <si>
    <t>China Daye Non-Ferrous Metals Mining Ltd. (95.35)
China Nonferrous Metal Mining (Group) Co. Ltd. (4.65)</t>
  </si>
  <si>
    <t>Panagyurishte Mining and Processing Complex</t>
  </si>
  <si>
    <t>27302</t>
  </si>
  <si>
    <t>Dongtong</t>
  </si>
  <si>
    <t>36767</t>
  </si>
  <si>
    <t>Morococha</t>
  </si>
  <si>
    <t>27247</t>
  </si>
  <si>
    <t>Pan American Silver Corp. (92.30)
Gubbins Group (7.70)</t>
  </si>
  <si>
    <t>Jiangjushuijin</t>
  </si>
  <si>
    <t>81260</t>
  </si>
  <si>
    <t>Kunming General Jiangshui Mining Co. Ltd. (100.00)</t>
  </si>
  <si>
    <t>Baiyin Shenbu</t>
  </si>
  <si>
    <t>80829</t>
  </si>
  <si>
    <t>Baiyin Deep Mining Co., Ltd. (100.00)</t>
  </si>
  <si>
    <t>Shejiaao</t>
  </si>
  <si>
    <t>81197</t>
  </si>
  <si>
    <t>Bairen</t>
  </si>
  <si>
    <t>81247</t>
  </si>
  <si>
    <t>Inner Mongolia Bayern Mining Co. Ltd. (100.00)</t>
  </si>
  <si>
    <t>Shaxi</t>
  </si>
  <si>
    <t>37670</t>
  </si>
  <si>
    <t>Jixing</t>
  </si>
  <si>
    <t>80808</t>
  </si>
  <si>
    <t>Inner Mongolia Yufeng Mining Group Co. Ltd. (100.00)</t>
  </si>
  <si>
    <t>Copper Mountain</t>
  </si>
  <si>
    <t>26105</t>
  </si>
  <si>
    <t>Copper Mountain Mining Inc. (75.00)
Mitsubishi Materials Corp. (25.00)</t>
  </si>
  <si>
    <t>Manitoba Division</t>
  </si>
  <si>
    <t>26560</t>
  </si>
  <si>
    <t>El Valle</t>
  </si>
  <si>
    <t>28963</t>
  </si>
  <si>
    <t>Orvana Minerals Corp. (100.00)</t>
  </si>
  <si>
    <t>Baiyunshan</t>
  </si>
  <si>
    <t>80812</t>
  </si>
  <si>
    <t>Yangxin County Xincheng Mining Co. Ltd. (100.00)</t>
  </si>
  <si>
    <t>Shanjinhongling</t>
  </si>
  <si>
    <t>35878</t>
  </si>
  <si>
    <t>Chifeng Jinhongling Nonferrous Mining Co., Ltd. (100.00)</t>
  </si>
  <si>
    <t>Zihao</t>
  </si>
  <si>
    <t>81266</t>
  </si>
  <si>
    <t>Kunming Haohao Mining Co. Ltd. (100.00)</t>
  </si>
  <si>
    <t>Bolivar</t>
  </si>
  <si>
    <t>33381</t>
  </si>
  <si>
    <t>Sierra Metals Inc. (100.00)</t>
  </si>
  <si>
    <t>Yongping</t>
  </si>
  <si>
    <t>35755</t>
  </si>
  <si>
    <t>Las Cruces</t>
  </si>
  <si>
    <t>29461</t>
  </si>
  <si>
    <t>Jaguar</t>
  </si>
  <si>
    <t>25751</t>
  </si>
  <si>
    <t>Ming</t>
  </si>
  <si>
    <t>29377</t>
  </si>
  <si>
    <t>Rambler Metals and Mining PLC (100.00)</t>
  </si>
  <si>
    <t>Tugenmansu</t>
  </si>
  <si>
    <t>86199</t>
  </si>
  <si>
    <t>Yueshan</t>
  </si>
  <si>
    <t>80833</t>
  </si>
  <si>
    <t>Shuangfo Second Conc. Plant</t>
  </si>
  <si>
    <t>81227</t>
  </si>
  <si>
    <t>Kunming Shuangfo Mining Co. Ltd. (100.00)</t>
  </si>
  <si>
    <t>Dongjin</t>
  </si>
  <si>
    <t>81258</t>
  </si>
  <si>
    <t>Kunming Dongshen Mining Co. Ltd. (100.00)</t>
  </si>
  <si>
    <t>Heijing</t>
  </si>
  <si>
    <t>80821</t>
  </si>
  <si>
    <t>Huili County Heiyu Mining Co. Ltd. (100.00)</t>
  </si>
  <si>
    <t>Mount Carlton</t>
  </si>
  <si>
    <t>32557</t>
  </si>
  <si>
    <t>Aureka Ltd. (100.00)</t>
  </si>
  <si>
    <t>Liwan</t>
  </si>
  <si>
    <t>80834</t>
  </si>
  <si>
    <t>Shuangfo Conc. Plant</t>
  </si>
  <si>
    <t>81233</t>
  </si>
  <si>
    <t>Laocun Hydrometallurgy Plant</t>
  </si>
  <si>
    <t>81228</t>
  </si>
  <si>
    <t>Milpillas</t>
  </si>
  <si>
    <t>29815</t>
  </si>
  <si>
    <t>Shizishan</t>
  </si>
  <si>
    <t>58786</t>
  </si>
  <si>
    <t>Yunnan Daya Nonferrous Metals Co. Ltd. (100.00)</t>
  </si>
  <si>
    <t>Konkola</t>
  </si>
  <si>
    <t>29352</t>
  </si>
  <si>
    <t>Vedanta Inc. (79.40)
ZCCM Investments Holdings PLC (20.60)</t>
  </si>
  <si>
    <t>Hongwei</t>
  </si>
  <si>
    <t>81204</t>
  </si>
  <si>
    <t>Daye Xinghong Mining Co. Ltd. (100.00)</t>
  </si>
  <si>
    <t>Mufulira SX-EW</t>
  </si>
  <si>
    <t>76075</t>
  </si>
  <si>
    <t>Pinto Valley SX-EW</t>
  </si>
  <si>
    <t>76080</t>
  </si>
  <si>
    <t>Nchanga SX-EW</t>
  </si>
  <si>
    <t>76095</t>
  </si>
  <si>
    <t>Mutanda</t>
  </si>
  <si>
    <t>38654</t>
  </si>
  <si>
    <t>Glencore PLC (95.00)
Dem. Rep. Congo (5.00)</t>
  </si>
  <si>
    <t>Nchanga</t>
  </si>
  <si>
    <t>28264</t>
  </si>
  <si>
    <t>Zijinshan SXEW</t>
  </si>
  <si>
    <t>81884</t>
  </si>
  <si>
    <t>Maria</t>
  </si>
  <si>
    <t>26477</t>
  </si>
  <si>
    <t>Baita Plai</t>
  </si>
  <si>
    <t>75735</t>
  </si>
  <si>
    <t>Romania</t>
  </si>
  <si>
    <t>Vast Resources PLC (100.00)</t>
  </si>
  <si>
    <t xml:space="preserve"> Percent Lower (%)</t>
  </si>
  <si>
    <t>Total and Weighted Average</t>
  </si>
  <si>
    <t>2022 Copper Production Ranked on Total Cash Cost*</t>
  </si>
  <si>
    <t>*Figures pre-2025 are based on reported/actual data where available. Figures from 2025 and later are based on S&amp;P Global Market Intelligence's estimates and forecasts. For Market Intelligence's Constant scenario, all forecasts for prices are in constant 2024 US dollars (e.g. wage rates, electricity prices, reagent or fuel costs and metal prices).</t>
  </si>
  <si>
    <t>Commodities: Copper</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</si>
  <si>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</si>
  <si>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</si>
  <si>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</si>
  <si>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</si>
  <si>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</si>
  <si>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</si>
  <si>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</si>
  <si>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</si>
  <si>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</si>
  <si>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</si>
  <si>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</si>
  <si>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</si>
  <si>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</si>
  <si>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</si>
  <si>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</si>
  <si>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</si>
  <si>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</si>
  <si>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</si>
  <si>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</si>
  <si>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</si>
  <si>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</si>
  <si>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</si>
  <si>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</si>
  <si>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</si>
  <si>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</si>
  <si>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</si>
  <si>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</si>
  <si>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Global Metal Prices, Fuel &amp; Freight</t>
  </si>
  <si>
    <t>Base and Precious Metals</t>
  </si>
  <si>
    <t>Cobalt US$/lb</t>
  </si>
  <si>
    <t>Copper US$/lb</t>
  </si>
  <si>
    <t>Gold US$/oz</t>
  </si>
  <si>
    <t>Lead US$/lb</t>
  </si>
  <si>
    <t>Molybdenum US$/lb</t>
  </si>
  <si>
    <t>Nickel US$/lb</t>
  </si>
  <si>
    <t>Palladium US$/oz</t>
  </si>
  <si>
    <t>Platinum US$/oz</t>
  </si>
  <si>
    <t>Rhodium US$/oz</t>
  </si>
  <si>
    <t>Silver US$/oz</t>
  </si>
  <si>
    <t>U3O8 US$/lb</t>
  </si>
  <si>
    <t>Zinc US$/lb</t>
  </si>
  <si>
    <t>Product Freight YoY (%)</t>
  </si>
  <si>
    <t>Fuel</t>
  </si>
  <si>
    <t>Fuel Costs Year-on-Year (YoY) change (%)</t>
  </si>
  <si>
    <t>Average Annual Exchange Rates</t>
  </si>
  <si>
    <t>Argentina (/US$)</t>
  </si>
  <si>
    <t>Armenia (/US$)</t>
  </si>
  <si>
    <t>Australia (/US$)</t>
  </si>
  <si>
    <t>Bolivia (/US$)</t>
  </si>
  <si>
    <t>Botswana (/US$)</t>
  </si>
  <si>
    <t>Brazil (/US$)</t>
  </si>
  <si>
    <t>Bulgaria (/US$)</t>
  </si>
  <si>
    <t>Canada (/US$)</t>
  </si>
  <si>
    <t>Chile (/US$)</t>
  </si>
  <si>
    <t>China (/US$)</t>
  </si>
  <si>
    <t>Dem. Rep. Congo (/US$)</t>
  </si>
  <si>
    <t>Dominican Republic (/US$)</t>
  </si>
  <si>
    <t>Ecuador (/US$)</t>
  </si>
  <si>
    <t>Eritrea (/US$)</t>
  </si>
  <si>
    <t>Finland (/US$)</t>
  </si>
  <si>
    <t>Indonesia (/US$)</t>
  </si>
  <si>
    <t>Iran (/US$)</t>
  </si>
  <si>
    <t>Kazakhstan (/US$)</t>
  </si>
  <si>
    <t>Kyrgyzstan (/US$)</t>
  </si>
  <si>
    <t>Laos (/US$)</t>
  </si>
  <si>
    <t>Mauritania (/US$)</t>
  </si>
  <si>
    <t>Mexico (/US$)</t>
  </si>
  <si>
    <t>Mongolia (/US$)</t>
  </si>
  <si>
    <t>Papua New Guinea (/US$)</t>
  </si>
  <si>
    <t>Peru (/US$)</t>
  </si>
  <si>
    <t>Philippines (/US$)</t>
  </si>
  <si>
    <t>Poland (/US$)</t>
  </si>
  <si>
    <t>Portugal (/US$)</t>
  </si>
  <si>
    <t>Romania (/US$)</t>
  </si>
  <si>
    <t>Russia (/US$)</t>
  </si>
  <si>
    <t>Saudi Arabia (/US$)</t>
  </si>
  <si>
    <t>Serbia (/US$)</t>
  </si>
  <si>
    <t>South Africa (/US$)</t>
  </si>
  <si>
    <t>Spain (/US$)</t>
  </si>
  <si>
    <t>Sweden (/US$)</t>
  </si>
  <si>
    <t>Tanzania (/US$)</t>
  </si>
  <si>
    <t>Türkiye (/US$)</t>
  </si>
  <si>
    <t>Zambia (/US$)</t>
  </si>
  <si>
    <t>Zimbabwe (/US$)</t>
  </si>
  <si>
    <t>Country Cost Inflators YoY change (%)</t>
  </si>
  <si>
    <t>Labor Cost (%)</t>
  </si>
  <si>
    <t>Electricity Cost (%)</t>
  </si>
  <si>
    <t>Reagents Cost (%)</t>
  </si>
  <si>
    <t>Other Minesite &amp; Non-Minesite Cost (%)</t>
  </si>
  <si>
    <t>Türkiye</t>
  </si>
  <si>
    <t>Concentrate Treatment Charges YoY (%)</t>
  </si>
  <si>
    <t>Bulk</t>
  </si>
  <si>
    <t>Co</t>
  </si>
  <si>
    <t>Cu</t>
  </si>
  <si>
    <t>Pb</t>
  </si>
  <si>
    <t>Mo</t>
  </si>
  <si>
    <t>Ni</t>
  </si>
  <si>
    <t>Sn</t>
  </si>
  <si>
    <t>Zn</t>
  </si>
  <si>
    <t>Refining Charges YoY (%)</t>
  </si>
  <si>
    <t>Cobalt in Concentrate Refining</t>
  </si>
  <si>
    <t>Copper in Concentrate Refining</t>
  </si>
  <si>
    <t>Gold in Concentrate Refining</t>
  </si>
  <si>
    <t>Molybdenum Upgrading</t>
  </si>
  <si>
    <t>Nickel in Concentrate Refining</t>
  </si>
  <si>
    <t>PGMs Refining</t>
  </si>
  <si>
    <t>Silver in Concentrate Refining</t>
  </si>
  <si>
    <t>Tin in Concentrate Refining</t>
  </si>
  <si>
    <t>Gold in Dore Refining</t>
  </si>
  <si>
    <t>Silver in Dore Refining</t>
  </si>
  <si>
    <t>Tax Rate</t>
  </si>
  <si>
    <t>Argentina (%)</t>
  </si>
  <si>
    <t>Armenia (%)</t>
  </si>
  <si>
    <t>Australia (%)</t>
  </si>
  <si>
    <t>Bolivia (%)</t>
  </si>
  <si>
    <t>Botswana (%)</t>
  </si>
  <si>
    <t>Brazil (%)</t>
  </si>
  <si>
    <t>Bulgaria (%)</t>
  </si>
  <si>
    <t>Canada (%)</t>
  </si>
  <si>
    <t>Chile (%)</t>
  </si>
  <si>
    <t>China (%)</t>
  </si>
  <si>
    <t>Dem. Rep. Congo (%)</t>
  </si>
  <si>
    <t>Dominican Republic (%)</t>
  </si>
  <si>
    <t>Ecuador (%)</t>
  </si>
  <si>
    <t>Eritrea (%)</t>
  </si>
  <si>
    <t>Finland (%)</t>
  </si>
  <si>
    <t>Indonesia (%)</t>
  </si>
  <si>
    <t>Iran (%)</t>
  </si>
  <si>
    <t>Kazakhstan (%)</t>
  </si>
  <si>
    <t>Kyrgyzstan (%)</t>
  </si>
  <si>
    <t>Laos (%)</t>
  </si>
  <si>
    <t>Mauritania (%)</t>
  </si>
  <si>
    <t>Mexico (%)</t>
  </si>
  <si>
    <t>Mongolia (%)</t>
  </si>
  <si>
    <t>Papua New Guinea (%)</t>
  </si>
  <si>
    <t>Peru (%)</t>
  </si>
  <si>
    <t>Philippines (%)</t>
  </si>
  <si>
    <t>Poland (%)</t>
  </si>
  <si>
    <t>Portugal (%)</t>
  </si>
  <si>
    <t>Romania (%)</t>
  </si>
  <si>
    <t>Russia (%)</t>
  </si>
  <si>
    <t>Saudi Arabia (%)</t>
  </si>
  <si>
    <t>Serbia (%)</t>
  </si>
  <si>
    <t>South Africa (%)</t>
  </si>
  <si>
    <t>Spain (%)</t>
  </si>
  <si>
    <t>Sweden (%)</t>
  </si>
  <si>
    <t>Tanzania (%)</t>
  </si>
  <si>
    <t>Türkiye (%)</t>
  </si>
  <si>
    <t>USA (%)</t>
  </si>
  <si>
    <t>Zambia (%)</t>
  </si>
  <si>
    <t>Zimbabwe (%)</t>
  </si>
  <si>
    <t>Cumulative paid copper</t>
  </si>
  <si>
    <t>Paid copper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</si>
</sst>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0\)"/>
    <numFmt numFmtId="166" formatCode="###,##0.00;\(###,##0.00\)"/>
    <numFmt numFmtId="167" formatCode="###,##0.0;\(###,##0.0\)"/>
    <numFmt numFmtId="168" formatCode="#0.00;\-#0.00"/>
    <numFmt numFmtId="169" formatCode="#,##0.0_);\(#,##0.0\)"/>
  </numFmts>
  <fonts count="6" x14ac:knownFonts="1">
    <font>
      <sz val="11"/>
      <color theme="1"/>
      <name val="Calibri"/>
      <family val="2"/>
      <scheme val="minor"/>
    </font>
    <font>
      <b/>
      <sz val="14"/>
      <name val="Calibri"/>
      <family val="2"/>
    </font>
    <font>
      <b/>
      <sz val="11"/>
      <color theme="1"/>
      <name val="Calibri"/>
      <family val="2"/>
      <scheme val="minor"/>
    </font>
    <font>
      <b/>
      <sz val="11"/>
      <name val="Calibri"/>
      <family val="2"/>
    </font>
    <font>
      <b/>
      <i/>
      <sz val="11"/>
      <color theme="1"/>
      <name val="Calibri"/>
      <family val="2"/>
      <scheme val="minor"/>
    </font>
    <font>
      <b/>
      <i/>
      <sz val="11"/>
      <name val="Calibri"/>
      <family val="2"/>
    </font>
  </fonts>
  <fills count="5">
    <fill>
      <patternFill patternType="none"/>
    </fill>
    <fill>
      <patternFill patternType="gray125"/>
    </fill>
    <fill>
      <patternFill patternType="solid">
        <fgColor rgb="FFCCCCCC"/>
        <bgColor indexed="64"/>
      </patternFill>
    </fill>
    <fill>
      <patternFill patternType="solid">
        <fgColor rgb="FFE0E0E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26">
    <xf numFmtId="0" fontId="0" fillId="0" borderId="0" xfId="0"/>
    <xf numFmtId="0" fontId="4" fillId="0" borderId="0" xfId="0" applyFont="1" applyAlignment="1">
      <alignment horizontal="left" vertical="top"/>
    </xf>
    <xf numFmtId="0" fontId="4" fillId="0" borderId="0" xfId="0" applyFont="1" applyAlignment="1">
      <alignment horizontal="center" vertical="top" wrapText="1"/>
    </xf>
    <xf numFmtId="0" fontId="3" fillId="2" borderId="0" xfId="0" applyFont="1" applyFill="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xf>
    <xf numFmtId="0" fontId="0" fillId="0" borderId="0" xfId="0" applyAlignment="1">
      <alignment horizontal="center"/>
    </xf>
    <xf numFmtId="0" fontId="1" fillId="0" borderId="0" xfId="0" applyFont="1" applyAlignment="1">
      <alignment horizontal="left"/>
    </xf>
    <xf numFmtId="0" fontId="1" fillId="0" borderId="0" xfId="0" applyFont="1"/>
    <xf numFmtId="0" fontId="2"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4" fillId="0" borderId="0" xfId="0" applyFont="1" applyAlignment="1">
      <alignment horizontal="left" vertical="top"/>
    </xf>
    <xf numFmtId="0" fontId="5" fillId="3" borderId="0" xfId="0" applyFont="1" applyFill="1" applyAlignment="1">
      <alignment horizontal="left" vertical="top" wrapText="1"/>
    </xf>
    <xf numFmtId="0" fontId="5" fillId="3" borderId="0" xfId="0" applyFont="1" applyFill="1" applyAlignment="1">
      <alignment horizontal="right" vertical="top" wrapText="1"/>
    </xf>
    <xf numFmtId="164" fontId="4" fillId="0" borderId="0" xfId="0" applyNumberFormat="1" applyFont="1" applyAlignment="1">
      <alignment horizontal="right" vertical="top"/>
    </xf>
    <xf numFmtId="165" fontId="4" fillId="0" borderId="0" xfId="0" applyNumberFormat="1" applyFont="1" applyAlignment="1">
      <alignment horizontal="right" vertical="top"/>
    </xf>
    <xf numFmtId="166" fontId="0" fillId="0" borderId="0" xfId="0" applyNumberFormat="1" applyAlignment="1">
      <alignment horizontal="right" vertical="top" wrapText="1"/>
    </xf>
    <xf numFmtId="167" fontId="0" fillId="0" borderId="0" xfId="0" applyNumberFormat="1" applyAlignment="1">
      <alignment horizontal="right" vertical="top" wrapText="1"/>
    </xf>
    <xf numFmtId="0" fontId="3" fillId="4" borderId="0" xfId="0" applyFont="1" applyFill="1" applyAlignment="1">
      <alignment horizontal="right" vertical="top" wrapText="1"/>
    </xf>
    <xf numFmtId="0" fontId="0" fillId="0" borderId="0" xfId="0" applyAlignment="1">
      <alignment horizontal="right" vertical="top" wrapText="1"/>
    </xf>
    <xf numFmtId="168" fontId="0" fillId="0" borderId="0" xfId="0" applyNumberFormat="1" applyAlignment="1">
      <alignment horizontal="right" vertical="top" wrapText="1"/>
    </xf>
    <xf numFmtId="169" fontId="0" fillId="0" borderId="0" xfId="0" applyNumberFormat="1"/>
    <xf numFmtId="167"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1"/>
          <c:order val="0"/>
          <c:tx>
            <c:v>Cumulative paid copper</c:v>
          </c:tx>
          <c:spPr>
            <a:noFill/>
            <a:ln>
              <a:noFill/>
            </a:ln>
            <a:effectLst/>
          </c:spPr>
          <c:invertIfNegative val="0"/>
          <c:cat>
            <c:strRef>
              <c:f>Data!$A$15:$A$413</c:f>
              <c:strCache>
                <c:ptCount val="399"/>
                <c:pt idx="0">
                  <c:v>Zhezkazgan Complex</c:v>
                </c:pt>
                <c:pt idx="1">
                  <c:v>Metalkol RTR</c:v>
                </c:pt>
                <c:pt idx="2">
                  <c:v>Central Region</c:v>
                </c:pt>
                <c:pt idx="3">
                  <c:v>Garpenberg</c:v>
                </c:pt>
                <c:pt idx="4">
                  <c:v>Wenshan Dulong</c:v>
                </c:pt>
                <c:pt idx="5">
                  <c:v>Toquepala SX-EW</c:v>
                </c:pt>
                <c:pt idx="6">
                  <c:v>Kevitsa</c:v>
                </c:pt>
                <c:pt idx="7">
                  <c:v>Heiniudong</c:v>
                </c:pt>
                <c:pt idx="8">
                  <c:v>Karaganda Region</c:v>
                </c:pt>
                <c:pt idx="9">
                  <c:v>Kounrad Dump</c:v>
                </c:pt>
                <c:pt idx="10">
                  <c:v>La Caridad SX-EW</c:v>
                </c:pt>
                <c:pt idx="11">
                  <c:v>Sanxin</c:v>
                </c:pt>
                <c:pt idx="12">
                  <c:v>Buenavista SX-EW</c:v>
                </c:pt>
                <c:pt idx="13">
                  <c:v>Jinchuan</c:v>
                </c:pt>
                <c:pt idx="14">
                  <c:v>Union Section</c:v>
                </c:pt>
                <c:pt idx="15">
                  <c:v>Ashele</c:v>
                </c:pt>
                <c:pt idx="16">
                  <c:v>Santa Rita</c:v>
                </c:pt>
                <c:pt idx="17">
                  <c:v>Radomiro Tomic</c:v>
                </c:pt>
                <c:pt idx="18">
                  <c:v>Tonglvshan</c:v>
                </c:pt>
                <c:pt idx="19">
                  <c:v>Miniere Musoshi Kinsenda</c:v>
                </c:pt>
                <c:pt idx="20">
                  <c:v>Timok</c:v>
                </c:pt>
                <c:pt idx="21">
                  <c:v>Aljustrel</c:v>
                </c:pt>
                <c:pt idx="22">
                  <c:v>Liwu</c:v>
                </c:pt>
                <c:pt idx="23">
                  <c:v>Sunan Dongshanding</c:v>
                </c:pt>
                <c:pt idx="24">
                  <c:v>Eagle</c:v>
                </c:pt>
                <c:pt idx="25">
                  <c:v>Lomas Bayas</c:v>
                </c:pt>
                <c:pt idx="26">
                  <c:v>Kidd Creek</c:v>
                </c:pt>
                <c:pt idx="27">
                  <c:v>Buribayevsky</c:v>
                </c:pt>
                <c:pt idx="28">
                  <c:v>Longwan</c:v>
                </c:pt>
                <c:pt idx="29">
                  <c:v>Antamina</c:v>
                </c:pt>
                <c:pt idx="30">
                  <c:v>Booysendal South</c:v>
                </c:pt>
                <c:pt idx="31">
                  <c:v>Yinshan</c:v>
                </c:pt>
                <c:pt idx="32">
                  <c:v>Nova-Bollinger</c:v>
                </c:pt>
                <c:pt idx="33">
                  <c:v>Palabora</c:v>
                </c:pt>
                <c:pt idx="34">
                  <c:v>Yulong</c:v>
                </c:pt>
                <c:pt idx="35">
                  <c:v>Collahuasi</c:v>
                </c:pt>
                <c:pt idx="36">
                  <c:v>Gaisky Complex</c:v>
                </c:pt>
                <c:pt idx="37">
                  <c:v>Mogalakwena</c:v>
                </c:pt>
                <c:pt idx="38">
                  <c:v>Norilsk</c:v>
                </c:pt>
                <c:pt idx="39">
                  <c:v>Mufulira</c:v>
                </c:pt>
                <c:pt idx="40">
                  <c:v>Escondida SX-EW</c:v>
                </c:pt>
                <c:pt idx="41">
                  <c:v>Ministro Hales</c:v>
                </c:pt>
                <c:pt idx="42">
                  <c:v>Jabal Sayid</c:v>
                </c:pt>
                <c:pt idx="43">
                  <c:v>Aktogay SX-EW</c:v>
                </c:pt>
                <c:pt idx="44">
                  <c:v>Los Bronces SX-EW</c:v>
                </c:pt>
                <c:pt idx="45">
                  <c:v>Kalatongke</c:v>
                </c:pt>
                <c:pt idx="46">
                  <c:v>Mototolo</c:v>
                </c:pt>
                <c:pt idx="47">
                  <c:v>Tulaergen</c:v>
                </c:pt>
                <c:pt idx="48">
                  <c:v>Sichuan La-La</c:v>
                </c:pt>
                <c:pt idx="49">
                  <c:v>Andina Division</c:v>
                </c:pt>
                <c:pt idx="50">
                  <c:v>Caraíba</c:v>
                </c:pt>
                <c:pt idx="51">
                  <c:v>Platinum Mile</c:v>
                </c:pt>
                <c:pt idx="52">
                  <c:v>Kolwezi</c:v>
                </c:pt>
                <c:pt idx="53">
                  <c:v>Etoile</c:v>
                </c:pt>
                <c:pt idx="54">
                  <c:v>Rubtsovskoye</c:v>
                </c:pt>
                <c:pt idx="55">
                  <c:v>Zinkgruvan</c:v>
                </c:pt>
                <c:pt idx="56">
                  <c:v>Kainantu</c:v>
                </c:pt>
                <c:pt idx="57">
                  <c:v>Tuwu-Yandong</c:v>
                </c:pt>
                <c:pt idx="58">
                  <c:v>Escondida</c:v>
                </c:pt>
                <c:pt idx="59">
                  <c:v>Frontier</c:v>
                </c:pt>
                <c:pt idx="60">
                  <c:v>Toromocho</c:v>
                </c:pt>
                <c:pt idx="61">
                  <c:v>Chuquicamata SX-EW</c:v>
                </c:pt>
                <c:pt idx="62">
                  <c:v>Yincan</c:v>
                </c:pt>
                <c:pt idx="63">
                  <c:v>Buenavista</c:v>
                </c:pt>
                <c:pt idx="64">
                  <c:v>Batu Hijau</c:v>
                </c:pt>
                <c:pt idx="65">
                  <c:v>Tizapa</c:v>
                </c:pt>
                <c:pt idx="66">
                  <c:v>Grasberg</c:v>
                </c:pt>
                <c:pt idx="67">
                  <c:v>Chambishi</c:v>
                </c:pt>
                <c:pt idx="68">
                  <c:v>Qilianshan</c:v>
                </c:pt>
                <c:pt idx="69">
                  <c:v>Mirador</c:v>
                </c:pt>
                <c:pt idx="70">
                  <c:v>Bozshakol</c:v>
                </c:pt>
                <c:pt idx="71">
                  <c:v>Cozamin</c:v>
                </c:pt>
                <c:pt idx="72">
                  <c:v>Aranzazu</c:v>
                </c:pt>
                <c:pt idx="73">
                  <c:v>Quellaveco</c:v>
                </c:pt>
                <c:pt idx="74">
                  <c:v>Mutanda SX-EW</c:v>
                </c:pt>
                <c:pt idx="75">
                  <c:v>Deziwa</c:v>
                </c:pt>
                <c:pt idx="76">
                  <c:v>Tenke Fungurume</c:v>
                </c:pt>
                <c:pt idx="77">
                  <c:v>Kamoa-Kakula</c:v>
                </c:pt>
                <c:pt idx="78">
                  <c:v>Kazzinc Consolidated</c:v>
                </c:pt>
                <c:pt idx="79">
                  <c:v>El Teniente</c:v>
                </c:pt>
                <c:pt idx="80">
                  <c:v>Deerni</c:v>
                </c:pt>
                <c:pt idx="81">
                  <c:v>Modikwa</c:v>
                </c:pt>
                <c:pt idx="82">
                  <c:v>Zarechensky</c:v>
                </c:pt>
                <c:pt idx="83">
                  <c:v>Phu Kham</c:v>
                </c:pt>
                <c:pt idx="84">
                  <c:v>Jinshen</c:v>
                </c:pt>
                <c:pt idx="85">
                  <c:v>Marikana</c:v>
                </c:pt>
                <c:pt idx="86">
                  <c:v>Ernest Henry</c:v>
                </c:pt>
                <c:pt idx="87">
                  <c:v>Aitik</c:v>
                </c:pt>
                <c:pt idx="88">
                  <c:v>Los Pelambres</c:v>
                </c:pt>
                <c:pt idx="89">
                  <c:v>Wushan</c:v>
                </c:pt>
                <c:pt idx="90">
                  <c:v>Asientos</c:v>
                </c:pt>
                <c:pt idx="91">
                  <c:v>Amandelbult</c:v>
                </c:pt>
                <c:pt idx="92">
                  <c:v>Booysendal North</c:v>
                </c:pt>
                <c:pt idx="93">
                  <c:v>El Brocal</c:v>
                </c:pt>
                <c:pt idx="94">
                  <c:v>Zijinshan</c:v>
                </c:pt>
                <c:pt idx="95">
                  <c:v>Franke</c:v>
                </c:pt>
                <c:pt idx="96">
                  <c:v>Gabriela Mistral</c:v>
                </c:pt>
                <c:pt idx="97">
                  <c:v>Black Mountain</c:v>
                </c:pt>
                <c:pt idx="98">
                  <c:v>Yinlu</c:v>
                </c:pt>
                <c:pt idx="99">
                  <c:v>Mt Isa Copper</c:v>
                </c:pt>
                <c:pt idx="100">
                  <c:v>East Yellow Mountain</c:v>
                </c:pt>
                <c:pt idx="101">
                  <c:v>Mount Milligan</c:v>
                </c:pt>
                <c:pt idx="102">
                  <c:v>LaRonde</c:v>
                </c:pt>
                <c:pt idx="103">
                  <c:v>Toquepala</c:v>
                </c:pt>
                <c:pt idx="104">
                  <c:v>Aktogay</c:v>
                </c:pt>
                <c:pt idx="105">
                  <c:v>Matagami</c:v>
                </c:pt>
                <c:pt idx="106">
                  <c:v>Dongshengmiao</c:v>
                </c:pt>
                <c:pt idx="107">
                  <c:v>Cobre Panama</c:v>
                </c:pt>
                <c:pt idx="108">
                  <c:v>DeGrussa Processing Facility</c:v>
                </c:pt>
                <c:pt idx="109">
                  <c:v>Hunchun</c:v>
                </c:pt>
                <c:pt idx="110">
                  <c:v>Cuajone</c:v>
                </c:pt>
                <c:pt idx="111">
                  <c:v>Sierra Gorda</c:v>
                </c:pt>
                <c:pt idx="112">
                  <c:v>Boddington</c:v>
                </c:pt>
                <c:pt idx="113">
                  <c:v>Carlota</c:v>
                </c:pt>
                <c:pt idx="114">
                  <c:v>Raglan</c:v>
                </c:pt>
                <c:pt idx="115">
                  <c:v>Two Rivers</c:v>
                </c:pt>
                <c:pt idx="116">
                  <c:v>Didipio</c:v>
                </c:pt>
                <c:pt idx="117">
                  <c:v>Doe Run Mines</c:v>
                </c:pt>
                <c:pt idx="118">
                  <c:v>Kamoto SX-EW</c:v>
                </c:pt>
                <c:pt idx="119">
                  <c:v>Chengmenshan</c:v>
                </c:pt>
                <c:pt idx="120">
                  <c:v>Duobaoshan</c:v>
                </c:pt>
                <c:pt idx="121">
                  <c:v>Ray SX-EW</c:v>
                </c:pt>
                <c:pt idx="122">
                  <c:v>Suolagou</c:v>
                </c:pt>
                <c:pt idx="123">
                  <c:v>Sudbury Operations</c:v>
                </c:pt>
                <c:pt idx="124">
                  <c:v>Dexing Complex</c:v>
                </c:pt>
                <c:pt idx="125">
                  <c:v>Dajingzi</c:v>
                </c:pt>
                <c:pt idx="126">
                  <c:v>Ruashi</c:v>
                </c:pt>
                <c:pt idx="127">
                  <c:v>Songjiang</c:v>
                </c:pt>
                <c:pt idx="128">
                  <c:v>Carrapateena</c:v>
                </c:pt>
                <c:pt idx="129">
                  <c:v>Boliden Area</c:v>
                </c:pt>
                <c:pt idx="130">
                  <c:v>Shitouzui</c:v>
                </c:pt>
                <c:pt idx="131">
                  <c:v>Cerro de Maimon</c:v>
                </c:pt>
                <c:pt idx="132">
                  <c:v>Zangezur</c:v>
                </c:pt>
                <c:pt idx="133">
                  <c:v>Zhibula</c:v>
                </c:pt>
                <c:pt idx="134">
                  <c:v>Suolajier</c:v>
                </c:pt>
                <c:pt idx="135">
                  <c:v>Fuyuan</c:v>
                </c:pt>
                <c:pt idx="136">
                  <c:v>Huogeqi</c:v>
                </c:pt>
                <c:pt idx="137">
                  <c:v>El Teniente SX-EW</c:v>
                </c:pt>
                <c:pt idx="138">
                  <c:v>Nkana</c:v>
                </c:pt>
                <c:pt idx="139">
                  <c:v>Bulyanhulu</c:v>
                </c:pt>
                <c:pt idx="140">
                  <c:v>Tongkuangyu</c:v>
                </c:pt>
                <c:pt idx="141">
                  <c:v>Munali</c:v>
                </c:pt>
                <c:pt idx="142">
                  <c:v>Constancia</c:v>
                </c:pt>
                <c:pt idx="143">
                  <c:v>Trident - Sentinel</c:v>
                </c:pt>
                <c:pt idx="144">
                  <c:v>Luodong</c:v>
                </c:pt>
                <c:pt idx="145">
                  <c:v>Cerro Corona</c:v>
                </c:pt>
                <c:pt idx="146">
                  <c:v>Dapingzhang</c:v>
                </c:pt>
                <c:pt idx="147">
                  <c:v>Langyashan</c:v>
                </c:pt>
                <c:pt idx="148">
                  <c:v>Chuquicamata</c:v>
                </c:pt>
                <c:pt idx="149">
                  <c:v>Yauli</c:v>
                </c:pt>
                <c:pt idx="150">
                  <c:v>Bisha</c:v>
                </c:pt>
                <c:pt idx="151">
                  <c:v>Zondereinde</c:v>
                </c:pt>
                <c:pt idx="152">
                  <c:v>Centinela Oxide</c:v>
                </c:pt>
                <c:pt idx="153">
                  <c:v>Weilasituo</c:v>
                </c:pt>
                <c:pt idx="154">
                  <c:v>IMMSA</c:v>
                </c:pt>
                <c:pt idx="155">
                  <c:v>Jiama</c:v>
                </c:pt>
                <c:pt idx="156">
                  <c:v>Xiliduo</c:v>
                </c:pt>
                <c:pt idx="157">
                  <c:v>Olympic Dam</c:v>
                </c:pt>
                <c:pt idx="158">
                  <c:v>Las Bambas</c:v>
                </c:pt>
                <c:pt idx="159">
                  <c:v>Candelaria</c:v>
                </c:pt>
                <c:pt idx="160">
                  <c:v>Khoemacau</c:v>
                </c:pt>
                <c:pt idx="161">
                  <c:v>Centinela Sulfide</c:v>
                </c:pt>
                <c:pt idx="162">
                  <c:v>Xinzhuang</c:v>
                </c:pt>
                <c:pt idx="163">
                  <c:v>Jinxing</c:v>
                </c:pt>
                <c:pt idx="164">
                  <c:v>Silver Bell</c:v>
                </c:pt>
                <c:pt idx="165">
                  <c:v>East Region Operations</c:v>
                </c:pt>
                <c:pt idx="166">
                  <c:v>Pulang</c:v>
                </c:pt>
                <c:pt idx="167">
                  <c:v>Wutonghua</c:v>
                </c:pt>
                <c:pt idx="168">
                  <c:v>Continental</c:v>
                </c:pt>
                <c:pt idx="169">
                  <c:v>Tayahua</c:v>
                </c:pt>
                <c:pt idx="170">
                  <c:v>Northparkes</c:v>
                </c:pt>
                <c:pt idx="171">
                  <c:v>Baiyin Changtong</c:v>
                </c:pt>
                <c:pt idx="172">
                  <c:v>Huayu</c:v>
                </c:pt>
                <c:pt idx="173">
                  <c:v>Velardena</c:v>
                </c:pt>
                <c:pt idx="174">
                  <c:v>Amawusu</c:v>
                </c:pt>
                <c:pt idx="175">
                  <c:v>Sarcheshmeh</c:v>
                </c:pt>
                <c:pt idx="176">
                  <c:v>Unki</c:v>
                </c:pt>
                <c:pt idx="177">
                  <c:v>Nuoergai</c:v>
                </c:pt>
                <c:pt idx="178">
                  <c:v>Huachin</c:v>
                </c:pt>
                <c:pt idx="179">
                  <c:v>Caserones</c:v>
                </c:pt>
                <c:pt idx="180">
                  <c:v>Deflector</c:v>
                </c:pt>
                <c:pt idx="181">
                  <c:v>Rosebery</c:v>
                </c:pt>
                <c:pt idx="182">
                  <c:v>Lindero</c:v>
                </c:pt>
                <c:pt idx="183">
                  <c:v>Lalor Lake</c:v>
                </c:pt>
                <c:pt idx="184">
                  <c:v>Avino</c:v>
                </c:pt>
                <c:pt idx="185">
                  <c:v>Kroondal</c:v>
                </c:pt>
                <c:pt idx="186">
                  <c:v>Yangla</c:v>
                </c:pt>
                <c:pt idx="187">
                  <c:v>Highland Valley</c:v>
                </c:pt>
                <c:pt idx="188">
                  <c:v>Chelopech</c:v>
                </c:pt>
                <c:pt idx="189">
                  <c:v>Zimplats</c:v>
                </c:pt>
                <c:pt idx="190">
                  <c:v>Bingham Canyon</c:v>
                </c:pt>
                <c:pt idx="191">
                  <c:v>Spence</c:v>
                </c:pt>
                <c:pt idx="192">
                  <c:v>Spence SX-EW</c:v>
                </c:pt>
                <c:pt idx="193">
                  <c:v>Chibuluma South</c:v>
                </c:pt>
                <c:pt idx="194">
                  <c:v>Changhong</c:v>
                </c:pt>
                <c:pt idx="195">
                  <c:v>Nevada Operations</c:v>
                </c:pt>
                <c:pt idx="196">
                  <c:v>Impala Bafokeng</c:v>
                </c:pt>
                <c:pt idx="197">
                  <c:v>Antapaccay</c:v>
                </c:pt>
                <c:pt idx="198">
                  <c:v>Qulong</c:v>
                </c:pt>
                <c:pt idx="199">
                  <c:v>Xingjiang</c:v>
                </c:pt>
                <c:pt idx="200">
                  <c:v>Varvara</c:v>
                </c:pt>
                <c:pt idx="201">
                  <c:v>Tongdan</c:v>
                </c:pt>
                <c:pt idx="202">
                  <c:v>Xinqiao</c:v>
                </c:pt>
                <c:pt idx="203">
                  <c:v>El Abra</c:v>
                </c:pt>
                <c:pt idx="204">
                  <c:v>San Martin</c:v>
                </c:pt>
                <c:pt idx="205">
                  <c:v>Prominent Hill</c:v>
                </c:pt>
                <c:pt idx="206">
                  <c:v>Rustenburg</c:v>
                </c:pt>
                <c:pt idx="207">
                  <c:v>Salobo</c:v>
                </c:pt>
                <c:pt idx="208">
                  <c:v>Western Limb Tailings</c:v>
                </c:pt>
                <c:pt idx="209">
                  <c:v>Zaldivar</c:v>
                </c:pt>
                <c:pt idx="210">
                  <c:v>Dongguashan</c:v>
                </c:pt>
                <c:pt idx="211">
                  <c:v>Yauliyacu</c:v>
                </c:pt>
                <c:pt idx="212">
                  <c:v>Robinson</c:v>
                </c:pt>
                <c:pt idx="213">
                  <c:v>Lumwana</c:v>
                </c:pt>
                <c:pt idx="214">
                  <c:v>Los Bronces</c:v>
                </c:pt>
                <c:pt idx="215">
                  <c:v>Wunugetushan</c:v>
                </c:pt>
                <c:pt idx="216">
                  <c:v>Eloise</c:v>
                </c:pt>
                <c:pt idx="217">
                  <c:v>Eland</c:v>
                </c:pt>
                <c:pt idx="218">
                  <c:v>Campo Morado</c:v>
                </c:pt>
                <c:pt idx="219">
                  <c:v>Chino SX-EW</c:v>
                </c:pt>
                <c:pt idx="220">
                  <c:v>Salvador</c:v>
                </c:pt>
                <c:pt idx="221">
                  <c:v>Tyrone SX-EW</c:v>
                </c:pt>
                <c:pt idx="222">
                  <c:v>Sunan</c:v>
                </c:pt>
                <c:pt idx="223">
                  <c:v>La Caridad</c:v>
                </c:pt>
                <c:pt idx="224">
                  <c:v>Kansanshi</c:v>
                </c:pt>
                <c:pt idx="225">
                  <c:v>Shilong</c:v>
                </c:pt>
                <c:pt idx="226">
                  <c:v>Cerro Verde SX-EW</c:v>
                </c:pt>
                <c:pt idx="227">
                  <c:v>Kyzyl-Tash Turk</c:v>
                </c:pt>
                <c:pt idx="228">
                  <c:v>Uchaly</c:v>
                </c:pt>
                <c:pt idx="229">
                  <c:v>Tangtang</c:v>
                </c:pt>
                <c:pt idx="230">
                  <c:v>Huzhan</c:v>
                </c:pt>
                <c:pt idx="231">
                  <c:v>Sierrita SX-EW</c:v>
                </c:pt>
                <c:pt idx="232">
                  <c:v>Mimosa</c:v>
                </c:pt>
                <c:pt idx="233">
                  <c:v>Miami</c:v>
                </c:pt>
                <c:pt idx="234">
                  <c:v>Safford</c:v>
                </c:pt>
                <c:pt idx="235">
                  <c:v>Jiuquan</c:v>
                </c:pt>
                <c:pt idx="236">
                  <c:v>Morenci SX-EW</c:v>
                </c:pt>
                <c:pt idx="237">
                  <c:v>Chino</c:v>
                </c:pt>
                <c:pt idx="238">
                  <c:v>Antucoya</c:v>
                </c:pt>
                <c:pt idx="239">
                  <c:v>Padcal</c:v>
                </c:pt>
                <c:pt idx="240">
                  <c:v>Chungar</c:v>
                </c:pt>
                <c:pt idx="241">
                  <c:v>Erdenet</c:v>
                </c:pt>
                <c:pt idx="242">
                  <c:v>Mantos Blancos</c:v>
                </c:pt>
                <c:pt idx="243">
                  <c:v>Bozymchak</c:v>
                </c:pt>
                <c:pt idx="244">
                  <c:v>Luojiahe</c:v>
                </c:pt>
                <c:pt idx="245">
                  <c:v>Antas</c:v>
                </c:pt>
                <c:pt idx="246">
                  <c:v>MATSA</c:v>
                </c:pt>
                <c:pt idx="247">
                  <c:v>Jilongshan</c:v>
                </c:pt>
                <c:pt idx="248">
                  <c:v>Ontario Division</c:v>
                </c:pt>
                <c:pt idx="249">
                  <c:v>Sierrita</c:v>
                </c:pt>
                <c:pt idx="250">
                  <c:v>Tanyaokou</c:v>
                </c:pt>
                <c:pt idx="251">
                  <c:v>Bagdad</c:v>
                </c:pt>
                <c:pt idx="252">
                  <c:v>Jingbian</c:v>
                </c:pt>
                <c:pt idx="253">
                  <c:v>Morenci</c:v>
                </c:pt>
                <c:pt idx="254">
                  <c:v>Cerro Verde</c:v>
                </c:pt>
                <c:pt idx="255">
                  <c:v>Mabende</c:v>
                </c:pt>
                <c:pt idx="256">
                  <c:v>El Soldado</c:v>
                </c:pt>
                <c:pt idx="257">
                  <c:v>Myra Falls</c:v>
                </c:pt>
                <c:pt idx="258">
                  <c:v>Kansanshi SX-EW</c:v>
                </c:pt>
                <c:pt idx="259">
                  <c:v>Trojan</c:v>
                </c:pt>
                <c:pt idx="260">
                  <c:v>Huaron</c:v>
                </c:pt>
                <c:pt idx="261">
                  <c:v>Chapada</c:v>
                </c:pt>
                <c:pt idx="262">
                  <c:v>Stillwater</c:v>
                </c:pt>
                <c:pt idx="263">
                  <c:v>Penasquito</c:v>
                </c:pt>
                <c:pt idx="264">
                  <c:v>El Porvenir</c:v>
                </c:pt>
                <c:pt idx="265">
                  <c:v>Wetar</c:v>
                </c:pt>
                <c:pt idx="266">
                  <c:v>Mantoverde SX-EW</c:v>
                </c:pt>
                <c:pt idx="267">
                  <c:v>Peak</c:v>
                </c:pt>
                <c:pt idx="268">
                  <c:v>Charcas</c:v>
                </c:pt>
                <c:pt idx="269">
                  <c:v>Pinto Valley</c:v>
                </c:pt>
                <c:pt idx="270">
                  <c:v>Ok Tedi</c:v>
                </c:pt>
                <c:pt idx="271">
                  <c:v>Daluowan</c:v>
                </c:pt>
                <c:pt idx="272">
                  <c:v>KGHM Polska Miedz</c:v>
                </c:pt>
                <c:pt idx="273">
                  <c:v>Tonghe</c:v>
                </c:pt>
                <c:pt idx="274">
                  <c:v>Yauricocha</c:v>
                </c:pt>
                <c:pt idx="275">
                  <c:v>Shunqiang</c:v>
                </c:pt>
                <c:pt idx="276">
                  <c:v>Oyu Tolgoi</c:v>
                </c:pt>
                <c:pt idx="277">
                  <c:v>Alex</c:v>
                </c:pt>
                <c:pt idx="278">
                  <c:v>Minto</c:v>
                </c:pt>
                <c:pt idx="279">
                  <c:v>Kinsevere</c:v>
                </c:pt>
                <c:pt idx="280">
                  <c:v>Kapan</c:v>
                </c:pt>
                <c:pt idx="281">
                  <c:v>Lianhuashan</c:v>
                </c:pt>
                <c:pt idx="282">
                  <c:v>Yiyang Xuri</c:v>
                </c:pt>
                <c:pt idx="283">
                  <c:v>Impala Canada</c:v>
                </c:pt>
                <c:pt idx="284">
                  <c:v>Bystrinskoye</c:v>
                </c:pt>
                <c:pt idx="285">
                  <c:v>Pyhasalmi</c:v>
                </c:pt>
                <c:pt idx="286">
                  <c:v>Mantos Blancos SX-EW</c:v>
                </c:pt>
                <c:pt idx="287">
                  <c:v>Cobar</c:v>
                </c:pt>
                <c:pt idx="288">
                  <c:v>Bizhigou</c:v>
                </c:pt>
                <c:pt idx="289">
                  <c:v>Muliashi North</c:v>
                </c:pt>
                <c:pt idx="290">
                  <c:v>Phoenix SX-EW</c:v>
                </c:pt>
                <c:pt idx="291">
                  <c:v>Yaodongzao</c:v>
                </c:pt>
                <c:pt idx="292">
                  <c:v>Laolaihong</c:v>
                </c:pt>
                <c:pt idx="293">
                  <c:v>Lanniping</c:v>
                </c:pt>
                <c:pt idx="294">
                  <c:v>Somincor</c:v>
                </c:pt>
                <c:pt idx="295">
                  <c:v>Yinmin</c:v>
                </c:pt>
                <c:pt idx="296">
                  <c:v>Erzhulong</c:v>
                </c:pt>
                <c:pt idx="297">
                  <c:v>Flin Flon</c:v>
                </c:pt>
                <c:pt idx="298">
                  <c:v>Lubambe</c:v>
                </c:pt>
                <c:pt idx="299">
                  <c:v>Julcani</c:v>
                </c:pt>
                <c:pt idx="300">
                  <c:v>Voisey's Bay</c:v>
                </c:pt>
                <c:pt idx="301">
                  <c:v>Maoyuan</c:v>
                </c:pt>
                <c:pt idx="302">
                  <c:v>San Vicente</c:v>
                </c:pt>
                <c:pt idx="303">
                  <c:v>Cerro Lindo</c:v>
                </c:pt>
                <c:pt idx="304">
                  <c:v>Tongshanpai</c:v>
                </c:pt>
                <c:pt idx="305">
                  <c:v>Sossego</c:v>
                </c:pt>
                <c:pt idx="306">
                  <c:v>Langlike</c:v>
                </c:pt>
                <c:pt idx="307">
                  <c:v>Guelb Moghrein</c:v>
                </c:pt>
                <c:pt idx="308">
                  <c:v>Atlas Toledo</c:v>
                </c:pt>
                <c:pt idx="309">
                  <c:v>Niutoushan</c:v>
                </c:pt>
                <c:pt idx="310">
                  <c:v>Zhenxing</c:v>
                </c:pt>
                <c:pt idx="311">
                  <c:v>New Afton</c:v>
                </c:pt>
                <c:pt idx="312">
                  <c:v>Fengjiashan</c:v>
                </c:pt>
                <c:pt idx="313">
                  <c:v>Fenghuangshan</c:v>
                </c:pt>
                <c:pt idx="314">
                  <c:v>Savannah</c:v>
                </c:pt>
                <c:pt idx="315">
                  <c:v>Bor Basin</c:v>
                </c:pt>
                <c:pt idx="316">
                  <c:v>Ray</c:v>
                </c:pt>
                <c:pt idx="317">
                  <c:v>Tianbaoshan</c:v>
                </c:pt>
                <c:pt idx="318">
                  <c:v>Gibraltar</c:v>
                </c:pt>
                <c:pt idx="319">
                  <c:v>Carmen de Andacollo</c:v>
                </c:pt>
                <c:pt idx="320">
                  <c:v>Golden Grove</c:v>
                </c:pt>
                <c:pt idx="321">
                  <c:v>Shijiangjun</c:v>
                </c:pt>
                <c:pt idx="322">
                  <c:v>Bashkir</c:v>
                </c:pt>
                <c:pt idx="323">
                  <c:v>Proyecto de Rio Tinto</c:v>
                </c:pt>
                <c:pt idx="324">
                  <c:v>Caserones SX-EW</c:v>
                </c:pt>
                <c:pt idx="325">
                  <c:v>Shangrao</c:v>
                </c:pt>
                <c:pt idx="326">
                  <c:v>Red Chris</c:v>
                </c:pt>
                <c:pt idx="327">
                  <c:v>Pilanesberg</c:v>
                </c:pt>
                <c:pt idx="328">
                  <c:v>Anqing</c:v>
                </c:pt>
                <c:pt idx="329">
                  <c:v>Jiujiang</c:v>
                </c:pt>
                <c:pt idx="330">
                  <c:v>Soerkuduke</c:v>
                </c:pt>
                <c:pt idx="331">
                  <c:v>Kipoi SX-EW</c:v>
                </c:pt>
                <c:pt idx="332">
                  <c:v>Yinshanling</c:v>
                </c:pt>
                <c:pt idx="333">
                  <c:v>Dahongshan</c:v>
                </c:pt>
                <c:pt idx="334">
                  <c:v>El Teniente Tailings</c:v>
                </c:pt>
                <c:pt idx="335">
                  <c:v>Ellatzite</c:v>
                </c:pt>
                <c:pt idx="336">
                  <c:v>Hemeida Industrial and Trading Company</c:v>
                </c:pt>
                <c:pt idx="337">
                  <c:v>San Francisco del Oro</c:v>
                </c:pt>
                <c:pt idx="338">
                  <c:v>Zhixincheng Conc. Plant</c:v>
                </c:pt>
                <c:pt idx="339">
                  <c:v>Tritton</c:v>
                </c:pt>
                <c:pt idx="340">
                  <c:v>Zhurihe</c:v>
                </c:pt>
                <c:pt idx="341">
                  <c:v>Telfer</c:v>
                </c:pt>
                <c:pt idx="342">
                  <c:v>Fengshan</c:v>
                </c:pt>
                <c:pt idx="343">
                  <c:v>Tongshan</c:v>
                </c:pt>
                <c:pt idx="344">
                  <c:v>Datong</c:v>
                </c:pt>
                <c:pt idx="345">
                  <c:v>Thalanga</c:v>
                </c:pt>
                <c:pt idx="346">
                  <c:v>Nanchong</c:v>
                </c:pt>
                <c:pt idx="347">
                  <c:v>Yinan</c:v>
                </c:pt>
                <c:pt idx="348">
                  <c:v>Quebrada Blanca SX-EW</c:v>
                </c:pt>
                <c:pt idx="349">
                  <c:v>Lvshui</c:v>
                </c:pt>
                <c:pt idx="350">
                  <c:v>Sabinas</c:v>
                </c:pt>
                <c:pt idx="351">
                  <c:v>Capela</c:v>
                </c:pt>
                <c:pt idx="352">
                  <c:v>Xinwang</c:v>
                </c:pt>
                <c:pt idx="353">
                  <c:v>Panagyurishte SX-EW</c:v>
                </c:pt>
                <c:pt idx="354">
                  <c:v>Wutongjing</c:v>
                </c:pt>
                <c:pt idx="355">
                  <c:v>Mission</c:v>
                </c:pt>
                <c:pt idx="356">
                  <c:v>Qiaoxiahala</c:v>
                </c:pt>
                <c:pt idx="357">
                  <c:v>Tongshankou</c:v>
                </c:pt>
                <c:pt idx="358">
                  <c:v>Panagyurishte Mining and Processing Complex</c:v>
                </c:pt>
                <c:pt idx="359">
                  <c:v>Dongtong</c:v>
                </c:pt>
                <c:pt idx="360">
                  <c:v>Morococha</c:v>
                </c:pt>
                <c:pt idx="361">
                  <c:v>Jiangjushuijin</c:v>
                </c:pt>
                <c:pt idx="362">
                  <c:v>Baiyin Shenbu</c:v>
                </c:pt>
                <c:pt idx="363">
                  <c:v>Shejiaao</c:v>
                </c:pt>
                <c:pt idx="364">
                  <c:v>Bairen</c:v>
                </c:pt>
                <c:pt idx="365">
                  <c:v>Shaxi</c:v>
                </c:pt>
                <c:pt idx="366">
                  <c:v>Jixing</c:v>
                </c:pt>
                <c:pt idx="367">
                  <c:v>Copper Mountain</c:v>
                </c:pt>
                <c:pt idx="368">
                  <c:v>Manitoba Division</c:v>
                </c:pt>
                <c:pt idx="369">
                  <c:v>El Valle</c:v>
                </c:pt>
                <c:pt idx="370">
                  <c:v>Baiyunshan</c:v>
                </c:pt>
                <c:pt idx="371">
                  <c:v>Shanjinhongling</c:v>
                </c:pt>
                <c:pt idx="372">
                  <c:v>Zihao</c:v>
                </c:pt>
                <c:pt idx="373">
                  <c:v>Bolivar</c:v>
                </c:pt>
                <c:pt idx="374">
                  <c:v>Yongping</c:v>
                </c:pt>
                <c:pt idx="375">
                  <c:v>Las Cruces</c:v>
                </c:pt>
                <c:pt idx="376">
                  <c:v>Jaguar</c:v>
                </c:pt>
                <c:pt idx="377">
                  <c:v>Ming</c:v>
                </c:pt>
                <c:pt idx="378">
                  <c:v>Tugenmansu</c:v>
                </c:pt>
                <c:pt idx="379">
                  <c:v>Yueshan</c:v>
                </c:pt>
                <c:pt idx="380">
                  <c:v>Shuangfo Second Conc. Plant</c:v>
                </c:pt>
                <c:pt idx="381">
                  <c:v>Dongjin</c:v>
                </c:pt>
                <c:pt idx="382">
                  <c:v>Heijing</c:v>
                </c:pt>
                <c:pt idx="383">
                  <c:v>Mount Carlton</c:v>
                </c:pt>
                <c:pt idx="384">
                  <c:v>Liwan</c:v>
                </c:pt>
                <c:pt idx="385">
                  <c:v>Shuangfo Conc. Plant</c:v>
                </c:pt>
                <c:pt idx="386">
                  <c:v>Laocun Hydrometallurgy Plant</c:v>
                </c:pt>
                <c:pt idx="387">
                  <c:v>Milpillas</c:v>
                </c:pt>
                <c:pt idx="388">
                  <c:v>Shizishan</c:v>
                </c:pt>
                <c:pt idx="389">
                  <c:v>Konkola</c:v>
                </c:pt>
                <c:pt idx="390">
                  <c:v>Hongwei</c:v>
                </c:pt>
                <c:pt idx="391">
                  <c:v>Mufulira SX-EW</c:v>
                </c:pt>
                <c:pt idx="392">
                  <c:v>Pinto Valley SX-EW</c:v>
                </c:pt>
                <c:pt idx="393">
                  <c:v>Nchanga SX-EW</c:v>
                </c:pt>
                <c:pt idx="394">
                  <c:v>Mutanda</c:v>
                </c:pt>
                <c:pt idx="395">
                  <c:v>Nchanga</c:v>
                </c:pt>
                <c:pt idx="396">
                  <c:v>Zijinshan SXEW</c:v>
                </c:pt>
                <c:pt idx="397">
                  <c:v>Maria</c:v>
                </c:pt>
                <c:pt idx="398">
                  <c:v>Baita Plai</c:v>
                </c:pt>
              </c:strCache>
            </c:strRef>
          </c:cat>
          <c:val>
            <c:numRef>
              <c:f>Data!$N$15:$N$413</c:f>
              <c:numCache>
                <c:formatCode>#,##0.0_);\(#,##0.0\)</c:formatCode>
                <c:ptCount val="399"/>
                <c:pt idx="0">
                  <c:v>173.1</c:v>
                </c:pt>
                <c:pt idx="1">
                  <c:v>272.8</c:v>
                </c:pt>
                <c:pt idx="2">
                  <c:v>313.90000000000003</c:v>
                </c:pt>
                <c:pt idx="3">
                  <c:v>314.60000000000002</c:v>
                </c:pt>
                <c:pt idx="4">
                  <c:v>323.8</c:v>
                </c:pt>
                <c:pt idx="5">
                  <c:v>350.3</c:v>
                </c:pt>
                <c:pt idx="6">
                  <c:v>374.7</c:v>
                </c:pt>
                <c:pt idx="7">
                  <c:v>383.5</c:v>
                </c:pt>
                <c:pt idx="8">
                  <c:v>420.4</c:v>
                </c:pt>
                <c:pt idx="9">
                  <c:v>434.7</c:v>
                </c:pt>
                <c:pt idx="10">
                  <c:v>458</c:v>
                </c:pt>
                <c:pt idx="11">
                  <c:v>469.6</c:v>
                </c:pt>
                <c:pt idx="12">
                  <c:v>562.9</c:v>
                </c:pt>
                <c:pt idx="13">
                  <c:v>648.69999999999993</c:v>
                </c:pt>
                <c:pt idx="14">
                  <c:v>648.9</c:v>
                </c:pt>
                <c:pt idx="15">
                  <c:v>691.69999999999993</c:v>
                </c:pt>
                <c:pt idx="16">
                  <c:v>696.69999999999993</c:v>
                </c:pt>
                <c:pt idx="17">
                  <c:v>888.3</c:v>
                </c:pt>
                <c:pt idx="18">
                  <c:v>891.69999999999993</c:v>
                </c:pt>
                <c:pt idx="19">
                  <c:v>919.59999999999991</c:v>
                </c:pt>
                <c:pt idx="20">
                  <c:v>1024.8999999999999</c:v>
                </c:pt>
                <c:pt idx="21">
                  <c:v>1057.5999999999999</c:v>
                </c:pt>
                <c:pt idx="22">
                  <c:v>1064.8</c:v>
                </c:pt>
                <c:pt idx="23">
                  <c:v>1069.3999999999999</c:v>
                </c:pt>
                <c:pt idx="24">
                  <c:v>1084.4999999999998</c:v>
                </c:pt>
                <c:pt idx="25">
                  <c:v>1157.0999999999997</c:v>
                </c:pt>
                <c:pt idx="26">
                  <c:v>1181.3999999999996</c:v>
                </c:pt>
                <c:pt idx="27">
                  <c:v>1188.4999999999995</c:v>
                </c:pt>
                <c:pt idx="28">
                  <c:v>1188.5999999999995</c:v>
                </c:pt>
                <c:pt idx="29">
                  <c:v>1627.0999999999995</c:v>
                </c:pt>
                <c:pt idx="30">
                  <c:v>1627.3999999999994</c:v>
                </c:pt>
                <c:pt idx="31">
                  <c:v>1638.8999999999994</c:v>
                </c:pt>
                <c:pt idx="32">
                  <c:v>1648.2999999999995</c:v>
                </c:pt>
                <c:pt idx="33">
                  <c:v>1688.4999999999995</c:v>
                </c:pt>
                <c:pt idx="34">
                  <c:v>1758.2999999999995</c:v>
                </c:pt>
                <c:pt idx="35">
                  <c:v>2311.8999999999996</c:v>
                </c:pt>
                <c:pt idx="36">
                  <c:v>2406.0999999999995</c:v>
                </c:pt>
                <c:pt idx="37">
                  <c:v>2415.0999999999995</c:v>
                </c:pt>
                <c:pt idx="38">
                  <c:v>2783.2999999999993</c:v>
                </c:pt>
                <c:pt idx="39">
                  <c:v>2807.6999999999994</c:v>
                </c:pt>
                <c:pt idx="40">
                  <c:v>3010.9999999999995</c:v>
                </c:pt>
                <c:pt idx="41">
                  <c:v>3158.5999999999995</c:v>
                </c:pt>
                <c:pt idx="42">
                  <c:v>3224.2999999999993</c:v>
                </c:pt>
                <c:pt idx="43">
                  <c:v>3248.3999999999992</c:v>
                </c:pt>
                <c:pt idx="44">
                  <c:v>3287.7999999999993</c:v>
                </c:pt>
                <c:pt idx="45">
                  <c:v>3290.1999999999994</c:v>
                </c:pt>
                <c:pt idx="46">
                  <c:v>3290.3999999999992</c:v>
                </c:pt>
                <c:pt idx="47">
                  <c:v>3291.4999999999991</c:v>
                </c:pt>
                <c:pt idx="48">
                  <c:v>3304.6999999999989</c:v>
                </c:pt>
                <c:pt idx="49">
                  <c:v>3478.1999999999989</c:v>
                </c:pt>
                <c:pt idx="50">
                  <c:v>3523.599999999999</c:v>
                </c:pt>
                <c:pt idx="51">
                  <c:v>3523.6999999999989</c:v>
                </c:pt>
                <c:pt idx="52">
                  <c:v>3648.099999999999</c:v>
                </c:pt>
                <c:pt idx="53">
                  <c:v>3673.3999999999992</c:v>
                </c:pt>
                <c:pt idx="54">
                  <c:v>3688.599999999999</c:v>
                </c:pt>
                <c:pt idx="55">
                  <c:v>3692.599999999999</c:v>
                </c:pt>
                <c:pt idx="56">
                  <c:v>3695.2999999999988</c:v>
                </c:pt>
                <c:pt idx="57">
                  <c:v>3710.4999999999986</c:v>
                </c:pt>
                <c:pt idx="58">
                  <c:v>4533.5999999999985</c:v>
                </c:pt>
                <c:pt idx="59">
                  <c:v>4621.3999999999987</c:v>
                </c:pt>
                <c:pt idx="60">
                  <c:v>4855.7999999999984</c:v>
                </c:pt>
                <c:pt idx="61">
                  <c:v>4886.4999999999982</c:v>
                </c:pt>
                <c:pt idx="62">
                  <c:v>4887.2999999999984</c:v>
                </c:pt>
                <c:pt idx="63">
                  <c:v>5216.0999999999985</c:v>
                </c:pt>
                <c:pt idx="64">
                  <c:v>5420.1999999999989</c:v>
                </c:pt>
                <c:pt idx="65">
                  <c:v>5421.4999999999991</c:v>
                </c:pt>
                <c:pt idx="66">
                  <c:v>6066.8999999999987</c:v>
                </c:pt>
                <c:pt idx="67">
                  <c:v>6132.9999999999991</c:v>
                </c:pt>
                <c:pt idx="68">
                  <c:v>6134.0999999999995</c:v>
                </c:pt>
                <c:pt idx="69">
                  <c:v>6251.7</c:v>
                </c:pt>
                <c:pt idx="70">
                  <c:v>6353.8</c:v>
                </c:pt>
                <c:pt idx="71">
                  <c:v>6377.2</c:v>
                </c:pt>
                <c:pt idx="72">
                  <c:v>6392.5999999999995</c:v>
                </c:pt>
                <c:pt idx="73">
                  <c:v>6491.4</c:v>
                </c:pt>
                <c:pt idx="74">
                  <c:v>6523.5</c:v>
                </c:pt>
                <c:pt idx="75">
                  <c:v>6605</c:v>
                </c:pt>
                <c:pt idx="76">
                  <c:v>6859.3</c:v>
                </c:pt>
                <c:pt idx="77">
                  <c:v>7188.3</c:v>
                </c:pt>
                <c:pt idx="78">
                  <c:v>7205.1</c:v>
                </c:pt>
                <c:pt idx="79">
                  <c:v>7593</c:v>
                </c:pt>
                <c:pt idx="80">
                  <c:v>7597</c:v>
                </c:pt>
                <c:pt idx="81">
                  <c:v>7597.4</c:v>
                </c:pt>
                <c:pt idx="82">
                  <c:v>7597.7</c:v>
                </c:pt>
                <c:pt idx="83">
                  <c:v>7633.0999999999995</c:v>
                </c:pt>
                <c:pt idx="84">
                  <c:v>7634.7</c:v>
                </c:pt>
                <c:pt idx="85">
                  <c:v>7636.5999999999995</c:v>
                </c:pt>
                <c:pt idx="86">
                  <c:v>7695.2</c:v>
                </c:pt>
                <c:pt idx="87">
                  <c:v>7772</c:v>
                </c:pt>
                <c:pt idx="88">
                  <c:v>8047</c:v>
                </c:pt>
                <c:pt idx="89">
                  <c:v>8058.2</c:v>
                </c:pt>
                <c:pt idx="90">
                  <c:v>8058.7</c:v>
                </c:pt>
                <c:pt idx="91">
                  <c:v>8059</c:v>
                </c:pt>
                <c:pt idx="92">
                  <c:v>8059.3</c:v>
                </c:pt>
                <c:pt idx="93">
                  <c:v>8104.5</c:v>
                </c:pt>
                <c:pt idx="94">
                  <c:v>8166.1</c:v>
                </c:pt>
                <c:pt idx="95">
                  <c:v>8176.8</c:v>
                </c:pt>
                <c:pt idx="96">
                  <c:v>8286.2999999999993</c:v>
                </c:pt>
                <c:pt idx="97">
                  <c:v>8292.1999999999989</c:v>
                </c:pt>
                <c:pt idx="98">
                  <c:v>8292.5999999999985</c:v>
                </c:pt>
                <c:pt idx="99">
                  <c:v>8360.9999999999982</c:v>
                </c:pt>
                <c:pt idx="100">
                  <c:v>8364.7999999999975</c:v>
                </c:pt>
                <c:pt idx="101">
                  <c:v>8396.6999999999971</c:v>
                </c:pt>
                <c:pt idx="102">
                  <c:v>8399.5999999999967</c:v>
                </c:pt>
                <c:pt idx="103">
                  <c:v>8569.399999999996</c:v>
                </c:pt>
                <c:pt idx="104">
                  <c:v>8772.1999999999953</c:v>
                </c:pt>
                <c:pt idx="105">
                  <c:v>8775.2999999999956</c:v>
                </c:pt>
                <c:pt idx="106">
                  <c:v>8784.399999999996</c:v>
                </c:pt>
                <c:pt idx="107">
                  <c:v>9121.2999999999956</c:v>
                </c:pt>
                <c:pt idx="108">
                  <c:v>9173.4999999999964</c:v>
                </c:pt>
                <c:pt idx="109">
                  <c:v>9185.2999999999956</c:v>
                </c:pt>
                <c:pt idx="110">
                  <c:v>9321.399999999996</c:v>
                </c:pt>
                <c:pt idx="111">
                  <c:v>9486.4999999999964</c:v>
                </c:pt>
                <c:pt idx="112">
                  <c:v>9523.4999999999964</c:v>
                </c:pt>
                <c:pt idx="113">
                  <c:v>9527.5999999999967</c:v>
                </c:pt>
                <c:pt idx="114">
                  <c:v>9533.0999999999967</c:v>
                </c:pt>
                <c:pt idx="115">
                  <c:v>9533.2999999999975</c:v>
                </c:pt>
                <c:pt idx="116">
                  <c:v>9547.2999999999975</c:v>
                </c:pt>
                <c:pt idx="117">
                  <c:v>9551.6999999999971</c:v>
                </c:pt>
                <c:pt idx="118">
                  <c:v>9771.7999999999975</c:v>
                </c:pt>
                <c:pt idx="119">
                  <c:v>9782.9999999999982</c:v>
                </c:pt>
                <c:pt idx="120">
                  <c:v>9890.2999999999975</c:v>
                </c:pt>
                <c:pt idx="121">
                  <c:v>9901.2999999999975</c:v>
                </c:pt>
                <c:pt idx="122">
                  <c:v>9901.5999999999967</c:v>
                </c:pt>
                <c:pt idx="123">
                  <c:v>9915.1999999999971</c:v>
                </c:pt>
                <c:pt idx="124">
                  <c:v>10073.299999999997</c:v>
                </c:pt>
                <c:pt idx="125">
                  <c:v>10075.499999999998</c:v>
                </c:pt>
                <c:pt idx="126">
                  <c:v>10105.899999999998</c:v>
                </c:pt>
                <c:pt idx="127">
                  <c:v>10106.299999999997</c:v>
                </c:pt>
                <c:pt idx="128">
                  <c:v>10161.699999999997</c:v>
                </c:pt>
                <c:pt idx="129">
                  <c:v>10165.999999999996</c:v>
                </c:pt>
                <c:pt idx="130">
                  <c:v>10170.099999999997</c:v>
                </c:pt>
                <c:pt idx="131">
                  <c:v>10178.499999999996</c:v>
                </c:pt>
                <c:pt idx="132">
                  <c:v>10229.499999999996</c:v>
                </c:pt>
                <c:pt idx="133">
                  <c:v>10241.099999999997</c:v>
                </c:pt>
                <c:pt idx="134">
                  <c:v>10243.799999999997</c:v>
                </c:pt>
                <c:pt idx="135">
                  <c:v>10244.799999999997</c:v>
                </c:pt>
                <c:pt idx="136">
                  <c:v>10256.799999999997</c:v>
                </c:pt>
                <c:pt idx="137">
                  <c:v>10258.799999999997</c:v>
                </c:pt>
                <c:pt idx="138">
                  <c:v>10302.899999999998</c:v>
                </c:pt>
                <c:pt idx="139">
                  <c:v>10305.899999999998</c:v>
                </c:pt>
                <c:pt idx="140">
                  <c:v>10351.799999999997</c:v>
                </c:pt>
                <c:pt idx="141">
                  <c:v>10351.999999999998</c:v>
                </c:pt>
                <c:pt idx="142">
                  <c:v>10438.699999999999</c:v>
                </c:pt>
                <c:pt idx="143">
                  <c:v>10672.699999999999</c:v>
                </c:pt>
                <c:pt idx="144">
                  <c:v>10674.099999999999</c:v>
                </c:pt>
                <c:pt idx="145">
                  <c:v>10699.499999999998</c:v>
                </c:pt>
                <c:pt idx="146">
                  <c:v>10709.599999999999</c:v>
                </c:pt>
                <c:pt idx="147">
                  <c:v>10711.699999999999</c:v>
                </c:pt>
                <c:pt idx="148">
                  <c:v>11051.9</c:v>
                </c:pt>
                <c:pt idx="149">
                  <c:v>11054.5</c:v>
                </c:pt>
                <c:pt idx="150">
                  <c:v>11070.8</c:v>
                </c:pt>
                <c:pt idx="151">
                  <c:v>11071.9</c:v>
                </c:pt>
                <c:pt idx="152">
                  <c:v>11170.1</c:v>
                </c:pt>
                <c:pt idx="153">
                  <c:v>11171</c:v>
                </c:pt>
                <c:pt idx="154">
                  <c:v>11172.9</c:v>
                </c:pt>
                <c:pt idx="155">
                  <c:v>11256.3</c:v>
                </c:pt>
                <c:pt idx="156">
                  <c:v>11256.599999999999</c:v>
                </c:pt>
                <c:pt idx="157">
                  <c:v>11460.499999999998</c:v>
                </c:pt>
                <c:pt idx="158">
                  <c:v>11707.699999999999</c:v>
                </c:pt>
                <c:pt idx="159">
                  <c:v>11854.4</c:v>
                </c:pt>
                <c:pt idx="160">
                  <c:v>11888.9</c:v>
                </c:pt>
                <c:pt idx="161">
                  <c:v>12038.199999999999</c:v>
                </c:pt>
                <c:pt idx="162">
                  <c:v>12042.4</c:v>
                </c:pt>
                <c:pt idx="163">
                  <c:v>12042.9</c:v>
                </c:pt>
                <c:pt idx="164">
                  <c:v>12064.4</c:v>
                </c:pt>
                <c:pt idx="165">
                  <c:v>12109.199999999999</c:v>
                </c:pt>
                <c:pt idx="166">
                  <c:v>12147.999999999998</c:v>
                </c:pt>
                <c:pt idx="167">
                  <c:v>12148.299999999997</c:v>
                </c:pt>
                <c:pt idx="168">
                  <c:v>12198.699999999997</c:v>
                </c:pt>
                <c:pt idx="169">
                  <c:v>12225.699999999997</c:v>
                </c:pt>
                <c:pt idx="170">
                  <c:v>12253.199999999997</c:v>
                </c:pt>
                <c:pt idx="171">
                  <c:v>12254.199999999997</c:v>
                </c:pt>
                <c:pt idx="172">
                  <c:v>12254.299999999997</c:v>
                </c:pt>
                <c:pt idx="173">
                  <c:v>12256.599999999997</c:v>
                </c:pt>
                <c:pt idx="174">
                  <c:v>12257.499999999996</c:v>
                </c:pt>
                <c:pt idx="175">
                  <c:v>12445.299999999996</c:v>
                </c:pt>
                <c:pt idx="176">
                  <c:v>12447.999999999996</c:v>
                </c:pt>
                <c:pt idx="177">
                  <c:v>12449.899999999996</c:v>
                </c:pt>
                <c:pt idx="178">
                  <c:v>12474.499999999996</c:v>
                </c:pt>
                <c:pt idx="179">
                  <c:v>12579.899999999996</c:v>
                </c:pt>
                <c:pt idx="180">
                  <c:v>12580.899999999996</c:v>
                </c:pt>
                <c:pt idx="181">
                  <c:v>12581.999999999996</c:v>
                </c:pt>
                <c:pt idx="182">
                  <c:v>12582.599999999997</c:v>
                </c:pt>
                <c:pt idx="183">
                  <c:v>12592.299999999997</c:v>
                </c:pt>
                <c:pt idx="184">
                  <c:v>12595.199999999997</c:v>
                </c:pt>
                <c:pt idx="185">
                  <c:v>12595.399999999998</c:v>
                </c:pt>
                <c:pt idx="186">
                  <c:v>12604.799999999997</c:v>
                </c:pt>
                <c:pt idx="187">
                  <c:v>12720.299999999997</c:v>
                </c:pt>
                <c:pt idx="188">
                  <c:v>12732.599999999997</c:v>
                </c:pt>
                <c:pt idx="189">
                  <c:v>12736.799999999997</c:v>
                </c:pt>
                <c:pt idx="190">
                  <c:v>12908.399999999998</c:v>
                </c:pt>
                <c:pt idx="191">
                  <c:v>13030.099999999999</c:v>
                </c:pt>
                <c:pt idx="192">
                  <c:v>13149.8</c:v>
                </c:pt>
                <c:pt idx="193">
                  <c:v>13153.4</c:v>
                </c:pt>
                <c:pt idx="194">
                  <c:v>13153.9</c:v>
                </c:pt>
                <c:pt idx="195">
                  <c:v>13161.4</c:v>
                </c:pt>
                <c:pt idx="196">
                  <c:v>13162.9</c:v>
                </c:pt>
                <c:pt idx="197">
                  <c:v>13308.6</c:v>
                </c:pt>
                <c:pt idx="198">
                  <c:v>13420.1</c:v>
                </c:pt>
                <c:pt idx="199">
                  <c:v>13422.4</c:v>
                </c:pt>
                <c:pt idx="200">
                  <c:v>13424</c:v>
                </c:pt>
                <c:pt idx="201">
                  <c:v>13426.2</c:v>
                </c:pt>
                <c:pt idx="202">
                  <c:v>13430.300000000001</c:v>
                </c:pt>
                <c:pt idx="203">
                  <c:v>13521.900000000001</c:v>
                </c:pt>
                <c:pt idx="204">
                  <c:v>13526.500000000002</c:v>
                </c:pt>
                <c:pt idx="205">
                  <c:v>13580.100000000002</c:v>
                </c:pt>
                <c:pt idx="206">
                  <c:v>13581.300000000003</c:v>
                </c:pt>
                <c:pt idx="207">
                  <c:v>13704.900000000003</c:v>
                </c:pt>
                <c:pt idx="208">
                  <c:v>13705.200000000003</c:v>
                </c:pt>
                <c:pt idx="209">
                  <c:v>13794.100000000002</c:v>
                </c:pt>
                <c:pt idx="210">
                  <c:v>13824.900000000001</c:v>
                </c:pt>
                <c:pt idx="211">
                  <c:v>13826.100000000002</c:v>
                </c:pt>
                <c:pt idx="212">
                  <c:v>13872.900000000001</c:v>
                </c:pt>
                <c:pt idx="213">
                  <c:v>13989.800000000001</c:v>
                </c:pt>
                <c:pt idx="214">
                  <c:v>14214.400000000001</c:v>
                </c:pt>
                <c:pt idx="215">
                  <c:v>14280.100000000002</c:v>
                </c:pt>
                <c:pt idx="216">
                  <c:v>14290.800000000003</c:v>
                </c:pt>
                <c:pt idx="217">
                  <c:v>14290.800000000003</c:v>
                </c:pt>
                <c:pt idx="218">
                  <c:v>14292.800000000003</c:v>
                </c:pt>
                <c:pt idx="219">
                  <c:v>14305.900000000003</c:v>
                </c:pt>
                <c:pt idx="220">
                  <c:v>14337.000000000004</c:v>
                </c:pt>
                <c:pt idx="221">
                  <c:v>14363.800000000003</c:v>
                </c:pt>
                <c:pt idx="222">
                  <c:v>14364.800000000003</c:v>
                </c:pt>
                <c:pt idx="223">
                  <c:v>14450.600000000002</c:v>
                </c:pt>
                <c:pt idx="224">
                  <c:v>14572.500000000002</c:v>
                </c:pt>
                <c:pt idx="225">
                  <c:v>14573.300000000001</c:v>
                </c:pt>
                <c:pt idx="226">
                  <c:v>14617.7</c:v>
                </c:pt>
                <c:pt idx="227">
                  <c:v>14619.900000000001</c:v>
                </c:pt>
                <c:pt idx="228">
                  <c:v>14670.400000000001</c:v>
                </c:pt>
                <c:pt idx="229">
                  <c:v>14671.300000000001</c:v>
                </c:pt>
                <c:pt idx="230">
                  <c:v>14671.500000000002</c:v>
                </c:pt>
                <c:pt idx="231">
                  <c:v>14693.400000000001</c:v>
                </c:pt>
                <c:pt idx="232">
                  <c:v>14695.800000000001</c:v>
                </c:pt>
                <c:pt idx="233">
                  <c:v>14700.800000000001</c:v>
                </c:pt>
                <c:pt idx="234">
                  <c:v>14830.1</c:v>
                </c:pt>
                <c:pt idx="235">
                  <c:v>14830.2</c:v>
                </c:pt>
                <c:pt idx="236">
                  <c:v>15094.6</c:v>
                </c:pt>
                <c:pt idx="237">
                  <c:v>15138.5</c:v>
                </c:pt>
                <c:pt idx="238">
                  <c:v>15217.7</c:v>
                </c:pt>
                <c:pt idx="239">
                  <c:v>15228.7</c:v>
                </c:pt>
                <c:pt idx="240">
                  <c:v>15230</c:v>
                </c:pt>
                <c:pt idx="241">
                  <c:v>15374.4</c:v>
                </c:pt>
                <c:pt idx="242">
                  <c:v>15408.8</c:v>
                </c:pt>
                <c:pt idx="243">
                  <c:v>15414.9</c:v>
                </c:pt>
                <c:pt idx="244">
                  <c:v>15416.199999999999</c:v>
                </c:pt>
                <c:pt idx="245">
                  <c:v>15427.199999999999</c:v>
                </c:pt>
                <c:pt idx="246">
                  <c:v>15478.3</c:v>
                </c:pt>
                <c:pt idx="247">
                  <c:v>15479.8</c:v>
                </c:pt>
                <c:pt idx="248">
                  <c:v>15537.199999999999</c:v>
                </c:pt>
                <c:pt idx="249">
                  <c:v>15593.199999999999</c:v>
                </c:pt>
                <c:pt idx="250">
                  <c:v>15593.699999999999</c:v>
                </c:pt>
                <c:pt idx="251">
                  <c:v>15666.3</c:v>
                </c:pt>
                <c:pt idx="252">
                  <c:v>15666.5</c:v>
                </c:pt>
                <c:pt idx="253">
                  <c:v>15798.7</c:v>
                </c:pt>
                <c:pt idx="254">
                  <c:v>16195.1</c:v>
                </c:pt>
                <c:pt idx="255">
                  <c:v>16233.2</c:v>
                </c:pt>
                <c:pt idx="256">
                  <c:v>16272.2</c:v>
                </c:pt>
                <c:pt idx="257">
                  <c:v>16274.2</c:v>
                </c:pt>
                <c:pt idx="258">
                  <c:v>16294.800000000001</c:v>
                </c:pt>
                <c:pt idx="259">
                  <c:v>16295.000000000002</c:v>
                </c:pt>
                <c:pt idx="260">
                  <c:v>16299.200000000003</c:v>
                </c:pt>
                <c:pt idx="261">
                  <c:v>16343.100000000002</c:v>
                </c:pt>
                <c:pt idx="262">
                  <c:v>16343.500000000002</c:v>
                </c:pt>
                <c:pt idx="263">
                  <c:v>16344.600000000002</c:v>
                </c:pt>
                <c:pt idx="264">
                  <c:v>16344.900000000001</c:v>
                </c:pt>
                <c:pt idx="265">
                  <c:v>16364.500000000002</c:v>
                </c:pt>
                <c:pt idx="266">
                  <c:v>16411.900000000001</c:v>
                </c:pt>
                <c:pt idx="267">
                  <c:v>16415.300000000003</c:v>
                </c:pt>
                <c:pt idx="268">
                  <c:v>16417.700000000004</c:v>
                </c:pt>
                <c:pt idx="269">
                  <c:v>16470.000000000004</c:v>
                </c:pt>
                <c:pt idx="270">
                  <c:v>16539.500000000004</c:v>
                </c:pt>
                <c:pt idx="271">
                  <c:v>16539.800000000003</c:v>
                </c:pt>
                <c:pt idx="272">
                  <c:v>16921.300000000003</c:v>
                </c:pt>
                <c:pt idx="273">
                  <c:v>16921.600000000002</c:v>
                </c:pt>
                <c:pt idx="274">
                  <c:v>16928.000000000004</c:v>
                </c:pt>
                <c:pt idx="275">
                  <c:v>16928.300000000003</c:v>
                </c:pt>
                <c:pt idx="276">
                  <c:v>17051.000000000004</c:v>
                </c:pt>
                <c:pt idx="277">
                  <c:v>17051.300000000003</c:v>
                </c:pt>
                <c:pt idx="278">
                  <c:v>17064.000000000004</c:v>
                </c:pt>
                <c:pt idx="279">
                  <c:v>17113.100000000002</c:v>
                </c:pt>
                <c:pt idx="280">
                  <c:v>17115.100000000002</c:v>
                </c:pt>
                <c:pt idx="281">
                  <c:v>17115.7</c:v>
                </c:pt>
                <c:pt idx="282">
                  <c:v>17116.400000000001</c:v>
                </c:pt>
                <c:pt idx="283">
                  <c:v>17118.2</c:v>
                </c:pt>
                <c:pt idx="284">
                  <c:v>17183.400000000001</c:v>
                </c:pt>
                <c:pt idx="285">
                  <c:v>17185.7</c:v>
                </c:pt>
                <c:pt idx="286">
                  <c:v>17200.8</c:v>
                </c:pt>
                <c:pt idx="287">
                  <c:v>17236.599999999999</c:v>
                </c:pt>
                <c:pt idx="288">
                  <c:v>17239.199999999997</c:v>
                </c:pt>
                <c:pt idx="289">
                  <c:v>17282.299999999996</c:v>
                </c:pt>
                <c:pt idx="290">
                  <c:v>17288.699999999997</c:v>
                </c:pt>
                <c:pt idx="291">
                  <c:v>17289.999999999996</c:v>
                </c:pt>
                <c:pt idx="292">
                  <c:v>17290.499999999996</c:v>
                </c:pt>
                <c:pt idx="293">
                  <c:v>17294.499999999996</c:v>
                </c:pt>
                <c:pt idx="294">
                  <c:v>17325.399999999998</c:v>
                </c:pt>
                <c:pt idx="295">
                  <c:v>17327.899999999998</c:v>
                </c:pt>
                <c:pt idx="296">
                  <c:v>17329.199999999997</c:v>
                </c:pt>
                <c:pt idx="297">
                  <c:v>17333.899999999998</c:v>
                </c:pt>
                <c:pt idx="298">
                  <c:v>17351.199999999997</c:v>
                </c:pt>
                <c:pt idx="299">
                  <c:v>17351.399999999998</c:v>
                </c:pt>
                <c:pt idx="300">
                  <c:v>17360.999999999996</c:v>
                </c:pt>
                <c:pt idx="301">
                  <c:v>17362.399999999998</c:v>
                </c:pt>
                <c:pt idx="302">
                  <c:v>17362.899999999998</c:v>
                </c:pt>
                <c:pt idx="303">
                  <c:v>17394.699999999997</c:v>
                </c:pt>
                <c:pt idx="304">
                  <c:v>17395.099999999999</c:v>
                </c:pt>
                <c:pt idx="305">
                  <c:v>17437.199999999997</c:v>
                </c:pt>
                <c:pt idx="306">
                  <c:v>17437.799999999996</c:v>
                </c:pt>
                <c:pt idx="307">
                  <c:v>17450.699999999997</c:v>
                </c:pt>
                <c:pt idx="308">
                  <c:v>17482.999999999996</c:v>
                </c:pt>
                <c:pt idx="309">
                  <c:v>17483.399999999998</c:v>
                </c:pt>
                <c:pt idx="310">
                  <c:v>17483.599999999999</c:v>
                </c:pt>
                <c:pt idx="311">
                  <c:v>17497</c:v>
                </c:pt>
                <c:pt idx="312">
                  <c:v>17497.900000000001</c:v>
                </c:pt>
                <c:pt idx="313">
                  <c:v>17498.900000000001</c:v>
                </c:pt>
                <c:pt idx="314">
                  <c:v>17500.7</c:v>
                </c:pt>
                <c:pt idx="315">
                  <c:v>17567</c:v>
                </c:pt>
                <c:pt idx="316">
                  <c:v>17602.7</c:v>
                </c:pt>
                <c:pt idx="317">
                  <c:v>17602.900000000001</c:v>
                </c:pt>
                <c:pt idx="318">
                  <c:v>17645.600000000002</c:v>
                </c:pt>
                <c:pt idx="319">
                  <c:v>17683.000000000004</c:v>
                </c:pt>
                <c:pt idx="320">
                  <c:v>17699.000000000004</c:v>
                </c:pt>
                <c:pt idx="321">
                  <c:v>17699.700000000004</c:v>
                </c:pt>
                <c:pt idx="322">
                  <c:v>17719.200000000004</c:v>
                </c:pt>
                <c:pt idx="323">
                  <c:v>17769.000000000004</c:v>
                </c:pt>
                <c:pt idx="324">
                  <c:v>17784.100000000002</c:v>
                </c:pt>
                <c:pt idx="325">
                  <c:v>17785.300000000003</c:v>
                </c:pt>
                <c:pt idx="326">
                  <c:v>17814.500000000004</c:v>
                </c:pt>
                <c:pt idx="327">
                  <c:v>17814.800000000003</c:v>
                </c:pt>
                <c:pt idx="328">
                  <c:v>17820.500000000004</c:v>
                </c:pt>
                <c:pt idx="329">
                  <c:v>17820.700000000004</c:v>
                </c:pt>
                <c:pt idx="330">
                  <c:v>17826.600000000006</c:v>
                </c:pt>
                <c:pt idx="331">
                  <c:v>17864.700000000004</c:v>
                </c:pt>
                <c:pt idx="332">
                  <c:v>17865.000000000004</c:v>
                </c:pt>
                <c:pt idx="333">
                  <c:v>17885.400000000005</c:v>
                </c:pt>
                <c:pt idx="334">
                  <c:v>17913.200000000004</c:v>
                </c:pt>
                <c:pt idx="335">
                  <c:v>17948.900000000005</c:v>
                </c:pt>
                <c:pt idx="336">
                  <c:v>17949.300000000007</c:v>
                </c:pt>
                <c:pt idx="337">
                  <c:v>17950.000000000007</c:v>
                </c:pt>
                <c:pt idx="338">
                  <c:v>17950.600000000006</c:v>
                </c:pt>
                <c:pt idx="339">
                  <c:v>17966.800000000007</c:v>
                </c:pt>
                <c:pt idx="340">
                  <c:v>17967.900000000005</c:v>
                </c:pt>
                <c:pt idx="341">
                  <c:v>17980.200000000004</c:v>
                </c:pt>
                <c:pt idx="342">
                  <c:v>17980.200000000004</c:v>
                </c:pt>
                <c:pt idx="343">
                  <c:v>17982.400000000005</c:v>
                </c:pt>
                <c:pt idx="344">
                  <c:v>17983.600000000006</c:v>
                </c:pt>
                <c:pt idx="345">
                  <c:v>17985.300000000007</c:v>
                </c:pt>
                <c:pt idx="346">
                  <c:v>17986.200000000008</c:v>
                </c:pt>
                <c:pt idx="347">
                  <c:v>17987.400000000009</c:v>
                </c:pt>
                <c:pt idx="348">
                  <c:v>17997.000000000007</c:v>
                </c:pt>
                <c:pt idx="349">
                  <c:v>17998.800000000007</c:v>
                </c:pt>
                <c:pt idx="350">
                  <c:v>18001.500000000007</c:v>
                </c:pt>
                <c:pt idx="351">
                  <c:v>18004.800000000007</c:v>
                </c:pt>
                <c:pt idx="352">
                  <c:v>18005.500000000007</c:v>
                </c:pt>
                <c:pt idx="353">
                  <c:v>18007.000000000007</c:v>
                </c:pt>
                <c:pt idx="354">
                  <c:v>18007.300000000007</c:v>
                </c:pt>
                <c:pt idx="355">
                  <c:v>18048.800000000007</c:v>
                </c:pt>
                <c:pt idx="356">
                  <c:v>18050.000000000007</c:v>
                </c:pt>
                <c:pt idx="357">
                  <c:v>18054.700000000008</c:v>
                </c:pt>
                <c:pt idx="358">
                  <c:v>18114.900000000009</c:v>
                </c:pt>
                <c:pt idx="359">
                  <c:v>18116.400000000009</c:v>
                </c:pt>
                <c:pt idx="360">
                  <c:v>18116.900000000009</c:v>
                </c:pt>
                <c:pt idx="361">
                  <c:v>18117.200000000008</c:v>
                </c:pt>
                <c:pt idx="362">
                  <c:v>18120.700000000008</c:v>
                </c:pt>
                <c:pt idx="363">
                  <c:v>18120.800000000007</c:v>
                </c:pt>
                <c:pt idx="364">
                  <c:v>18121.600000000006</c:v>
                </c:pt>
                <c:pt idx="365">
                  <c:v>18134.500000000007</c:v>
                </c:pt>
                <c:pt idx="366">
                  <c:v>18134.600000000006</c:v>
                </c:pt>
                <c:pt idx="367">
                  <c:v>18157.600000000006</c:v>
                </c:pt>
                <c:pt idx="368">
                  <c:v>18162.700000000004</c:v>
                </c:pt>
                <c:pt idx="369">
                  <c:v>18164.700000000004</c:v>
                </c:pt>
                <c:pt idx="370">
                  <c:v>18173.400000000005</c:v>
                </c:pt>
                <c:pt idx="371">
                  <c:v>18173.900000000005</c:v>
                </c:pt>
                <c:pt idx="372">
                  <c:v>18174.800000000007</c:v>
                </c:pt>
                <c:pt idx="373">
                  <c:v>18180.300000000007</c:v>
                </c:pt>
                <c:pt idx="374">
                  <c:v>18193.800000000007</c:v>
                </c:pt>
                <c:pt idx="375">
                  <c:v>18203.400000000005</c:v>
                </c:pt>
                <c:pt idx="376">
                  <c:v>18205.700000000004</c:v>
                </c:pt>
                <c:pt idx="377">
                  <c:v>18211.600000000006</c:v>
                </c:pt>
                <c:pt idx="378">
                  <c:v>18211.800000000007</c:v>
                </c:pt>
                <c:pt idx="379">
                  <c:v>18212.500000000007</c:v>
                </c:pt>
                <c:pt idx="380">
                  <c:v>18212.600000000006</c:v>
                </c:pt>
                <c:pt idx="381">
                  <c:v>18212.800000000007</c:v>
                </c:pt>
                <c:pt idx="382">
                  <c:v>18214.700000000008</c:v>
                </c:pt>
                <c:pt idx="383">
                  <c:v>18215.800000000007</c:v>
                </c:pt>
                <c:pt idx="384">
                  <c:v>18216.000000000007</c:v>
                </c:pt>
                <c:pt idx="385">
                  <c:v>18216.300000000007</c:v>
                </c:pt>
                <c:pt idx="386">
                  <c:v>18216.500000000007</c:v>
                </c:pt>
                <c:pt idx="387">
                  <c:v>18222.000000000007</c:v>
                </c:pt>
                <c:pt idx="388">
                  <c:v>18223.400000000009</c:v>
                </c:pt>
                <c:pt idx="389">
                  <c:v>18240.000000000007</c:v>
                </c:pt>
                <c:pt idx="390">
                  <c:v>18240.100000000006</c:v>
                </c:pt>
                <c:pt idx="391">
                  <c:v>18242.100000000006</c:v>
                </c:pt>
                <c:pt idx="392">
                  <c:v>18244.700000000004</c:v>
                </c:pt>
                <c:pt idx="393">
                  <c:v>18269.200000000004</c:v>
                </c:pt>
                <c:pt idx="394">
                  <c:v>18270.400000000005</c:v>
                </c:pt>
                <c:pt idx="395">
                  <c:v>18277.200000000004</c:v>
                </c:pt>
                <c:pt idx="396">
                  <c:v>18299.700000000004</c:v>
                </c:pt>
                <c:pt idx="397">
                  <c:v>18300.100000000006</c:v>
                </c:pt>
                <c:pt idx="398">
                  <c:v>18300.600000000006</c:v>
                </c:pt>
              </c:numCache>
            </c:numRef>
          </c:val>
          <c:extLst>
            <c:ext xmlns:c16="http://schemas.microsoft.com/office/drawing/2014/chart" uri="{C3380CC4-5D6E-409C-BE32-E72D297353CC}">
              <c16:uniqueId val="{00000004-FC9A-4BDB-A681-6184A7E2DF7C}"/>
            </c:ext>
          </c:extLst>
        </c:ser>
        <c:ser>
          <c:idx val="2"/>
          <c:order val="1"/>
          <c:tx>
            <c:v>paid copper</c:v>
          </c:tx>
          <c:spPr>
            <a:solidFill>
              <a:schemeClr val="accent3"/>
            </a:solidFill>
            <a:ln>
              <a:noFill/>
            </a:ln>
            <a:effectLst/>
          </c:spPr>
          <c:invertIfNegative val="0"/>
          <c:cat>
            <c:strRef>
              <c:f>Data!$A$15:$A$413</c:f>
              <c:strCache>
                <c:ptCount val="399"/>
                <c:pt idx="0">
                  <c:v>Zhezkazgan Complex</c:v>
                </c:pt>
                <c:pt idx="1">
                  <c:v>Metalkol RTR</c:v>
                </c:pt>
                <c:pt idx="2">
                  <c:v>Central Region</c:v>
                </c:pt>
                <c:pt idx="3">
                  <c:v>Garpenberg</c:v>
                </c:pt>
                <c:pt idx="4">
                  <c:v>Wenshan Dulong</c:v>
                </c:pt>
                <c:pt idx="5">
                  <c:v>Toquepala SX-EW</c:v>
                </c:pt>
                <c:pt idx="6">
                  <c:v>Kevitsa</c:v>
                </c:pt>
                <c:pt idx="7">
                  <c:v>Heiniudong</c:v>
                </c:pt>
                <c:pt idx="8">
                  <c:v>Karaganda Region</c:v>
                </c:pt>
                <c:pt idx="9">
                  <c:v>Kounrad Dump</c:v>
                </c:pt>
                <c:pt idx="10">
                  <c:v>La Caridad SX-EW</c:v>
                </c:pt>
                <c:pt idx="11">
                  <c:v>Sanxin</c:v>
                </c:pt>
                <c:pt idx="12">
                  <c:v>Buenavista SX-EW</c:v>
                </c:pt>
                <c:pt idx="13">
                  <c:v>Jinchuan</c:v>
                </c:pt>
                <c:pt idx="14">
                  <c:v>Union Section</c:v>
                </c:pt>
                <c:pt idx="15">
                  <c:v>Ashele</c:v>
                </c:pt>
                <c:pt idx="16">
                  <c:v>Santa Rita</c:v>
                </c:pt>
                <c:pt idx="17">
                  <c:v>Radomiro Tomic</c:v>
                </c:pt>
                <c:pt idx="18">
                  <c:v>Tonglvshan</c:v>
                </c:pt>
                <c:pt idx="19">
                  <c:v>Miniere Musoshi Kinsenda</c:v>
                </c:pt>
                <c:pt idx="20">
                  <c:v>Timok</c:v>
                </c:pt>
                <c:pt idx="21">
                  <c:v>Aljustrel</c:v>
                </c:pt>
                <c:pt idx="22">
                  <c:v>Liwu</c:v>
                </c:pt>
                <c:pt idx="23">
                  <c:v>Sunan Dongshanding</c:v>
                </c:pt>
                <c:pt idx="24">
                  <c:v>Eagle</c:v>
                </c:pt>
                <c:pt idx="25">
                  <c:v>Lomas Bayas</c:v>
                </c:pt>
                <c:pt idx="26">
                  <c:v>Kidd Creek</c:v>
                </c:pt>
                <c:pt idx="27">
                  <c:v>Buribayevsky</c:v>
                </c:pt>
                <c:pt idx="28">
                  <c:v>Longwan</c:v>
                </c:pt>
                <c:pt idx="29">
                  <c:v>Antamina</c:v>
                </c:pt>
                <c:pt idx="30">
                  <c:v>Booysendal South</c:v>
                </c:pt>
                <c:pt idx="31">
                  <c:v>Yinshan</c:v>
                </c:pt>
                <c:pt idx="32">
                  <c:v>Nova-Bollinger</c:v>
                </c:pt>
                <c:pt idx="33">
                  <c:v>Palabora</c:v>
                </c:pt>
                <c:pt idx="34">
                  <c:v>Yulong</c:v>
                </c:pt>
                <c:pt idx="35">
                  <c:v>Collahuasi</c:v>
                </c:pt>
                <c:pt idx="36">
                  <c:v>Gaisky Complex</c:v>
                </c:pt>
                <c:pt idx="37">
                  <c:v>Mogalakwena</c:v>
                </c:pt>
                <c:pt idx="38">
                  <c:v>Norilsk</c:v>
                </c:pt>
                <c:pt idx="39">
                  <c:v>Mufulira</c:v>
                </c:pt>
                <c:pt idx="40">
                  <c:v>Escondida SX-EW</c:v>
                </c:pt>
                <c:pt idx="41">
                  <c:v>Ministro Hales</c:v>
                </c:pt>
                <c:pt idx="42">
                  <c:v>Jabal Sayid</c:v>
                </c:pt>
                <c:pt idx="43">
                  <c:v>Aktogay SX-EW</c:v>
                </c:pt>
                <c:pt idx="44">
                  <c:v>Los Bronces SX-EW</c:v>
                </c:pt>
                <c:pt idx="45">
                  <c:v>Kalatongke</c:v>
                </c:pt>
                <c:pt idx="46">
                  <c:v>Mototolo</c:v>
                </c:pt>
                <c:pt idx="47">
                  <c:v>Tulaergen</c:v>
                </c:pt>
                <c:pt idx="48">
                  <c:v>Sichuan La-La</c:v>
                </c:pt>
                <c:pt idx="49">
                  <c:v>Andina Division</c:v>
                </c:pt>
                <c:pt idx="50">
                  <c:v>Caraíba</c:v>
                </c:pt>
                <c:pt idx="51">
                  <c:v>Platinum Mile</c:v>
                </c:pt>
                <c:pt idx="52">
                  <c:v>Kolwezi</c:v>
                </c:pt>
                <c:pt idx="53">
                  <c:v>Etoile</c:v>
                </c:pt>
                <c:pt idx="54">
                  <c:v>Rubtsovskoye</c:v>
                </c:pt>
                <c:pt idx="55">
                  <c:v>Zinkgruvan</c:v>
                </c:pt>
                <c:pt idx="56">
                  <c:v>Kainantu</c:v>
                </c:pt>
                <c:pt idx="57">
                  <c:v>Tuwu-Yandong</c:v>
                </c:pt>
                <c:pt idx="58">
                  <c:v>Escondida</c:v>
                </c:pt>
                <c:pt idx="59">
                  <c:v>Frontier</c:v>
                </c:pt>
                <c:pt idx="60">
                  <c:v>Toromocho</c:v>
                </c:pt>
                <c:pt idx="61">
                  <c:v>Chuquicamata SX-EW</c:v>
                </c:pt>
                <c:pt idx="62">
                  <c:v>Yincan</c:v>
                </c:pt>
                <c:pt idx="63">
                  <c:v>Buenavista</c:v>
                </c:pt>
                <c:pt idx="64">
                  <c:v>Batu Hijau</c:v>
                </c:pt>
                <c:pt idx="65">
                  <c:v>Tizapa</c:v>
                </c:pt>
                <c:pt idx="66">
                  <c:v>Grasberg</c:v>
                </c:pt>
                <c:pt idx="67">
                  <c:v>Chambishi</c:v>
                </c:pt>
                <c:pt idx="68">
                  <c:v>Qilianshan</c:v>
                </c:pt>
                <c:pt idx="69">
                  <c:v>Mirador</c:v>
                </c:pt>
                <c:pt idx="70">
                  <c:v>Bozshakol</c:v>
                </c:pt>
                <c:pt idx="71">
                  <c:v>Cozamin</c:v>
                </c:pt>
                <c:pt idx="72">
                  <c:v>Aranzazu</c:v>
                </c:pt>
                <c:pt idx="73">
                  <c:v>Quellaveco</c:v>
                </c:pt>
                <c:pt idx="74">
                  <c:v>Mutanda SX-EW</c:v>
                </c:pt>
                <c:pt idx="75">
                  <c:v>Deziwa</c:v>
                </c:pt>
                <c:pt idx="76">
                  <c:v>Tenke Fungurume</c:v>
                </c:pt>
                <c:pt idx="77">
                  <c:v>Kamoa-Kakula</c:v>
                </c:pt>
                <c:pt idx="78">
                  <c:v>Kazzinc Consolidated</c:v>
                </c:pt>
                <c:pt idx="79">
                  <c:v>El Teniente</c:v>
                </c:pt>
                <c:pt idx="80">
                  <c:v>Deerni</c:v>
                </c:pt>
                <c:pt idx="81">
                  <c:v>Modikwa</c:v>
                </c:pt>
                <c:pt idx="82">
                  <c:v>Zarechensky</c:v>
                </c:pt>
                <c:pt idx="83">
                  <c:v>Phu Kham</c:v>
                </c:pt>
                <c:pt idx="84">
                  <c:v>Jinshen</c:v>
                </c:pt>
                <c:pt idx="85">
                  <c:v>Marikana</c:v>
                </c:pt>
                <c:pt idx="86">
                  <c:v>Ernest Henry</c:v>
                </c:pt>
                <c:pt idx="87">
                  <c:v>Aitik</c:v>
                </c:pt>
                <c:pt idx="88">
                  <c:v>Los Pelambres</c:v>
                </c:pt>
                <c:pt idx="89">
                  <c:v>Wushan</c:v>
                </c:pt>
                <c:pt idx="90">
                  <c:v>Asientos</c:v>
                </c:pt>
                <c:pt idx="91">
                  <c:v>Amandelbult</c:v>
                </c:pt>
                <c:pt idx="92">
                  <c:v>Booysendal North</c:v>
                </c:pt>
                <c:pt idx="93">
                  <c:v>El Brocal</c:v>
                </c:pt>
                <c:pt idx="94">
                  <c:v>Zijinshan</c:v>
                </c:pt>
                <c:pt idx="95">
                  <c:v>Franke</c:v>
                </c:pt>
                <c:pt idx="96">
                  <c:v>Gabriela Mistral</c:v>
                </c:pt>
                <c:pt idx="97">
                  <c:v>Black Mountain</c:v>
                </c:pt>
                <c:pt idx="98">
                  <c:v>Yinlu</c:v>
                </c:pt>
                <c:pt idx="99">
                  <c:v>Mt Isa Copper</c:v>
                </c:pt>
                <c:pt idx="100">
                  <c:v>East Yellow Mountain</c:v>
                </c:pt>
                <c:pt idx="101">
                  <c:v>Mount Milligan</c:v>
                </c:pt>
                <c:pt idx="102">
                  <c:v>LaRonde</c:v>
                </c:pt>
                <c:pt idx="103">
                  <c:v>Toquepala</c:v>
                </c:pt>
                <c:pt idx="104">
                  <c:v>Aktogay</c:v>
                </c:pt>
                <c:pt idx="105">
                  <c:v>Matagami</c:v>
                </c:pt>
                <c:pt idx="106">
                  <c:v>Dongshengmiao</c:v>
                </c:pt>
                <c:pt idx="107">
                  <c:v>Cobre Panama</c:v>
                </c:pt>
                <c:pt idx="108">
                  <c:v>DeGrussa Processing Facility</c:v>
                </c:pt>
                <c:pt idx="109">
                  <c:v>Hunchun</c:v>
                </c:pt>
                <c:pt idx="110">
                  <c:v>Cuajone</c:v>
                </c:pt>
                <c:pt idx="111">
                  <c:v>Sierra Gorda</c:v>
                </c:pt>
                <c:pt idx="112">
                  <c:v>Boddington</c:v>
                </c:pt>
                <c:pt idx="113">
                  <c:v>Carlota</c:v>
                </c:pt>
                <c:pt idx="114">
                  <c:v>Raglan</c:v>
                </c:pt>
                <c:pt idx="115">
                  <c:v>Two Rivers</c:v>
                </c:pt>
                <c:pt idx="116">
                  <c:v>Didipio</c:v>
                </c:pt>
                <c:pt idx="117">
                  <c:v>Doe Run Mines</c:v>
                </c:pt>
                <c:pt idx="118">
                  <c:v>Kamoto SX-EW</c:v>
                </c:pt>
                <c:pt idx="119">
                  <c:v>Chengmenshan</c:v>
                </c:pt>
                <c:pt idx="120">
                  <c:v>Duobaoshan</c:v>
                </c:pt>
                <c:pt idx="121">
                  <c:v>Ray SX-EW</c:v>
                </c:pt>
                <c:pt idx="122">
                  <c:v>Suolagou</c:v>
                </c:pt>
                <c:pt idx="123">
                  <c:v>Sudbury Operations</c:v>
                </c:pt>
                <c:pt idx="124">
                  <c:v>Dexing Complex</c:v>
                </c:pt>
                <c:pt idx="125">
                  <c:v>Dajingzi</c:v>
                </c:pt>
                <c:pt idx="126">
                  <c:v>Ruashi</c:v>
                </c:pt>
                <c:pt idx="127">
                  <c:v>Songjiang</c:v>
                </c:pt>
                <c:pt idx="128">
                  <c:v>Carrapateena</c:v>
                </c:pt>
                <c:pt idx="129">
                  <c:v>Boliden Area</c:v>
                </c:pt>
                <c:pt idx="130">
                  <c:v>Shitouzui</c:v>
                </c:pt>
                <c:pt idx="131">
                  <c:v>Cerro de Maimon</c:v>
                </c:pt>
                <c:pt idx="132">
                  <c:v>Zangezur</c:v>
                </c:pt>
                <c:pt idx="133">
                  <c:v>Zhibula</c:v>
                </c:pt>
                <c:pt idx="134">
                  <c:v>Suolajier</c:v>
                </c:pt>
                <c:pt idx="135">
                  <c:v>Fuyuan</c:v>
                </c:pt>
                <c:pt idx="136">
                  <c:v>Huogeqi</c:v>
                </c:pt>
                <c:pt idx="137">
                  <c:v>El Teniente SX-EW</c:v>
                </c:pt>
                <c:pt idx="138">
                  <c:v>Nkana</c:v>
                </c:pt>
                <c:pt idx="139">
                  <c:v>Bulyanhulu</c:v>
                </c:pt>
                <c:pt idx="140">
                  <c:v>Tongkuangyu</c:v>
                </c:pt>
                <c:pt idx="141">
                  <c:v>Munali</c:v>
                </c:pt>
                <c:pt idx="142">
                  <c:v>Constancia</c:v>
                </c:pt>
                <c:pt idx="143">
                  <c:v>Trident - Sentinel</c:v>
                </c:pt>
                <c:pt idx="144">
                  <c:v>Luodong</c:v>
                </c:pt>
                <c:pt idx="145">
                  <c:v>Cerro Corona</c:v>
                </c:pt>
                <c:pt idx="146">
                  <c:v>Dapingzhang</c:v>
                </c:pt>
                <c:pt idx="147">
                  <c:v>Langyashan</c:v>
                </c:pt>
                <c:pt idx="148">
                  <c:v>Chuquicamata</c:v>
                </c:pt>
                <c:pt idx="149">
                  <c:v>Yauli</c:v>
                </c:pt>
                <c:pt idx="150">
                  <c:v>Bisha</c:v>
                </c:pt>
                <c:pt idx="151">
                  <c:v>Zondereinde</c:v>
                </c:pt>
                <c:pt idx="152">
                  <c:v>Centinela Oxide</c:v>
                </c:pt>
                <c:pt idx="153">
                  <c:v>Weilasituo</c:v>
                </c:pt>
                <c:pt idx="154">
                  <c:v>IMMSA</c:v>
                </c:pt>
                <c:pt idx="155">
                  <c:v>Jiama</c:v>
                </c:pt>
                <c:pt idx="156">
                  <c:v>Xiliduo</c:v>
                </c:pt>
                <c:pt idx="157">
                  <c:v>Olympic Dam</c:v>
                </c:pt>
                <c:pt idx="158">
                  <c:v>Las Bambas</c:v>
                </c:pt>
                <c:pt idx="159">
                  <c:v>Candelaria</c:v>
                </c:pt>
                <c:pt idx="160">
                  <c:v>Khoemacau</c:v>
                </c:pt>
                <c:pt idx="161">
                  <c:v>Centinela Sulfide</c:v>
                </c:pt>
                <c:pt idx="162">
                  <c:v>Xinzhuang</c:v>
                </c:pt>
                <c:pt idx="163">
                  <c:v>Jinxing</c:v>
                </c:pt>
                <c:pt idx="164">
                  <c:v>Silver Bell</c:v>
                </c:pt>
                <c:pt idx="165">
                  <c:v>East Region Operations</c:v>
                </c:pt>
                <c:pt idx="166">
                  <c:v>Pulang</c:v>
                </c:pt>
                <c:pt idx="167">
                  <c:v>Wutonghua</c:v>
                </c:pt>
                <c:pt idx="168">
                  <c:v>Continental</c:v>
                </c:pt>
                <c:pt idx="169">
                  <c:v>Tayahua</c:v>
                </c:pt>
                <c:pt idx="170">
                  <c:v>Northparkes</c:v>
                </c:pt>
                <c:pt idx="171">
                  <c:v>Baiyin Changtong</c:v>
                </c:pt>
                <c:pt idx="172">
                  <c:v>Huayu</c:v>
                </c:pt>
                <c:pt idx="173">
                  <c:v>Velardena</c:v>
                </c:pt>
                <c:pt idx="174">
                  <c:v>Amawusu</c:v>
                </c:pt>
                <c:pt idx="175">
                  <c:v>Sarcheshmeh</c:v>
                </c:pt>
                <c:pt idx="176">
                  <c:v>Unki</c:v>
                </c:pt>
                <c:pt idx="177">
                  <c:v>Nuoergai</c:v>
                </c:pt>
                <c:pt idx="178">
                  <c:v>Huachin</c:v>
                </c:pt>
                <c:pt idx="179">
                  <c:v>Caserones</c:v>
                </c:pt>
                <c:pt idx="180">
                  <c:v>Deflector</c:v>
                </c:pt>
                <c:pt idx="181">
                  <c:v>Rosebery</c:v>
                </c:pt>
                <c:pt idx="182">
                  <c:v>Lindero</c:v>
                </c:pt>
                <c:pt idx="183">
                  <c:v>Lalor Lake</c:v>
                </c:pt>
                <c:pt idx="184">
                  <c:v>Avino</c:v>
                </c:pt>
                <c:pt idx="185">
                  <c:v>Kroondal</c:v>
                </c:pt>
                <c:pt idx="186">
                  <c:v>Yangla</c:v>
                </c:pt>
                <c:pt idx="187">
                  <c:v>Highland Valley</c:v>
                </c:pt>
                <c:pt idx="188">
                  <c:v>Chelopech</c:v>
                </c:pt>
                <c:pt idx="189">
                  <c:v>Zimplats</c:v>
                </c:pt>
                <c:pt idx="190">
                  <c:v>Bingham Canyon</c:v>
                </c:pt>
                <c:pt idx="191">
                  <c:v>Spence</c:v>
                </c:pt>
                <c:pt idx="192">
                  <c:v>Spence SX-EW</c:v>
                </c:pt>
                <c:pt idx="193">
                  <c:v>Chibuluma South</c:v>
                </c:pt>
                <c:pt idx="194">
                  <c:v>Changhong</c:v>
                </c:pt>
                <c:pt idx="195">
                  <c:v>Nevada Operations</c:v>
                </c:pt>
                <c:pt idx="196">
                  <c:v>Impala Bafokeng</c:v>
                </c:pt>
                <c:pt idx="197">
                  <c:v>Antapaccay</c:v>
                </c:pt>
                <c:pt idx="198">
                  <c:v>Qulong</c:v>
                </c:pt>
                <c:pt idx="199">
                  <c:v>Xingjiang</c:v>
                </c:pt>
                <c:pt idx="200">
                  <c:v>Varvara</c:v>
                </c:pt>
                <c:pt idx="201">
                  <c:v>Tongdan</c:v>
                </c:pt>
                <c:pt idx="202">
                  <c:v>Xinqiao</c:v>
                </c:pt>
                <c:pt idx="203">
                  <c:v>El Abra</c:v>
                </c:pt>
                <c:pt idx="204">
                  <c:v>San Martin</c:v>
                </c:pt>
                <c:pt idx="205">
                  <c:v>Prominent Hill</c:v>
                </c:pt>
                <c:pt idx="206">
                  <c:v>Rustenburg</c:v>
                </c:pt>
                <c:pt idx="207">
                  <c:v>Salobo</c:v>
                </c:pt>
                <c:pt idx="208">
                  <c:v>Western Limb Tailings</c:v>
                </c:pt>
                <c:pt idx="209">
                  <c:v>Zaldivar</c:v>
                </c:pt>
                <c:pt idx="210">
                  <c:v>Dongguashan</c:v>
                </c:pt>
                <c:pt idx="211">
                  <c:v>Yauliyacu</c:v>
                </c:pt>
                <c:pt idx="212">
                  <c:v>Robinson</c:v>
                </c:pt>
                <c:pt idx="213">
                  <c:v>Lumwana</c:v>
                </c:pt>
                <c:pt idx="214">
                  <c:v>Los Bronces</c:v>
                </c:pt>
                <c:pt idx="215">
                  <c:v>Wunugetushan</c:v>
                </c:pt>
                <c:pt idx="216">
                  <c:v>Eloise</c:v>
                </c:pt>
                <c:pt idx="217">
                  <c:v>Eland</c:v>
                </c:pt>
                <c:pt idx="218">
                  <c:v>Campo Morado</c:v>
                </c:pt>
                <c:pt idx="219">
                  <c:v>Chino SX-EW</c:v>
                </c:pt>
                <c:pt idx="220">
                  <c:v>Salvador</c:v>
                </c:pt>
                <c:pt idx="221">
                  <c:v>Tyrone SX-EW</c:v>
                </c:pt>
                <c:pt idx="222">
                  <c:v>Sunan</c:v>
                </c:pt>
                <c:pt idx="223">
                  <c:v>La Caridad</c:v>
                </c:pt>
                <c:pt idx="224">
                  <c:v>Kansanshi</c:v>
                </c:pt>
                <c:pt idx="225">
                  <c:v>Shilong</c:v>
                </c:pt>
                <c:pt idx="226">
                  <c:v>Cerro Verde SX-EW</c:v>
                </c:pt>
                <c:pt idx="227">
                  <c:v>Kyzyl-Tash Turk</c:v>
                </c:pt>
                <c:pt idx="228">
                  <c:v>Uchaly</c:v>
                </c:pt>
                <c:pt idx="229">
                  <c:v>Tangtang</c:v>
                </c:pt>
                <c:pt idx="230">
                  <c:v>Huzhan</c:v>
                </c:pt>
                <c:pt idx="231">
                  <c:v>Sierrita SX-EW</c:v>
                </c:pt>
                <c:pt idx="232">
                  <c:v>Mimosa</c:v>
                </c:pt>
                <c:pt idx="233">
                  <c:v>Miami</c:v>
                </c:pt>
                <c:pt idx="234">
                  <c:v>Safford</c:v>
                </c:pt>
                <c:pt idx="235">
                  <c:v>Jiuquan</c:v>
                </c:pt>
                <c:pt idx="236">
                  <c:v>Morenci SX-EW</c:v>
                </c:pt>
                <c:pt idx="237">
                  <c:v>Chino</c:v>
                </c:pt>
                <c:pt idx="238">
                  <c:v>Antucoya</c:v>
                </c:pt>
                <c:pt idx="239">
                  <c:v>Padcal</c:v>
                </c:pt>
                <c:pt idx="240">
                  <c:v>Chungar</c:v>
                </c:pt>
                <c:pt idx="241">
                  <c:v>Erdenet</c:v>
                </c:pt>
                <c:pt idx="242">
                  <c:v>Mantos Blancos</c:v>
                </c:pt>
                <c:pt idx="243">
                  <c:v>Bozymchak</c:v>
                </c:pt>
                <c:pt idx="244">
                  <c:v>Luojiahe</c:v>
                </c:pt>
                <c:pt idx="245">
                  <c:v>Antas</c:v>
                </c:pt>
                <c:pt idx="246">
                  <c:v>MATSA</c:v>
                </c:pt>
                <c:pt idx="247">
                  <c:v>Jilongshan</c:v>
                </c:pt>
                <c:pt idx="248">
                  <c:v>Ontario Division</c:v>
                </c:pt>
                <c:pt idx="249">
                  <c:v>Sierrita</c:v>
                </c:pt>
                <c:pt idx="250">
                  <c:v>Tanyaokou</c:v>
                </c:pt>
                <c:pt idx="251">
                  <c:v>Bagdad</c:v>
                </c:pt>
                <c:pt idx="252">
                  <c:v>Jingbian</c:v>
                </c:pt>
                <c:pt idx="253">
                  <c:v>Morenci</c:v>
                </c:pt>
                <c:pt idx="254">
                  <c:v>Cerro Verde</c:v>
                </c:pt>
                <c:pt idx="255">
                  <c:v>Mabende</c:v>
                </c:pt>
                <c:pt idx="256">
                  <c:v>El Soldado</c:v>
                </c:pt>
                <c:pt idx="257">
                  <c:v>Myra Falls</c:v>
                </c:pt>
                <c:pt idx="258">
                  <c:v>Kansanshi SX-EW</c:v>
                </c:pt>
                <c:pt idx="259">
                  <c:v>Trojan</c:v>
                </c:pt>
                <c:pt idx="260">
                  <c:v>Huaron</c:v>
                </c:pt>
                <c:pt idx="261">
                  <c:v>Chapada</c:v>
                </c:pt>
                <c:pt idx="262">
                  <c:v>Stillwater</c:v>
                </c:pt>
                <c:pt idx="263">
                  <c:v>Penasquito</c:v>
                </c:pt>
                <c:pt idx="264">
                  <c:v>El Porvenir</c:v>
                </c:pt>
                <c:pt idx="265">
                  <c:v>Wetar</c:v>
                </c:pt>
                <c:pt idx="266">
                  <c:v>Mantoverde SX-EW</c:v>
                </c:pt>
                <c:pt idx="267">
                  <c:v>Peak</c:v>
                </c:pt>
                <c:pt idx="268">
                  <c:v>Charcas</c:v>
                </c:pt>
                <c:pt idx="269">
                  <c:v>Pinto Valley</c:v>
                </c:pt>
                <c:pt idx="270">
                  <c:v>Ok Tedi</c:v>
                </c:pt>
                <c:pt idx="271">
                  <c:v>Daluowan</c:v>
                </c:pt>
                <c:pt idx="272">
                  <c:v>KGHM Polska Miedz</c:v>
                </c:pt>
                <c:pt idx="273">
                  <c:v>Tonghe</c:v>
                </c:pt>
                <c:pt idx="274">
                  <c:v>Yauricocha</c:v>
                </c:pt>
                <c:pt idx="275">
                  <c:v>Shunqiang</c:v>
                </c:pt>
                <c:pt idx="276">
                  <c:v>Oyu Tolgoi</c:v>
                </c:pt>
                <c:pt idx="277">
                  <c:v>Alex</c:v>
                </c:pt>
                <c:pt idx="278">
                  <c:v>Minto</c:v>
                </c:pt>
                <c:pt idx="279">
                  <c:v>Kinsevere</c:v>
                </c:pt>
                <c:pt idx="280">
                  <c:v>Kapan</c:v>
                </c:pt>
                <c:pt idx="281">
                  <c:v>Lianhuashan</c:v>
                </c:pt>
                <c:pt idx="282">
                  <c:v>Yiyang Xuri</c:v>
                </c:pt>
                <c:pt idx="283">
                  <c:v>Impala Canada</c:v>
                </c:pt>
                <c:pt idx="284">
                  <c:v>Bystrinskoye</c:v>
                </c:pt>
                <c:pt idx="285">
                  <c:v>Pyhasalmi</c:v>
                </c:pt>
                <c:pt idx="286">
                  <c:v>Mantos Blancos SX-EW</c:v>
                </c:pt>
                <c:pt idx="287">
                  <c:v>Cobar</c:v>
                </c:pt>
                <c:pt idx="288">
                  <c:v>Bizhigou</c:v>
                </c:pt>
                <c:pt idx="289">
                  <c:v>Muliashi North</c:v>
                </c:pt>
                <c:pt idx="290">
                  <c:v>Phoenix SX-EW</c:v>
                </c:pt>
                <c:pt idx="291">
                  <c:v>Yaodongzao</c:v>
                </c:pt>
                <c:pt idx="292">
                  <c:v>Laolaihong</c:v>
                </c:pt>
                <c:pt idx="293">
                  <c:v>Lanniping</c:v>
                </c:pt>
                <c:pt idx="294">
                  <c:v>Somincor</c:v>
                </c:pt>
                <c:pt idx="295">
                  <c:v>Yinmin</c:v>
                </c:pt>
                <c:pt idx="296">
                  <c:v>Erzhulong</c:v>
                </c:pt>
                <c:pt idx="297">
                  <c:v>Flin Flon</c:v>
                </c:pt>
                <c:pt idx="298">
                  <c:v>Lubambe</c:v>
                </c:pt>
                <c:pt idx="299">
                  <c:v>Julcani</c:v>
                </c:pt>
                <c:pt idx="300">
                  <c:v>Voisey's Bay</c:v>
                </c:pt>
                <c:pt idx="301">
                  <c:v>Maoyuan</c:v>
                </c:pt>
                <c:pt idx="302">
                  <c:v>San Vicente</c:v>
                </c:pt>
                <c:pt idx="303">
                  <c:v>Cerro Lindo</c:v>
                </c:pt>
                <c:pt idx="304">
                  <c:v>Tongshanpai</c:v>
                </c:pt>
                <c:pt idx="305">
                  <c:v>Sossego</c:v>
                </c:pt>
                <c:pt idx="306">
                  <c:v>Langlike</c:v>
                </c:pt>
                <c:pt idx="307">
                  <c:v>Guelb Moghrein</c:v>
                </c:pt>
                <c:pt idx="308">
                  <c:v>Atlas Toledo</c:v>
                </c:pt>
                <c:pt idx="309">
                  <c:v>Niutoushan</c:v>
                </c:pt>
                <c:pt idx="310">
                  <c:v>Zhenxing</c:v>
                </c:pt>
                <c:pt idx="311">
                  <c:v>New Afton</c:v>
                </c:pt>
                <c:pt idx="312">
                  <c:v>Fengjiashan</c:v>
                </c:pt>
                <c:pt idx="313">
                  <c:v>Fenghuangshan</c:v>
                </c:pt>
                <c:pt idx="314">
                  <c:v>Savannah</c:v>
                </c:pt>
                <c:pt idx="315">
                  <c:v>Bor Basin</c:v>
                </c:pt>
                <c:pt idx="316">
                  <c:v>Ray</c:v>
                </c:pt>
                <c:pt idx="317">
                  <c:v>Tianbaoshan</c:v>
                </c:pt>
                <c:pt idx="318">
                  <c:v>Gibraltar</c:v>
                </c:pt>
                <c:pt idx="319">
                  <c:v>Carmen de Andacollo</c:v>
                </c:pt>
                <c:pt idx="320">
                  <c:v>Golden Grove</c:v>
                </c:pt>
                <c:pt idx="321">
                  <c:v>Shijiangjun</c:v>
                </c:pt>
                <c:pt idx="322">
                  <c:v>Bashkir</c:v>
                </c:pt>
                <c:pt idx="323">
                  <c:v>Proyecto de Rio Tinto</c:v>
                </c:pt>
                <c:pt idx="324">
                  <c:v>Caserones SX-EW</c:v>
                </c:pt>
                <c:pt idx="325">
                  <c:v>Shangrao</c:v>
                </c:pt>
                <c:pt idx="326">
                  <c:v>Red Chris</c:v>
                </c:pt>
                <c:pt idx="327">
                  <c:v>Pilanesberg</c:v>
                </c:pt>
                <c:pt idx="328">
                  <c:v>Anqing</c:v>
                </c:pt>
                <c:pt idx="329">
                  <c:v>Jiujiang</c:v>
                </c:pt>
                <c:pt idx="330">
                  <c:v>Soerkuduke</c:v>
                </c:pt>
                <c:pt idx="331">
                  <c:v>Kipoi SX-EW</c:v>
                </c:pt>
                <c:pt idx="332">
                  <c:v>Yinshanling</c:v>
                </c:pt>
                <c:pt idx="333">
                  <c:v>Dahongshan</c:v>
                </c:pt>
                <c:pt idx="334">
                  <c:v>El Teniente Tailings</c:v>
                </c:pt>
                <c:pt idx="335">
                  <c:v>Ellatzite</c:v>
                </c:pt>
                <c:pt idx="336">
                  <c:v>Hemeida Industrial and Trading Company</c:v>
                </c:pt>
                <c:pt idx="337">
                  <c:v>San Francisco del Oro</c:v>
                </c:pt>
                <c:pt idx="338">
                  <c:v>Zhixincheng Conc. Plant</c:v>
                </c:pt>
                <c:pt idx="339">
                  <c:v>Tritton</c:v>
                </c:pt>
                <c:pt idx="340">
                  <c:v>Zhurihe</c:v>
                </c:pt>
                <c:pt idx="341">
                  <c:v>Telfer</c:v>
                </c:pt>
                <c:pt idx="342">
                  <c:v>Fengshan</c:v>
                </c:pt>
                <c:pt idx="343">
                  <c:v>Tongshan</c:v>
                </c:pt>
                <c:pt idx="344">
                  <c:v>Datong</c:v>
                </c:pt>
                <c:pt idx="345">
                  <c:v>Thalanga</c:v>
                </c:pt>
                <c:pt idx="346">
                  <c:v>Nanchong</c:v>
                </c:pt>
                <c:pt idx="347">
                  <c:v>Yinan</c:v>
                </c:pt>
                <c:pt idx="348">
                  <c:v>Quebrada Blanca SX-EW</c:v>
                </c:pt>
                <c:pt idx="349">
                  <c:v>Lvshui</c:v>
                </c:pt>
                <c:pt idx="350">
                  <c:v>Sabinas</c:v>
                </c:pt>
                <c:pt idx="351">
                  <c:v>Capela</c:v>
                </c:pt>
                <c:pt idx="352">
                  <c:v>Xinwang</c:v>
                </c:pt>
                <c:pt idx="353">
                  <c:v>Panagyurishte SX-EW</c:v>
                </c:pt>
                <c:pt idx="354">
                  <c:v>Wutongjing</c:v>
                </c:pt>
                <c:pt idx="355">
                  <c:v>Mission</c:v>
                </c:pt>
                <c:pt idx="356">
                  <c:v>Qiaoxiahala</c:v>
                </c:pt>
                <c:pt idx="357">
                  <c:v>Tongshankou</c:v>
                </c:pt>
                <c:pt idx="358">
                  <c:v>Panagyurishte Mining and Processing Complex</c:v>
                </c:pt>
                <c:pt idx="359">
                  <c:v>Dongtong</c:v>
                </c:pt>
                <c:pt idx="360">
                  <c:v>Morococha</c:v>
                </c:pt>
                <c:pt idx="361">
                  <c:v>Jiangjushuijin</c:v>
                </c:pt>
                <c:pt idx="362">
                  <c:v>Baiyin Shenbu</c:v>
                </c:pt>
                <c:pt idx="363">
                  <c:v>Shejiaao</c:v>
                </c:pt>
                <c:pt idx="364">
                  <c:v>Bairen</c:v>
                </c:pt>
                <c:pt idx="365">
                  <c:v>Shaxi</c:v>
                </c:pt>
                <c:pt idx="366">
                  <c:v>Jixing</c:v>
                </c:pt>
                <c:pt idx="367">
                  <c:v>Copper Mountain</c:v>
                </c:pt>
                <c:pt idx="368">
                  <c:v>Manitoba Division</c:v>
                </c:pt>
                <c:pt idx="369">
                  <c:v>El Valle</c:v>
                </c:pt>
                <c:pt idx="370">
                  <c:v>Baiyunshan</c:v>
                </c:pt>
                <c:pt idx="371">
                  <c:v>Shanjinhongling</c:v>
                </c:pt>
                <c:pt idx="372">
                  <c:v>Zihao</c:v>
                </c:pt>
                <c:pt idx="373">
                  <c:v>Bolivar</c:v>
                </c:pt>
                <c:pt idx="374">
                  <c:v>Yongping</c:v>
                </c:pt>
                <c:pt idx="375">
                  <c:v>Las Cruces</c:v>
                </c:pt>
                <c:pt idx="376">
                  <c:v>Jaguar</c:v>
                </c:pt>
                <c:pt idx="377">
                  <c:v>Ming</c:v>
                </c:pt>
                <c:pt idx="378">
                  <c:v>Tugenmansu</c:v>
                </c:pt>
                <c:pt idx="379">
                  <c:v>Yueshan</c:v>
                </c:pt>
                <c:pt idx="380">
                  <c:v>Shuangfo Second Conc. Plant</c:v>
                </c:pt>
                <c:pt idx="381">
                  <c:v>Dongjin</c:v>
                </c:pt>
                <c:pt idx="382">
                  <c:v>Heijing</c:v>
                </c:pt>
                <c:pt idx="383">
                  <c:v>Mount Carlton</c:v>
                </c:pt>
                <c:pt idx="384">
                  <c:v>Liwan</c:v>
                </c:pt>
                <c:pt idx="385">
                  <c:v>Shuangfo Conc. Plant</c:v>
                </c:pt>
                <c:pt idx="386">
                  <c:v>Laocun Hydrometallurgy Plant</c:v>
                </c:pt>
                <c:pt idx="387">
                  <c:v>Milpillas</c:v>
                </c:pt>
                <c:pt idx="388">
                  <c:v>Shizishan</c:v>
                </c:pt>
                <c:pt idx="389">
                  <c:v>Konkola</c:v>
                </c:pt>
                <c:pt idx="390">
                  <c:v>Hongwei</c:v>
                </c:pt>
                <c:pt idx="391">
                  <c:v>Mufulira SX-EW</c:v>
                </c:pt>
                <c:pt idx="392">
                  <c:v>Pinto Valley SX-EW</c:v>
                </c:pt>
                <c:pt idx="393">
                  <c:v>Nchanga SX-EW</c:v>
                </c:pt>
                <c:pt idx="394">
                  <c:v>Mutanda</c:v>
                </c:pt>
                <c:pt idx="395">
                  <c:v>Nchanga</c:v>
                </c:pt>
                <c:pt idx="396">
                  <c:v>Zijinshan SXEW</c:v>
                </c:pt>
                <c:pt idx="397">
                  <c:v>Maria</c:v>
                </c:pt>
                <c:pt idx="398">
                  <c:v>Baita Plai</c:v>
                </c:pt>
              </c:strCache>
            </c:strRef>
          </c:cat>
          <c:val>
            <c:numRef>
              <c:f>Data!$O$15:$O$413</c:f>
              <c:numCache>
                <c:formatCode>###,##0.0;\(###,##0.0\)</c:formatCode>
                <c:ptCount val="399"/>
                <c:pt idx="0">
                  <c:v>59.85</c:v>
                </c:pt>
                <c:pt idx="1">
                  <c:v>61.65</c:v>
                </c:pt>
                <c:pt idx="2">
                  <c:v>61.65</c:v>
                </c:pt>
                <c:pt idx="3">
                  <c:v>0.7</c:v>
                </c:pt>
                <c:pt idx="4">
                  <c:v>9.1999999999999993</c:v>
                </c:pt>
                <c:pt idx="5">
                  <c:v>26.5</c:v>
                </c:pt>
                <c:pt idx="6">
                  <c:v>24.4</c:v>
                </c:pt>
                <c:pt idx="7">
                  <c:v>8.8000000000000007</c:v>
                </c:pt>
                <c:pt idx="8">
                  <c:v>36.9</c:v>
                </c:pt>
                <c:pt idx="9">
                  <c:v>14.3</c:v>
                </c:pt>
                <c:pt idx="10">
                  <c:v>23.3</c:v>
                </c:pt>
                <c:pt idx="11">
                  <c:v>11.6</c:v>
                </c:pt>
                <c:pt idx="12">
                  <c:v>93.3</c:v>
                </c:pt>
                <c:pt idx="13">
                  <c:v>85.8</c:v>
                </c:pt>
                <c:pt idx="14">
                  <c:v>0.2</c:v>
                </c:pt>
                <c:pt idx="15">
                  <c:v>42.8</c:v>
                </c:pt>
                <c:pt idx="16">
                  <c:v>5</c:v>
                </c:pt>
                <c:pt idx="17">
                  <c:v>191.6</c:v>
                </c:pt>
                <c:pt idx="18">
                  <c:v>3.4</c:v>
                </c:pt>
                <c:pt idx="19">
                  <c:v>27.9</c:v>
                </c:pt>
                <c:pt idx="20">
                  <c:v>105.3</c:v>
                </c:pt>
                <c:pt idx="21">
                  <c:v>32.700000000000003</c:v>
                </c:pt>
                <c:pt idx="22">
                  <c:v>7.2</c:v>
                </c:pt>
                <c:pt idx="23">
                  <c:v>4.5999999999999996</c:v>
                </c:pt>
                <c:pt idx="24">
                  <c:v>15.1</c:v>
                </c:pt>
                <c:pt idx="25">
                  <c:v>72.599999999999994</c:v>
                </c:pt>
                <c:pt idx="26">
                  <c:v>24.3</c:v>
                </c:pt>
                <c:pt idx="27">
                  <c:v>7.1</c:v>
                </c:pt>
                <c:pt idx="28">
                  <c:v>0.1</c:v>
                </c:pt>
                <c:pt idx="29">
                  <c:v>438.5</c:v>
                </c:pt>
                <c:pt idx="30">
                  <c:v>0.3</c:v>
                </c:pt>
                <c:pt idx="31">
                  <c:v>11.5</c:v>
                </c:pt>
                <c:pt idx="32">
                  <c:v>9.4</c:v>
                </c:pt>
                <c:pt idx="33">
                  <c:v>40.200000000000003</c:v>
                </c:pt>
                <c:pt idx="34">
                  <c:v>69.8</c:v>
                </c:pt>
                <c:pt idx="35">
                  <c:v>553.6</c:v>
                </c:pt>
                <c:pt idx="36">
                  <c:v>94.2</c:v>
                </c:pt>
                <c:pt idx="37">
                  <c:v>9</c:v>
                </c:pt>
                <c:pt idx="38">
                  <c:v>368.2</c:v>
                </c:pt>
                <c:pt idx="39">
                  <c:v>24.4</c:v>
                </c:pt>
                <c:pt idx="40">
                  <c:v>203.3</c:v>
                </c:pt>
                <c:pt idx="41">
                  <c:v>147.6</c:v>
                </c:pt>
                <c:pt idx="42">
                  <c:v>65.7</c:v>
                </c:pt>
                <c:pt idx="43">
                  <c:v>24.1</c:v>
                </c:pt>
                <c:pt idx="44">
                  <c:v>39.4</c:v>
                </c:pt>
                <c:pt idx="45">
                  <c:v>2.4</c:v>
                </c:pt>
                <c:pt idx="46">
                  <c:v>0.2</c:v>
                </c:pt>
                <c:pt idx="47">
                  <c:v>1.1000000000000001</c:v>
                </c:pt>
                <c:pt idx="48">
                  <c:v>13.2</c:v>
                </c:pt>
                <c:pt idx="49">
                  <c:v>173.5</c:v>
                </c:pt>
                <c:pt idx="50">
                  <c:v>45.4</c:v>
                </c:pt>
                <c:pt idx="51">
                  <c:v>0.1</c:v>
                </c:pt>
                <c:pt idx="52">
                  <c:v>124.4</c:v>
                </c:pt>
                <c:pt idx="53">
                  <c:v>25.3</c:v>
                </c:pt>
                <c:pt idx="54">
                  <c:v>15.2</c:v>
                </c:pt>
                <c:pt idx="55">
                  <c:v>4</c:v>
                </c:pt>
                <c:pt idx="56">
                  <c:v>2.7</c:v>
                </c:pt>
                <c:pt idx="57">
                  <c:v>15.2</c:v>
                </c:pt>
                <c:pt idx="58">
                  <c:v>823.1</c:v>
                </c:pt>
                <c:pt idx="59">
                  <c:v>87.8</c:v>
                </c:pt>
                <c:pt idx="60">
                  <c:v>234.4</c:v>
                </c:pt>
                <c:pt idx="61">
                  <c:v>30.7</c:v>
                </c:pt>
                <c:pt idx="62">
                  <c:v>0.8</c:v>
                </c:pt>
                <c:pt idx="63">
                  <c:v>328.8</c:v>
                </c:pt>
                <c:pt idx="64">
                  <c:v>204.1</c:v>
                </c:pt>
                <c:pt idx="65">
                  <c:v>1.3</c:v>
                </c:pt>
                <c:pt idx="66">
                  <c:v>645.4</c:v>
                </c:pt>
                <c:pt idx="67">
                  <c:v>66.099999999999994</c:v>
                </c:pt>
                <c:pt idx="68">
                  <c:v>1.1000000000000001</c:v>
                </c:pt>
                <c:pt idx="69">
                  <c:v>117.6</c:v>
                </c:pt>
                <c:pt idx="70">
                  <c:v>102.1</c:v>
                </c:pt>
                <c:pt idx="71">
                  <c:v>23.4</c:v>
                </c:pt>
                <c:pt idx="72">
                  <c:v>15.4</c:v>
                </c:pt>
                <c:pt idx="73">
                  <c:v>98.8</c:v>
                </c:pt>
                <c:pt idx="74">
                  <c:v>32.1</c:v>
                </c:pt>
                <c:pt idx="75">
                  <c:v>81.5</c:v>
                </c:pt>
                <c:pt idx="76">
                  <c:v>254.3</c:v>
                </c:pt>
                <c:pt idx="77">
                  <c:v>329</c:v>
                </c:pt>
                <c:pt idx="78">
                  <c:v>16.8</c:v>
                </c:pt>
                <c:pt idx="79">
                  <c:v>387.9</c:v>
                </c:pt>
                <c:pt idx="80">
                  <c:v>4</c:v>
                </c:pt>
                <c:pt idx="81">
                  <c:v>0.4</c:v>
                </c:pt>
                <c:pt idx="82">
                  <c:v>0.3</c:v>
                </c:pt>
                <c:pt idx="83">
                  <c:v>35.4</c:v>
                </c:pt>
                <c:pt idx="84">
                  <c:v>1.6</c:v>
                </c:pt>
                <c:pt idx="85">
                  <c:v>1.9</c:v>
                </c:pt>
                <c:pt idx="86">
                  <c:v>58.6</c:v>
                </c:pt>
                <c:pt idx="87">
                  <c:v>76.8</c:v>
                </c:pt>
                <c:pt idx="88">
                  <c:v>275</c:v>
                </c:pt>
                <c:pt idx="89">
                  <c:v>11.2</c:v>
                </c:pt>
                <c:pt idx="90">
                  <c:v>0.5</c:v>
                </c:pt>
                <c:pt idx="91">
                  <c:v>0.3</c:v>
                </c:pt>
                <c:pt idx="92">
                  <c:v>0.3</c:v>
                </c:pt>
                <c:pt idx="93">
                  <c:v>45.2</c:v>
                </c:pt>
                <c:pt idx="94">
                  <c:v>61.6</c:v>
                </c:pt>
                <c:pt idx="95">
                  <c:v>10.7</c:v>
                </c:pt>
                <c:pt idx="96">
                  <c:v>109.5</c:v>
                </c:pt>
                <c:pt idx="97">
                  <c:v>5.9</c:v>
                </c:pt>
                <c:pt idx="98">
                  <c:v>0.4</c:v>
                </c:pt>
                <c:pt idx="99">
                  <c:v>68.400000000000006</c:v>
                </c:pt>
                <c:pt idx="100">
                  <c:v>3.8</c:v>
                </c:pt>
                <c:pt idx="101">
                  <c:v>31.9</c:v>
                </c:pt>
                <c:pt idx="102">
                  <c:v>2.9</c:v>
                </c:pt>
                <c:pt idx="103">
                  <c:v>169.8</c:v>
                </c:pt>
                <c:pt idx="104">
                  <c:v>202.8</c:v>
                </c:pt>
                <c:pt idx="105">
                  <c:v>3.1</c:v>
                </c:pt>
                <c:pt idx="106">
                  <c:v>9.1</c:v>
                </c:pt>
                <c:pt idx="107">
                  <c:v>336.9</c:v>
                </c:pt>
                <c:pt idx="108">
                  <c:v>52.2</c:v>
                </c:pt>
                <c:pt idx="109">
                  <c:v>11.8</c:v>
                </c:pt>
                <c:pt idx="110">
                  <c:v>136.1</c:v>
                </c:pt>
                <c:pt idx="111">
                  <c:v>165.1</c:v>
                </c:pt>
                <c:pt idx="112">
                  <c:v>37</c:v>
                </c:pt>
                <c:pt idx="113">
                  <c:v>4.0999999999999996</c:v>
                </c:pt>
                <c:pt idx="114">
                  <c:v>5.5</c:v>
                </c:pt>
                <c:pt idx="115">
                  <c:v>0.2</c:v>
                </c:pt>
                <c:pt idx="116">
                  <c:v>14</c:v>
                </c:pt>
                <c:pt idx="117">
                  <c:v>4.4000000000000004</c:v>
                </c:pt>
                <c:pt idx="118">
                  <c:v>220.1</c:v>
                </c:pt>
                <c:pt idx="119">
                  <c:v>11.2</c:v>
                </c:pt>
                <c:pt idx="120">
                  <c:v>107.3</c:v>
                </c:pt>
                <c:pt idx="121">
                  <c:v>11</c:v>
                </c:pt>
                <c:pt idx="122">
                  <c:v>0.3</c:v>
                </c:pt>
                <c:pt idx="123">
                  <c:v>13.6</c:v>
                </c:pt>
                <c:pt idx="124">
                  <c:v>158.1</c:v>
                </c:pt>
                <c:pt idx="125">
                  <c:v>2.2000000000000002</c:v>
                </c:pt>
                <c:pt idx="126">
                  <c:v>30.4</c:v>
                </c:pt>
                <c:pt idx="127">
                  <c:v>0.4</c:v>
                </c:pt>
                <c:pt idx="128">
                  <c:v>55.4</c:v>
                </c:pt>
                <c:pt idx="129">
                  <c:v>4.3</c:v>
                </c:pt>
                <c:pt idx="130">
                  <c:v>4.0999999999999996</c:v>
                </c:pt>
                <c:pt idx="131">
                  <c:v>8.4</c:v>
                </c:pt>
                <c:pt idx="132">
                  <c:v>51</c:v>
                </c:pt>
                <c:pt idx="133">
                  <c:v>11.6</c:v>
                </c:pt>
                <c:pt idx="134">
                  <c:v>2.7</c:v>
                </c:pt>
                <c:pt idx="135">
                  <c:v>1</c:v>
                </c:pt>
                <c:pt idx="136">
                  <c:v>12</c:v>
                </c:pt>
                <c:pt idx="137">
                  <c:v>2</c:v>
                </c:pt>
                <c:pt idx="138">
                  <c:v>44.1</c:v>
                </c:pt>
                <c:pt idx="139">
                  <c:v>3</c:v>
                </c:pt>
                <c:pt idx="140">
                  <c:v>45.9</c:v>
                </c:pt>
                <c:pt idx="141">
                  <c:v>0.2</c:v>
                </c:pt>
                <c:pt idx="142">
                  <c:v>86.7</c:v>
                </c:pt>
                <c:pt idx="143">
                  <c:v>234</c:v>
                </c:pt>
                <c:pt idx="144">
                  <c:v>1.4</c:v>
                </c:pt>
                <c:pt idx="145">
                  <c:v>25.4</c:v>
                </c:pt>
                <c:pt idx="146">
                  <c:v>10.1</c:v>
                </c:pt>
                <c:pt idx="147">
                  <c:v>2.1</c:v>
                </c:pt>
                <c:pt idx="148">
                  <c:v>340.2</c:v>
                </c:pt>
                <c:pt idx="149">
                  <c:v>2.6</c:v>
                </c:pt>
                <c:pt idx="150">
                  <c:v>16.3</c:v>
                </c:pt>
                <c:pt idx="151">
                  <c:v>1.1000000000000001</c:v>
                </c:pt>
                <c:pt idx="152">
                  <c:v>98.2</c:v>
                </c:pt>
                <c:pt idx="153">
                  <c:v>0.9</c:v>
                </c:pt>
                <c:pt idx="154">
                  <c:v>1.9</c:v>
                </c:pt>
                <c:pt idx="155">
                  <c:v>83.4</c:v>
                </c:pt>
                <c:pt idx="156">
                  <c:v>0.3</c:v>
                </c:pt>
                <c:pt idx="157">
                  <c:v>203.9</c:v>
                </c:pt>
                <c:pt idx="158">
                  <c:v>247.2</c:v>
                </c:pt>
                <c:pt idx="159">
                  <c:v>146.69999999999999</c:v>
                </c:pt>
                <c:pt idx="160">
                  <c:v>34.5</c:v>
                </c:pt>
                <c:pt idx="161">
                  <c:v>149.30000000000001</c:v>
                </c:pt>
                <c:pt idx="162">
                  <c:v>4.2</c:v>
                </c:pt>
                <c:pt idx="163">
                  <c:v>0.5</c:v>
                </c:pt>
                <c:pt idx="164">
                  <c:v>21.5</c:v>
                </c:pt>
                <c:pt idx="165">
                  <c:v>44.8</c:v>
                </c:pt>
                <c:pt idx="166">
                  <c:v>38.799999999999997</c:v>
                </c:pt>
                <c:pt idx="167">
                  <c:v>0.3</c:v>
                </c:pt>
                <c:pt idx="168">
                  <c:v>50.4</c:v>
                </c:pt>
                <c:pt idx="169">
                  <c:v>27</c:v>
                </c:pt>
                <c:pt idx="170">
                  <c:v>27.5</c:v>
                </c:pt>
                <c:pt idx="171">
                  <c:v>1</c:v>
                </c:pt>
                <c:pt idx="172">
                  <c:v>0.1</c:v>
                </c:pt>
                <c:pt idx="173">
                  <c:v>2.2999999999999998</c:v>
                </c:pt>
                <c:pt idx="174">
                  <c:v>0.9</c:v>
                </c:pt>
                <c:pt idx="175">
                  <c:v>187.8</c:v>
                </c:pt>
                <c:pt idx="176">
                  <c:v>2.7</c:v>
                </c:pt>
                <c:pt idx="177">
                  <c:v>1.9</c:v>
                </c:pt>
                <c:pt idx="178">
                  <c:v>24.6</c:v>
                </c:pt>
                <c:pt idx="179">
                  <c:v>105.4</c:v>
                </c:pt>
                <c:pt idx="180">
                  <c:v>1</c:v>
                </c:pt>
                <c:pt idx="181">
                  <c:v>1.1000000000000001</c:v>
                </c:pt>
                <c:pt idx="182">
                  <c:v>0.6</c:v>
                </c:pt>
                <c:pt idx="183">
                  <c:v>9.6999999999999993</c:v>
                </c:pt>
                <c:pt idx="184">
                  <c:v>2.9</c:v>
                </c:pt>
                <c:pt idx="185">
                  <c:v>0.2</c:v>
                </c:pt>
                <c:pt idx="186">
                  <c:v>9.4</c:v>
                </c:pt>
                <c:pt idx="187">
                  <c:v>115.5</c:v>
                </c:pt>
                <c:pt idx="188">
                  <c:v>12.3</c:v>
                </c:pt>
                <c:pt idx="189">
                  <c:v>4.2</c:v>
                </c:pt>
                <c:pt idx="190">
                  <c:v>171.6</c:v>
                </c:pt>
                <c:pt idx="191">
                  <c:v>121.7</c:v>
                </c:pt>
                <c:pt idx="192">
                  <c:v>119.7</c:v>
                </c:pt>
                <c:pt idx="193">
                  <c:v>3.6</c:v>
                </c:pt>
                <c:pt idx="194">
                  <c:v>0.5</c:v>
                </c:pt>
                <c:pt idx="195">
                  <c:v>7.5</c:v>
                </c:pt>
                <c:pt idx="196">
                  <c:v>1.5</c:v>
                </c:pt>
                <c:pt idx="197">
                  <c:v>145.69999999999999</c:v>
                </c:pt>
                <c:pt idx="198">
                  <c:v>111.5</c:v>
                </c:pt>
                <c:pt idx="199">
                  <c:v>2.2999999999999998</c:v>
                </c:pt>
                <c:pt idx="200">
                  <c:v>1.6</c:v>
                </c:pt>
                <c:pt idx="201">
                  <c:v>2.2000000000000002</c:v>
                </c:pt>
                <c:pt idx="202">
                  <c:v>4.0999999999999996</c:v>
                </c:pt>
                <c:pt idx="203">
                  <c:v>91.6</c:v>
                </c:pt>
                <c:pt idx="204">
                  <c:v>4.5999999999999996</c:v>
                </c:pt>
                <c:pt idx="205">
                  <c:v>53.6</c:v>
                </c:pt>
                <c:pt idx="206">
                  <c:v>1.2</c:v>
                </c:pt>
                <c:pt idx="207">
                  <c:v>123.6</c:v>
                </c:pt>
                <c:pt idx="208">
                  <c:v>0.3</c:v>
                </c:pt>
                <c:pt idx="209">
                  <c:v>88.9</c:v>
                </c:pt>
                <c:pt idx="210">
                  <c:v>30.8</c:v>
                </c:pt>
                <c:pt idx="211">
                  <c:v>1.2</c:v>
                </c:pt>
                <c:pt idx="212">
                  <c:v>46.8</c:v>
                </c:pt>
                <c:pt idx="213">
                  <c:v>116.9</c:v>
                </c:pt>
                <c:pt idx="214">
                  <c:v>224.6</c:v>
                </c:pt>
                <c:pt idx="215">
                  <c:v>65.7</c:v>
                </c:pt>
                <c:pt idx="216">
                  <c:v>10.7</c:v>
                </c:pt>
                <c:pt idx="217">
                  <c:v>0</c:v>
                </c:pt>
                <c:pt idx="218">
                  <c:v>2</c:v>
                </c:pt>
                <c:pt idx="219">
                  <c:v>13.1</c:v>
                </c:pt>
                <c:pt idx="220">
                  <c:v>31.1</c:v>
                </c:pt>
                <c:pt idx="221">
                  <c:v>26.8</c:v>
                </c:pt>
                <c:pt idx="222">
                  <c:v>1</c:v>
                </c:pt>
                <c:pt idx="223">
                  <c:v>85.8</c:v>
                </c:pt>
                <c:pt idx="224">
                  <c:v>121.9</c:v>
                </c:pt>
                <c:pt idx="225">
                  <c:v>0.8</c:v>
                </c:pt>
                <c:pt idx="226">
                  <c:v>44.4</c:v>
                </c:pt>
                <c:pt idx="227">
                  <c:v>2.2000000000000002</c:v>
                </c:pt>
                <c:pt idx="228">
                  <c:v>50.5</c:v>
                </c:pt>
                <c:pt idx="229">
                  <c:v>0.9</c:v>
                </c:pt>
                <c:pt idx="230">
                  <c:v>0.2</c:v>
                </c:pt>
                <c:pt idx="231">
                  <c:v>21.9</c:v>
                </c:pt>
                <c:pt idx="232">
                  <c:v>2.4</c:v>
                </c:pt>
                <c:pt idx="233">
                  <c:v>5</c:v>
                </c:pt>
                <c:pt idx="234">
                  <c:v>129.30000000000001</c:v>
                </c:pt>
                <c:pt idx="235">
                  <c:v>0.1</c:v>
                </c:pt>
                <c:pt idx="236">
                  <c:v>264.39999999999998</c:v>
                </c:pt>
                <c:pt idx="237">
                  <c:v>43.9</c:v>
                </c:pt>
                <c:pt idx="238">
                  <c:v>79.2</c:v>
                </c:pt>
                <c:pt idx="239">
                  <c:v>11</c:v>
                </c:pt>
                <c:pt idx="240">
                  <c:v>1.3</c:v>
                </c:pt>
                <c:pt idx="241">
                  <c:v>144.4</c:v>
                </c:pt>
                <c:pt idx="242">
                  <c:v>34.4</c:v>
                </c:pt>
                <c:pt idx="243">
                  <c:v>6.1</c:v>
                </c:pt>
                <c:pt idx="244">
                  <c:v>1.3</c:v>
                </c:pt>
                <c:pt idx="245">
                  <c:v>11</c:v>
                </c:pt>
                <c:pt idx="246">
                  <c:v>51.1</c:v>
                </c:pt>
                <c:pt idx="247">
                  <c:v>1.5</c:v>
                </c:pt>
                <c:pt idx="248">
                  <c:v>57.4</c:v>
                </c:pt>
                <c:pt idx="249">
                  <c:v>56</c:v>
                </c:pt>
                <c:pt idx="250">
                  <c:v>0.5</c:v>
                </c:pt>
                <c:pt idx="251">
                  <c:v>72.599999999999994</c:v>
                </c:pt>
                <c:pt idx="252">
                  <c:v>0.2</c:v>
                </c:pt>
                <c:pt idx="253">
                  <c:v>132.19999999999999</c:v>
                </c:pt>
                <c:pt idx="254">
                  <c:v>396.4</c:v>
                </c:pt>
                <c:pt idx="255">
                  <c:v>38.1</c:v>
                </c:pt>
                <c:pt idx="256">
                  <c:v>39</c:v>
                </c:pt>
                <c:pt idx="257">
                  <c:v>2</c:v>
                </c:pt>
                <c:pt idx="258">
                  <c:v>20.6</c:v>
                </c:pt>
                <c:pt idx="259">
                  <c:v>0.2</c:v>
                </c:pt>
                <c:pt idx="260">
                  <c:v>4.2</c:v>
                </c:pt>
                <c:pt idx="261">
                  <c:v>43.9</c:v>
                </c:pt>
                <c:pt idx="262">
                  <c:v>0.4</c:v>
                </c:pt>
                <c:pt idx="263">
                  <c:v>1.1000000000000001</c:v>
                </c:pt>
                <c:pt idx="264">
                  <c:v>0.3</c:v>
                </c:pt>
                <c:pt idx="265">
                  <c:v>19.600000000000001</c:v>
                </c:pt>
                <c:pt idx="266">
                  <c:v>47.4</c:v>
                </c:pt>
                <c:pt idx="267">
                  <c:v>3.4</c:v>
                </c:pt>
                <c:pt idx="268">
                  <c:v>2.4</c:v>
                </c:pt>
                <c:pt idx="269">
                  <c:v>52.3</c:v>
                </c:pt>
                <c:pt idx="270">
                  <c:v>69.5</c:v>
                </c:pt>
                <c:pt idx="271">
                  <c:v>0.3</c:v>
                </c:pt>
                <c:pt idx="272">
                  <c:v>381.5</c:v>
                </c:pt>
                <c:pt idx="273">
                  <c:v>0.3</c:v>
                </c:pt>
                <c:pt idx="274">
                  <c:v>6.4</c:v>
                </c:pt>
                <c:pt idx="275">
                  <c:v>0.3</c:v>
                </c:pt>
                <c:pt idx="276">
                  <c:v>122.7</c:v>
                </c:pt>
                <c:pt idx="277">
                  <c:v>0.3</c:v>
                </c:pt>
                <c:pt idx="278">
                  <c:v>12.7</c:v>
                </c:pt>
                <c:pt idx="279">
                  <c:v>49.1</c:v>
                </c:pt>
                <c:pt idx="280">
                  <c:v>2</c:v>
                </c:pt>
                <c:pt idx="281">
                  <c:v>0.6</c:v>
                </c:pt>
                <c:pt idx="282">
                  <c:v>0.7</c:v>
                </c:pt>
                <c:pt idx="283">
                  <c:v>1.8</c:v>
                </c:pt>
                <c:pt idx="284">
                  <c:v>65.2</c:v>
                </c:pt>
                <c:pt idx="285">
                  <c:v>2.2999999999999998</c:v>
                </c:pt>
                <c:pt idx="286">
                  <c:v>15.1</c:v>
                </c:pt>
                <c:pt idx="287">
                  <c:v>35.799999999999997</c:v>
                </c:pt>
                <c:pt idx="288">
                  <c:v>2.6</c:v>
                </c:pt>
                <c:pt idx="289">
                  <c:v>43.1</c:v>
                </c:pt>
                <c:pt idx="290">
                  <c:v>6.4</c:v>
                </c:pt>
                <c:pt idx="291">
                  <c:v>1.3</c:v>
                </c:pt>
                <c:pt idx="292">
                  <c:v>0.5</c:v>
                </c:pt>
                <c:pt idx="293">
                  <c:v>4</c:v>
                </c:pt>
                <c:pt idx="294">
                  <c:v>30.9</c:v>
                </c:pt>
                <c:pt idx="295">
                  <c:v>2.5</c:v>
                </c:pt>
                <c:pt idx="296">
                  <c:v>1.3</c:v>
                </c:pt>
                <c:pt idx="297">
                  <c:v>4.7</c:v>
                </c:pt>
                <c:pt idx="298">
                  <c:v>17.3</c:v>
                </c:pt>
                <c:pt idx="299">
                  <c:v>0.2</c:v>
                </c:pt>
                <c:pt idx="300">
                  <c:v>9.6</c:v>
                </c:pt>
                <c:pt idx="301">
                  <c:v>1.4</c:v>
                </c:pt>
                <c:pt idx="302">
                  <c:v>0.5</c:v>
                </c:pt>
                <c:pt idx="303">
                  <c:v>31.8</c:v>
                </c:pt>
                <c:pt idx="304">
                  <c:v>0.4</c:v>
                </c:pt>
                <c:pt idx="305">
                  <c:v>42.1</c:v>
                </c:pt>
                <c:pt idx="306">
                  <c:v>0.6</c:v>
                </c:pt>
                <c:pt idx="307">
                  <c:v>12.9</c:v>
                </c:pt>
                <c:pt idx="308">
                  <c:v>32.299999999999997</c:v>
                </c:pt>
                <c:pt idx="309">
                  <c:v>0.4</c:v>
                </c:pt>
                <c:pt idx="310">
                  <c:v>0.2</c:v>
                </c:pt>
                <c:pt idx="311">
                  <c:v>13.4</c:v>
                </c:pt>
                <c:pt idx="312">
                  <c:v>0.9</c:v>
                </c:pt>
                <c:pt idx="313">
                  <c:v>1</c:v>
                </c:pt>
                <c:pt idx="314">
                  <c:v>1.8</c:v>
                </c:pt>
                <c:pt idx="315">
                  <c:v>66.3</c:v>
                </c:pt>
                <c:pt idx="316">
                  <c:v>35.700000000000003</c:v>
                </c:pt>
                <c:pt idx="317">
                  <c:v>0.2</c:v>
                </c:pt>
                <c:pt idx="318">
                  <c:v>42.7</c:v>
                </c:pt>
                <c:pt idx="319">
                  <c:v>37.4</c:v>
                </c:pt>
                <c:pt idx="320">
                  <c:v>16</c:v>
                </c:pt>
                <c:pt idx="321">
                  <c:v>0.7</c:v>
                </c:pt>
                <c:pt idx="322">
                  <c:v>19.5</c:v>
                </c:pt>
                <c:pt idx="323">
                  <c:v>49.8</c:v>
                </c:pt>
                <c:pt idx="324">
                  <c:v>15.1</c:v>
                </c:pt>
                <c:pt idx="325">
                  <c:v>1.2</c:v>
                </c:pt>
                <c:pt idx="326">
                  <c:v>29.2</c:v>
                </c:pt>
                <c:pt idx="327">
                  <c:v>0.3</c:v>
                </c:pt>
                <c:pt idx="328">
                  <c:v>5.7</c:v>
                </c:pt>
                <c:pt idx="329">
                  <c:v>0.2</c:v>
                </c:pt>
                <c:pt idx="330">
                  <c:v>5.9</c:v>
                </c:pt>
                <c:pt idx="331">
                  <c:v>38.1</c:v>
                </c:pt>
                <c:pt idx="332">
                  <c:v>0.3</c:v>
                </c:pt>
                <c:pt idx="333">
                  <c:v>20.399999999999999</c:v>
                </c:pt>
                <c:pt idx="334">
                  <c:v>27.8</c:v>
                </c:pt>
                <c:pt idx="335">
                  <c:v>35.700000000000003</c:v>
                </c:pt>
                <c:pt idx="336">
                  <c:v>0.4</c:v>
                </c:pt>
                <c:pt idx="337">
                  <c:v>0.7</c:v>
                </c:pt>
                <c:pt idx="338">
                  <c:v>0.6</c:v>
                </c:pt>
                <c:pt idx="339">
                  <c:v>16.2</c:v>
                </c:pt>
                <c:pt idx="340">
                  <c:v>1.1000000000000001</c:v>
                </c:pt>
                <c:pt idx="341">
                  <c:v>12.3</c:v>
                </c:pt>
                <c:pt idx="342">
                  <c:v>0</c:v>
                </c:pt>
                <c:pt idx="343">
                  <c:v>2.2000000000000002</c:v>
                </c:pt>
                <c:pt idx="344">
                  <c:v>1.2</c:v>
                </c:pt>
                <c:pt idx="345">
                  <c:v>1.7</c:v>
                </c:pt>
                <c:pt idx="346">
                  <c:v>0.9</c:v>
                </c:pt>
                <c:pt idx="347">
                  <c:v>1.2</c:v>
                </c:pt>
                <c:pt idx="348">
                  <c:v>9.6</c:v>
                </c:pt>
                <c:pt idx="349">
                  <c:v>1.8</c:v>
                </c:pt>
                <c:pt idx="350">
                  <c:v>2.7</c:v>
                </c:pt>
                <c:pt idx="351">
                  <c:v>3.3</c:v>
                </c:pt>
                <c:pt idx="352">
                  <c:v>0.7</c:v>
                </c:pt>
                <c:pt idx="353">
                  <c:v>1.5</c:v>
                </c:pt>
                <c:pt idx="354">
                  <c:v>0.3</c:v>
                </c:pt>
                <c:pt idx="355">
                  <c:v>41.5</c:v>
                </c:pt>
                <c:pt idx="356">
                  <c:v>1.2</c:v>
                </c:pt>
                <c:pt idx="357">
                  <c:v>4.7</c:v>
                </c:pt>
                <c:pt idx="358">
                  <c:v>60.2</c:v>
                </c:pt>
                <c:pt idx="359">
                  <c:v>1.5</c:v>
                </c:pt>
                <c:pt idx="360">
                  <c:v>0.5</c:v>
                </c:pt>
                <c:pt idx="361">
                  <c:v>0.3</c:v>
                </c:pt>
                <c:pt idx="362">
                  <c:v>3.5</c:v>
                </c:pt>
                <c:pt idx="363">
                  <c:v>0.1</c:v>
                </c:pt>
                <c:pt idx="364">
                  <c:v>0.8</c:v>
                </c:pt>
                <c:pt idx="365">
                  <c:v>12.9</c:v>
                </c:pt>
                <c:pt idx="366">
                  <c:v>0.1</c:v>
                </c:pt>
                <c:pt idx="367">
                  <c:v>23</c:v>
                </c:pt>
                <c:pt idx="368">
                  <c:v>5.0999999999999996</c:v>
                </c:pt>
                <c:pt idx="369">
                  <c:v>2</c:v>
                </c:pt>
                <c:pt idx="370">
                  <c:v>8.6999999999999993</c:v>
                </c:pt>
                <c:pt idx="371">
                  <c:v>0.5</c:v>
                </c:pt>
                <c:pt idx="372">
                  <c:v>0.9</c:v>
                </c:pt>
                <c:pt idx="373">
                  <c:v>5.5</c:v>
                </c:pt>
                <c:pt idx="374">
                  <c:v>13.5</c:v>
                </c:pt>
                <c:pt idx="375">
                  <c:v>9.6</c:v>
                </c:pt>
                <c:pt idx="376">
                  <c:v>2.2999999999999998</c:v>
                </c:pt>
                <c:pt idx="377">
                  <c:v>5.9</c:v>
                </c:pt>
                <c:pt idx="378">
                  <c:v>0.2</c:v>
                </c:pt>
                <c:pt idx="379">
                  <c:v>0.7</c:v>
                </c:pt>
                <c:pt idx="380">
                  <c:v>0.1</c:v>
                </c:pt>
                <c:pt idx="381">
                  <c:v>0.2</c:v>
                </c:pt>
                <c:pt idx="382">
                  <c:v>1.9</c:v>
                </c:pt>
                <c:pt idx="383">
                  <c:v>1.1000000000000001</c:v>
                </c:pt>
                <c:pt idx="384">
                  <c:v>0.2</c:v>
                </c:pt>
                <c:pt idx="385">
                  <c:v>0.3</c:v>
                </c:pt>
                <c:pt idx="386">
                  <c:v>0.2</c:v>
                </c:pt>
                <c:pt idx="387">
                  <c:v>5.5</c:v>
                </c:pt>
                <c:pt idx="388">
                  <c:v>1.4</c:v>
                </c:pt>
                <c:pt idx="389">
                  <c:v>16.600000000000001</c:v>
                </c:pt>
                <c:pt idx="390">
                  <c:v>0.1</c:v>
                </c:pt>
                <c:pt idx="391">
                  <c:v>2</c:v>
                </c:pt>
                <c:pt idx="392">
                  <c:v>2.6</c:v>
                </c:pt>
                <c:pt idx="393">
                  <c:v>24.5</c:v>
                </c:pt>
                <c:pt idx="394">
                  <c:v>1.2</c:v>
                </c:pt>
                <c:pt idx="395">
                  <c:v>6.8</c:v>
                </c:pt>
                <c:pt idx="396">
                  <c:v>22.5</c:v>
                </c:pt>
                <c:pt idx="397">
                  <c:v>0.4</c:v>
                </c:pt>
                <c:pt idx="398">
                  <c:v>0.5</c:v>
                </c:pt>
              </c:numCache>
            </c:numRef>
          </c:val>
          <c:extLst>
            <c:ext xmlns:c16="http://schemas.microsoft.com/office/drawing/2014/chart" uri="{C3380CC4-5D6E-409C-BE32-E72D297353CC}">
              <c16:uniqueId val="{00000005-FC9A-4BDB-A681-6184A7E2DF7C}"/>
            </c:ext>
          </c:extLst>
        </c:ser>
        <c:ser>
          <c:idx val="0"/>
          <c:order val="2"/>
          <c:tx>
            <c:v>Total Cash Cost</c:v>
          </c:tx>
          <c:spPr>
            <a:solidFill>
              <a:schemeClr val="accent1"/>
            </a:solidFill>
            <a:ln>
              <a:noFill/>
            </a:ln>
            <a:effectLst/>
          </c:spPr>
          <c:invertIfNegative val="0"/>
          <c:cat>
            <c:strRef>
              <c:f>Data!$A$15:$A$413</c:f>
              <c:strCache>
                <c:ptCount val="399"/>
                <c:pt idx="0">
                  <c:v>Zhezkazgan Complex</c:v>
                </c:pt>
                <c:pt idx="1">
                  <c:v>Metalkol RTR</c:v>
                </c:pt>
                <c:pt idx="2">
                  <c:v>Central Region</c:v>
                </c:pt>
                <c:pt idx="3">
                  <c:v>Garpenberg</c:v>
                </c:pt>
                <c:pt idx="4">
                  <c:v>Wenshan Dulong</c:v>
                </c:pt>
                <c:pt idx="5">
                  <c:v>Toquepala SX-EW</c:v>
                </c:pt>
                <c:pt idx="6">
                  <c:v>Kevitsa</c:v>
                </c:pt>
                <c:pt idx="7">
                  <c:v>Heiniudong</c:v>
                </c:pt>
                <c:pt idx="8">
                  <c:v>Karaganda Region</c:v>
                </c:pt>
                <c:pt idx="9">
                  <c:v>Kounrad Dump</c:v>
                </c:pt>
                <c:pt idx="10">
                  <c:v>La Caridad SX-EW</c:v>
                </c:pt>
                <c:pt idx="11">
                  <c:v>Sanxin</c:v>
                </c:pt>
                <c:pt idx="12">
                  <c:v>Buenavista SX-EW</c:v>
                </c:pt>
                <c:pt idx="13">
                  <c:v>Jinchuan</c:v>
                </c:pt>
                <c:pt idx="14">
                  <c:v>Union Section</c:v>
                </c:pt>
                <c:pt idx="15">
                  <c:v>Ashele</c:v>
                </c:pt>
                <c:pt idx="16">
                  <c:v>Santa Rita</c:v>
                </c:pt>
                <c:pt idx="17">
                  <c:v>Radomiro Tomic</c:v>
                </c:pt>
                <c:pt idx="18">
                  <c:v>Tonglvshan</c:v>
                </c:pt>
                <c:pt idx="19">
                  <c:v>Miniere Musoshi Kinsenda</c:v>
                </c:pt>
                <c:pt idx="20">
                  <c:v>Timok</c:v>
                </c:pt>
                <c:pt idx="21">
                  <c:v>Aljustrel</c:v>
                </c:pt>
                <c:pt idx="22">
                  <c:v>Liwu</c:v>
                </c:pt>
                <c:pt idx="23">
                  <c:v>Sunan Dongshanding</c:v>
                </c:pt>
                <c:pt idx="24">
                  <c:v>Eagle</c:v>
                </c:pt>
                <c:pt idx="25">
                  <c:v>Lomas Bayas</c:v>
                </c:pt>
                <c:pt idx="26">
                  <c:v>Kidd Creek</c:v>
                </c:pt>
                <c:pt idx="27">
                  <c:v>Buribayevsky</c:v>
                </c:pt>
                <c:pt idx="28">
                  <c:v>Longwan</c:v>
                </c:pt>
                <c:pt idx="29">
                  <c:v>Antamina</c:v>
                </c:pt>
                <c:pt idx="30">
                  <c:v>Booysendal South</c:v>
                </c:pt>
                <c:pt idx="31">
                  <c:v>Yinshan</c:v>
                </c:pt>
                <c:pt idx="32">
                  <c:v>Nova-Bollinger</c:v>
                </c:pt>
                <c:pt idx="33">
                  <c:v>Palabora</c:v>
                </c:pt>
                <c:pt idx="34">
                  <c:v>Yulong</c:v>
                </c:pt>
                <c:pt idx="35">
                  <c:v>Collahuasi</c:v>
                </c:pt>
                <c:pt idx="36">
                  <c:v>Gaisky Complex</c:v>
                </c:pt>
                <c:pt idx="37">
                  <c:v>Mogalakwena</c:v>
                </c:pt>
                <c:pt idx="38">
                  <c:v>Norilsk</c:v>
                </c:pt>
                <c:pt idx="39">
                  <c:v>Mufulira</c:v>
                </c:pt>
                <c:pt idx="40">
                  <c:v>Escondida SX-EW</c:v>
                </c:pt>
                <c:pt idx="41">
                  <c:v>Ministro Hales</c:v>
                </c:pt>
                <c:pt idx="42">
                  <c:v>Jabal Sayid</c:v>
                </c:pt>
                <c:pt idx="43">
                  <c:v>Aktogay SX-EW</c:v>
                </c:pt>
                <c:pt idx="44">
                  <c:v>Los Bronces SX-EW</c:v>
                </c:pt>
                <c:pt idx="45">
                  <c:v>Kalatongke</c:v>
                </c:pt>
                <c:pt idx="46">
                  <c:v>Mototolo</c:v>
                </c:pt>
                <c:pt idx="47">
                  <c:v>Tulaergen</c:v>
                </c:pt>
                <c:pt idx="48">
                  <c:v>Sichuan La-La</c:v>
                </c:pt>
                <c:pt idx="49">
                  <c:v>Andina Division</c:v>
                </c:pt>
                <c:pt idx="50">
                  <c:v>Caraíba</c:v>
                </c:pt>
                <c:pt idx="51">
                  <c:v>Platinum Mile</c:v>
                </c:pt>
                <c:pt idx="52">
                  <c:v>Kolwezi</c:v>
                </c:pt>
                <c:pt idx="53">
                  <c:v>Etoile</c:v>
                </c:pt>
                <c:pt idx="54">
                  <c:v>Rubtsovskoye</c:v>
                </c:pt>
                <c:pt idx="55">
                  <c:v>Zinkgruvan</c:v>
                </c:pt>
                <c:pt idx="56">
                  <c:v>Kainantu</c:v>
                </c:pt>
                <c:pt idx="57">
                  <c:v>Tuwu-Yandong</c:v>
                </c:pt>
                <c:pt idx="58">
                  <c:v>Escondida</c:v>
                </c:pt>
                <c:pt idx="59">
                  <c:v>Frontier</c:v>
                </c:pt>
                <c:pt idx="60">
                  <c:v>Toromocho</c:v>
                </c:pt>
                <c:pt idx="61">
                  <c:v>Chuquicamata SX-EW</c:v>
                </c:pt>
                <c:pt idx="62">
                  <c:v>Yincan</c:v>
                </c:pt>
                <c:pt idx="63">
                  <c:v>Buenavista</c:v>
                </c:pt>
                <c:pt idx="64">
                  <c:v>Batu Hijau</c:v>
                </c:pt>
                <c:pt idx="65">
                  <c:v>Tizapa</c:v>
                </c:pt>
                <c:pt idx="66">
                  <c:v>Grasberg</c:v>
                </c:pt>
                <c:pt idx="67">
                  <c:v>Chambishi</c:v>
                </c:pt>
                <c:pt idx="68">
                  <c:v>Qilianshan</c:v>
                </c:pt>
                <c:pt idx="69">
                  <c:v>Mirador</c:v>
                </c:pt>
                <c:pt idx="70">
                  <c:v>Bozshakol</c:v>
                </c:pt>
                <c:pt idx="71">
                  <c:v>Cozamin</c:v>
                </c:pt>
                <c:pt idx="72">
                  <c:v>Aranzazu</c:v>
                </c:pt>
                <c:pt idx="73">
                  <c:v>Quellaveco</c:v>
                </c:pt>
                <c:pt idx="74">
                  <c:v>Mutanda SX-EW</c:v>
                </c:pt>
                <c:pt idx="75">
                  <c:v>Deziwa</c:v>
                </c:pt>
                <c:pt idx="76">
                  <c:v>Tenke Fungurume</c:v>
                </c:pt>
                <c:pt idx="77">
                  <c:v>Kamoa-Kakula</c:v>
                </c:pt>
                <c:pt idx="78">
                  <c:v>Kazzinc Consolidated</c:v>
                </c:pt>
                <c:pt idx="79">
                  <c:v>El Teniente</c:v>
                </c:pt>
                <c:pt idx="80">
                  <c:v>Deerni</c:v>
                </c:pt>
                <c:pt idx="81">
                  <c:v>Modikwa</c:v>
                </c:pt>
                <c:pt idx="82">
                  <c:v>Zarechensky</c:v>
                </c:pt>
                <c:pt idx="83">
                  <c:v>Phu Kham</c:v>
                </c:pt>
                <c:pt idx="84">
                  <c:v>Jinshen</c:v>
                </c:pt>
                <c:pt idx="85">
                  <c:v>Marikana</c:v>
                </c:pt>
                <c:pt idx="86">
                  <c:v>Ernest Henry</c:v>
                </c:pt>
                <c:pt idx="87">
                  <c:v>Aitik</c:v>
                </c:pt>
                <c:pt idx="88">
                  <c:v>Los Pelambres</c:v>
                </c:pt>
                <c:pt idx="89">
                  <c:v>Wushan</c:v>
                </c:pt>
                <c:pt idx="90">
                  <c:v>Asientos</c:v>
                </c:pt>
                <c:pt idx="91">
                  <c:v>Amandelbult</c:v>
                </c:pt>
                <c:pt idx="92">
                  <c:v>Booysendal North</c:v>
                </c:pt>
                <c:pt idx="93">
                  <c:v>El Brocal</c:v>
                </c:pt>
                <c:pt idx="94">
                  <c:v>Zijinshan</c:v>
                </c:pt>
                <c:pt idx="95">
                  <c:v>Franke</c:v>
                </c:pt>
                <c:pt idx="96">
                  <c:v>Gabriela Mistral</c:v>
                </c:pt>
                <c:pt idx="97">
                  <c:v>Black Mountain</c:v>
                </c:pt>
                <c:pt idx="98">
                  <c:v>Yinlu</c:v>
                </c:pt>
                <c:pt idx="99">
                  <c:v>Mt Isa Copper</c:v>
                </c:pt>
                <c:pt idx="100">
                  <c:v>East Yellow Mountain</c:v>
                </c:pt>
                <c:pt idx="101">
                  <c:v>Mount Milligan</c:v>
                </c:pt>
                <c:pt idx="102">
                  <c:v>LaRonde</c:v>
                </c:pt>
                <c:pt idx="103">
                  <c:v>Toquepala</c:v>
                </c:pt>
                <c:pt idx="104">
                  <c:v>Aktogay</c:v>
                </c:pt>
                <c:pt idx="105">
                  <c:v>Matagami</c:v>
                </c:pt>
                <c:pt idx="106">
                  <c:v>Dongshengmiao</c:v>
                </c:pt>
                <c:pt idx="107">
                  <c:v>Cobre Panama</c:v>
                </c:pt>
                <c:pt idx="108">
                  <c:v>DeGrussa Processing Facility</c:v>
                </c:pt>
                <c:pt idx="109">
                  <c:v>Hunchun</c:v>
                </c:pt>
                <c:pt idx="110">
                  <c:v>Cuajone</c:v>
                </c:pt>
                <c:pt idx="111">
                  <c:v>Sierra Gorda</c:v>
                </c:pt>
                <c:pt idx="112">
                  <c:v>Boddington</c:v>
                </c:pt>
                <c:pt idx="113">
                  <c:v>Carlota</c:v>
                </c:pt>
                <c:pt idx="114">
                  <c:v>Raglan</c:v>
                </c:pt>
                <c:pt idx="115">
                  <c:v>Two Rivers</c:v>
                </c:pt>
                <c:pt idx="116">
                  <c:v>Didipio</c:v>
                </c:pt>
                <c:pt idx="117">
                  <c:v>Doe Run Mines</c:v>
                </c:pt>
                <c:pt idx="118">
                  <c:v>Kamoto SX-EW</c:v>
                </c:pt>
                <c:pt idx="119">
                  <c:v>Chengmenshan</c:v>
                </c:pt>
                <c:pt idx="120">
                  <c:v>Duobaoshan</c:v>
                </c:pt>
                <c:pt idx="121">
                  <c:v>Ray SX-EW</c:v>
                </c:pt>
                <c:pt idx="122">
                  <c:v>Suolagou</c:v>
                </c:pt>
                <c:pt idx="123">
                  <c:v>Sudbury Operations</c:v>
                </c:pt>
                <c:pt idx="124">
                  <c:v>Dexing Complex</c:v>
                </c:pt>
                <c:pt idx="125">
                  <c:v>Dajingzi</c:v>
                </c:pt>
                <c:pt idx="126">
                  <c:v>Ruashi</c:v>
                </c:pt>
                <c:pt idx="127">
                  <c:v>Songjiang</c:v>
                </c:pt>
                <c:pt idx="128">
                  <c:v>Carrapateena</c:v>
                </c:pt>
                <c:pt idx="129">
                  <c:v>Boliden Area</c:v>
                </c:pt>
                <c:pt idx="130">
                  <c:v>Shitouzui</c:v>
                </c:pt>
                <c:pt idx="131">
                  <c:v>Cerro de Maimon</c:v>
                </c:pt>
                <c:pt idx="132">
                  <c:v>Zangezur</c:v>
                </c:pt>
                <c:pt idx="133">
                  <c:v>Zhibula</c:v>
                </c:pt>
                <c:pt idx="134">
                  <c:v>Suolajier</c:v>
                </c:pt>
                <c:pt idx="135">
                  <c:v>Fuyuan</c:v>
                </c:pt>
                <c:pt idx="136">
                  <c:v>Huogeqi</c:v>
                </c:pt>
                <c:pt idx="137">
                  <c:v>El Teniente SX-EW</c:v>
                </c:pt>
                <c:pt idx="138">
                  <c:v>Nkana</c:v>
                </c:pt>
                <c:pt idx="139">
                  <c:v>Bulyanhulu</c:v>
                </c:pt>
                <c:pt idx="140">
                  <c:v>Tongkuangyu</c:v>
                </c:pt>
                <c:pt idx="141">
                  <c:v>Munali</c:v>
                </c:pt>
                <c:pt idx="142">
                  <c:v>Constancia</c:v>
                </c:pt>
                <c:pt idx="143">
                  <c:v>Trident - Sentinel</c:v>
                </c:pt>
                <c:pt idx="144">
                  <c:v>Luodong</c:v>
                </c:pt>
                <c:pt idx="145">
                  <c:v>Cerro Corona</c:v>
                </c:pt>
                <c:pt idx="146">
                  <c:v>Dapingzhang</c:v>
                </c:pt>
                <c:pt idx="147">
                  <c:v>Langyashan</c:v>
                </c:pt>
                <c:pt idx="148">
                  <c:v>Chuquicamata</c:v>
                </c:pt>
                <c:pt idx="149">
                  <c:v>Yauli</c:v>
                </c:pt>
                <c:pt idx="150">
                  <c:v>Bisha</c:v>
                </c:pt>
                <c:pt idx="151">
                  <c:v>Zondereinde</c:v>
                </c:pt>
                <c:pt idx="152">
                  <c:v>Centinela Oxide</c:v>
                </c:pt>
                <c:pt idx="153">
                  <c:v>Weilasituo</c:v>
                </c:pt>
                <c:pt idx="154">
                  <c:v>IMMSA</c:v>
                </c:pt>
                <c:pt idx="155">
                  <c:v>Jiama</c:v>
                </c:pt>
                <c:pt idx="156">
                  <c:v>Xiliduo</c:v>
                </c:pt>
                <c:pt idx="157">
                  <c:v>Olympic Dam</c:v>
                </c:pt>
                <c:pt idx="158">
                  <c:v>Las Bambas</c:v>
                </c:pt>
                <c:pt idx="159">
                  <c:v>Candelaria</c:v>
                </c:pt>
                <c:pt idx="160">
                  <c:v>Khoemacau</c:v>
                </c:pt>
                <c:pt idx="161">
                  <c:v>Centinela Sulfide</c:v>
                </c:pt>
                <c:pt idx="162">
                  <c:v>Xinzhuang</c:v>
                </c:pt>
                <c:pt idx="163">
                  <c:v>Jinxing</c:v>
                </c:pt>
                <c:pt idx="164">
                  <c:v>Silver Bell</c:v>
                </c:pt>
                <c:pt idx="165">
                  <c:v>East Region Operations</c:v>
                </c:pt>
                <c:pt idx="166">
                  <c:v>Pulang</c:v>
                </c:pt>
                <c:pt idx="167">
                  <c:v>Wutonghua</c:v>
                </c:pt>
                <c:pt idx="168">
                  <c:v>Continental</c:v>
                </c:pt>
                <c:pt idx="169">
                  <c:v>Tayahua</c:v>
                </c:pt>
                <c:pt idx="170">
                  <c:v>Northparkes</c:v>
                </c:pt>
                <c:pt idx="171">
                  <c:v>Baiyin Changtong</c:v>
                </c:pt>
                <c:pt idx="172">
                  <c:v>Huayu</c:v>
                </c:pt>
                <c:pt idx="173">
                  <c:v>Velardena</c:v>
                </c:pt>
                <c:pt idx="174">
                  <c:v>Amawusu</c:v>
                </c:pt>
                <c:pt idx="175">
                  <c:v>Sarcheshmeh</c:v>
                </c:pt>
                <c:pt idx="176">
                  <c:v>Unki</c:v>
                </c:pt>
                <c:pt idx="177">
                  <c:v>Nuoergai</c:v>
                </c:pt>
                <c:pt idx="178">
                  <c:v>Huachin</c:v>
                </c:pt>
                <c:pt idx="179">
                  <c:v>Caserones</c:v>
                </c:pt>
                <c:pt idx="180">
                  <c:v>Deflector</c:v>
                </c:pt>
                <c:pt idx="181">
                  <c:v>Rosebery</c:v>
                </c:pt>
                <c:pt idx="182">
                  <c:v>Lindero</c:v>
                </c:pt>
                <c:pt idx="183">
                  <c:v>Lalor Lake</c:v>
                </c:pt>
                <c:pt idx="184">
                  <c:v>Avino</c:v>
                </c:pt>
                <c:pt idx="185">
                  <c:v>Kroondal</c:v>
                </c:pt>
                <c:pt idx="186">
                  <c:v>Yangla</c:v>
                </c:pt>
                <c:pt idx="187">
                  <c:v>Highland Valley</c:v>
                </c:pt>
                <c:pt idx="188">
                  <c:v>Chelopech</c:v>
                </c:pt>
                <c:pt idx="189">
                  <c:v>Zimplats</c:v>
                </c:pt>
                <c:pt idx="190">
                  <c:v>Bingham Canyon</c:v>
                </c:pt>
                <c:pt idx="191">
                  <c:v>Spence</c:v>
                </c:pt>
                <c:pt idx="192">
                  <c:v>Spence SX-EW</c:v>
                </c:pt>
                <c:pt idx="193">
                  <c:v>Chibuluma South</c:v>
                </c:pt>
                <c:pt idx="194">
                  <c:v>Changhong</c:v>
                </c:pt>
                <c:pt idx="195">
                  <c:v>Nevada Operations</c:v>
                </c:pt>
                <c:pt idx="196">
                  <c:v>Impala Bafokeng</c:v>
                </c:pt>
                <c:pt idx="197">
                  <c:v>Antapaccay</c:v>
                </c:pt>
                <c:pt idx="198">
                  <c:v>Qulong</c:v>
                </c:pt>
                <c:pt idx="199">
                  <c:v>Xingjiang</c:v>
                </c:pt>
                <c:pt idx="200">
                  <c:v>Varvara</c:v>
                </c:pt>
                <c:pt idx="201">
                  <c:v>Tongdan</c:v>
                </c:pt>
                <c:pt idx="202">
                  <c:v>Xinqiao</c:v>
                </c:pt>
                <c:pt idx="203">
                  <c:v>El Abra</c:v>
                </c:pt>
                <c:pt idx="204">
                  <c:v>San Martin</c:v>
                </c:pt>
                <c:pt idx="205">
                  <c:v>Prominent Hill</c:v>
                </c:pt>
                <c:pt idx="206">
                  <c:v>Rustenburg</c:v>
                </c:pt>
                <c:pt idx="207">
                  <c:v>Salobo</c:v>
                </c:pt>
                <c:pt idx="208">
                  <c:v>Western Limb Tailings</c:v>
                </c:pt>
                <c:pt idx="209">
                  <c:v>Zaldivar</c:v>
                </c:pt>
                <c:pt idx="210">
                  <c:v>Dongguashan</c:v>
                </c:pt>
                <c:pt idx="211">
                  <c:v>Yauliyacu</c:v>
                </c:pt>
                <c:pt idx="212">
                  <c:v>Robinson</c:v>
                </c:pt>
                <c:pt idx="213">
                  <c:v>Lumwana</c:v>
                </c:pt>
                <c:pt idx="214">
                  <c:v>Los Bronces</c:v>
                </c:pt>
                <c:pt idx="215">
                  <c:v>Wunugetushan</c:v>
                </c:pt>
                <c:pt idx="216">
                  <c:v>Eloise</c:v>
                </c:pt>
                <c:pt idx="217">
                  <c:v>Eland</c:v>
                </c:pt>
                <c:pt idx="218">
                  <c:v>Campo Morado</c:v>
                </c:pt>
                <c:pt idx="219">
                  <c:v>Chino SX-EW</c:v>
                </c:pt>
                <c:pt idx="220">
                  <c:v>Salvador</c:v>
                </c:pt>
                <c:pt idx="221">
                  <c:v>Tyrone SX-EW</c:v>
                </c:pt>
                <c:pt idx="222">
                  <c:v>Sunan</c:v>
                </c:pt>
                <c:pt idx="223">
                  <c:v>La Caridad</c:v>
                </c:pt>
                <c:pt idx="224">
                  <c:v>Kansanshi</c:v>
                </c:pt>
                <c:pt idx="225">
                  <c:v>Shilong</c:v>
                </c:pt>
                <c:pt idx="226">
                  <c:v>Cerro Verde SX-EW</c:v>
                </c:pt>
                <c:pt idx="227">
                  <c:v>Kyzyl-Tash Turk</c:v>
                </c:pt>
                <c:pt idx="228">
                  <c:v>Uchaly</c:v>
                </c:pt>
                <c:pt idx="229">
                  <c:v>Tangtang</c:v>
                </c:pt>
                <c:pt idx="230">
                  <c:v>Huzhan</c:v>
                </c:pt>
                <c:pt idx="231">
                  <c:v>Sierrita SX-EW</c:v>
                </c:pt>
                <c:pt idx="232">
                  <c:v>Mimosa</c:v>
                </c:pt>
                <c:pt idx="233">
                  <c:v>Miami</c:v>
                </c:pt>
                <c:pt idx="234">
                  <c:v>Safford</c:v>
                </c:pt>
                <c:pt idx="235">
                  <c:v>Jiuquan</c:v>
                </c:pt>
                <c:pt idx="236">
                  <c:v>Morenci SX-EW</c:v>
                </c:pt>
                <c:pt idx="237">
                  <c:v>Chino</c:v>
                </c:pt>
                <c:pt idx="238">
                  <c:v>Antucoya</c:v>
                </c:pt>
                <c:pt idx="239">
                  <c:v>Padcal</c:v>
                </c:pt>
                <c:pt idx="240">
                  <c:v>Chungar</c:v>
                </c:pt>
                <c:pt idx="241">
                  <c:v>Erdenet</c:v>
                </c:pt>
                <c:pt idx="242">
                  <c:v>Mantos Blancos</c:v>
                </c:pt>
                <c:pt idx="243">
                  <c:v>Bozymchak</c:v>
                </c:pt>
                <c:pt idx="244">
                  <c:v>Luojiahe</c:v>
                </c:pt>
                <c:pt idx="245">
                  <c:v>Antas</c:v>
                </c:pt>
                <c:pt idx="246">
                  <c:v>MATSA</c:v>
                </c:pt>
                <c:pt idx="247">
                  <c:v>Jilongshan</c:v>
                </c:pt>
                <c:pt idx="248">
                  <c:v>Ontario Division</c:v>
                </c:pt>
                <c:pt idx="249">
                  <c:v>Sierrita</c:v>
                </c:pt>
                <c:pt idx="250">
                  <c:v>Tanyaokou</c:v>
                </c:pt>
                <c:pt idx="251">
                  <c:v>Bagdad</c:v>
                </c:pt>
                <c:pt idx="252">
                  <c:v>Jingbian</c:v>
                </c:pt>
                <c:pt idx="253">
                  <c:v>Morenci</c:v>
                </c:pt>
                <c:pt idx="254">
                  <c:v>Cerro Verde</c:v>
                </c:pt>
                <c:pt idx="255">
                  <c:v>Mabende</c:v>
                </c:pt>
                <c:pt idx="256">
                  <c:v>El Soldado</c:v>
                </c:pt>
                <c:pt idx="257">
                  <c:v>Myra Falls</c:v>
                </c:pt>
                <c:pt idx="258">
                  <c:v>Kansanshi SX-EW</c:v>
                </c:pt>
                <c:pt idx="259">
                  <c:v>Trojan</c:v>
                </c:pt>
                <c:pt idx="260">
                  <c:v>Huaron</c:v>
                </c:pt>
                <c:pt idx="261">
                  <c:v>Chapada</c:v>
                </c:pt>
                <c:pt idx="262">
                  <c:v>Stillwater</c:v>
                </c:pt>
                <c:pt idx="263">
                  <c:v>Penasquito</c:v>
                </c:pt>
                <c:pt idx="264">
                  <c:v>El Porvenir</c:v>
                </c:pt>
                <c:pt idx="265">
                  <c:v>Wetar</c:v>
                </c:pt>
                <c:pt idx="266">
                  <c:v>Mantoverde SX-EW</c:v>
                </c:pt>
                <c:pt idx="267">
                  <c:v>Peak</c:v>
                </c:pt>
                <c:pt idx="268">
                  <c:v>Charcas</c:v>
                </c:pt>
                <c:pt idx="269">
                  <c:v>Pinto Valley</c:v>
                </c:pt>
                <c:pt idx="270">
                  <c:v>Ok Tedi</c:v>
                </c:pt>
                <c:pt idx="271">
                  <c:v>Daluowan</c:v>
                </c:pt>
                <c:pt idx="272">
                  <c:v>KGHM Polska Miedz</c:v>
                </c:pt>
                <c:pt idx="273">
                  <c:v>Tonghe</c:v>
                </c:pt>
                <c:pt idx="274">
                  <c:v>Yauricocha</c:v>
                </c:pt>
                <c:pt idx="275">
                  <c:v>Shunqiang</c:v>
                </c:pt>
                <c:pt idx="276">
                  <c:v>Oyu Tolgoi</c:v>
                </c:pt>
                <c:pt idx="277">
                  <c:v>Alex</c:v>
                </c:pt>
                <c:pt idx="278">
                  <c:v>Minto</c:v>
                </c:pt>
                <c:pt idx="279">
                  <c:v>Kinsevere</c:v>
                </c:pt>
                <c:pt idx="280">
                  <c:v>Kapan</c:v>
                </c:pt>
                <c:pt idx="281">
                  <c:v>Lianhuashan</c:v>
                </c:pt>
                <c:pt idx="282">
                  <c:v>Yiyang Xuri</c:v>
                </c:pt>
                <c:pt idx="283">
                  <c:v>Impala Canada</c:v>
                </c:pt>
                <c:pt idx="284">
                  <c:v>Bystrinskoye</c:v>
                </c:pt>
                <c:pt idx="285">
                  <c:v>Pyhasalmi</c:v>
                </c:pt>
                <c:pt idx="286">
                  <c:v>Mantos Blancos SX-EW</c:v>
                </c:pt>
                <c:pt idx="287">
                  <c:v>Cobar</c:v>
                </c:pt>
                <c:pt idx="288">
                  <c:v>Bizhigou</c:v>
                </c:pt>
                <c:pt idx="289">
                  <c:v>Muliashi North</c:v>
                </c:pt>
                <c:pt idx="290">
                  <c:v>Phoenix SX-EW</c:v>
                </c:pt>
                <c:pt idx="291">
                  <c:v>Yaodongzao</c:v>
                </c:pt>
                <c:pt idx="292">
                  <c:v>Laolaihong</c:v>
                </c:pt>
                <c:pt idx="293">
                  <c:v>Lanniping</c:v>
                </c:pt>
                <c:pt idx="294">
                  <c:v>Somincor</c:v>
                </c:pt>
                <c:pt idx="295">
                  <c:v>Yinmin</c:v>
                </c:pt>
                <c:pt idx="296">
                  <c:v>Erzhulong</c:v>
                </c:pt>
                <c:pt idx="297">
                  <c:v>Flin Flon</c:v>
                </c:pt>
                <c:pt idx="298">
                  <c:v>Lubambe</c:v>
                </c:pt>
                <c:pt idx="299">
                  <c:v>Julcani</c:v>
                </c:pt>
                <c:pt idx="300">
                  <c:v>Voisey's Bay</c:v>
                </c:pt>
                <c:pt idx="301">
                  <c:v>Maoyuan</c:v>
                </c:pt>
                <c:pt idx="302">
                  <c:v>San Vicente</c:v>
                </c:pt>
                <c:pt idx="303">
                  <c:v>Cerro Lindo</c:v>
                </c:pt>
                <c:pt idx="304">
                  <c:v>Tongshanpai</c:v>
                </c:pt>
                <c:pt idx="305">
                  <c:v>Sossego</c:v>
                </c:pt>
                <c:pt idx="306">
                  <c:v>Langlike</c:v>
                </c:pt>
                <c:pt idx="307">
                  <c:v>Guelb Moghrein</c:v>
                </c:pt>
                <c:pt idx="308">
                  <c:v>Atlas Toledo</c:v>
                </c:pt>
                <c:pt idx="309">
                  <c:v>Niutoushan</c:v>
                </c:pt>
                <c:pt idx="310">
                  <c:v>Zhenxing</c:v>
                </c:pt>
                <c:pt idx="311">
                  <c:v>New Afton</c:v>
                </c:pt>
                <c:pt idx="312">
                  <c:v>Fengjiashan</c:v>
                </c:pt>
                <c:pt idx="313">
                  <c:v>Fenghuangshan</c:v>
                </c:pt>
                <c:pt idx="314">
                  <c:v>Savannah</c:v>
                </c:pt>
                <c:pt idx="315">
                  <c:v>Bor Basin</c:v>
                </c:pt>
                <c:pt idx="316">
                  <c:v>Ray</c:v>
                </c:pt>
                <c:pt idx="317">
                  <c:v>Tianbaoshan</c:v>
                </c:pt>
                <c:pt idx="318">
                  <c:v>Gibraltar</c:v>
                </c:pt>
                <c:pt idx="319">
                  <c:v>Carmen de Andacollo</c:v>
                </c:pt>
                <c:pt idx="320">
                  <c:v>Golden Grove</c:v>
                </c:pt>
                <c:pt idx="321">
                  <c:v>Shijiangjun</c:v>
                </c:pt>
                <c:pt idx="322">
                  <c:v>Bashkir</c:v>
                </c:pt>
                <c:pt idx="323">
                  <c:v>Proyecto de Rio Tinto</c:v>
                </c:pt>
                <c:pt idx="324">
                  <c:v>Caserones SX-EW</c:v>
                </c:pt>
                <c:pt idx="325">
                  <c:v>Shangrao</c:v>
                </c:pt>
                <c:pt idx="326">
                  <c:v>Red Chris</c:v>
                </c:pt>
                <c:pt idx="327">
                  <c:v>Pilanesberg</c:v>
                </c:pt>
                <c:pt idx="328">
                  <c:v>Anqing</c:v>
                </c:pt>
                <c:pt idx="329">
                  <c:v>Jiujiang</c:v>
                </c:pt>
                <c:pt idx="330">
                  <c:v>Soerkuduke</c:v>
                </c:pt>
                <c:pt idx="331">
                  <c:v>Kipoi SX-EW</c:v>
                </c:pt>
                <c:pt idx="332">
                  <c:v>Yinshanling</c:v>
                </c:pt>
                <c:pt idx="333">
                  <c:v>Dahongshan</c:v>
                </c:pt>
                <c:pt idx="334">
                  <c:v>El Teniente Tailings</c:v>
                </c:pt>
                <c:pt idx="335">
                  <c:v>Ellatzite</c:v>
                </c:pt>
                <c:pt idx="336">
                  <c:v>Hemeida Industrial and Trading Company</c:v>
                </c:pt>
                <c:pt idx="337">
                  <c:v>San Francisco del Oro</c:v>
                </c:pt>
                <c:pt idx="338">
                  <c:v>Zhixincheng Conc. Plant</c:v>
                </c:pt>
                <c:pt idx="339">
                  <c:v>Tritton</c:v>
                </c:pt>
                <c:pt idx="340">
                  <c:v>Zhurihe</c:v>
                </c:pt>
                <c:pt idx="341">
                  <c:v>Telfer</c:v>
                </c:pt>
                <c:pt idx="342">
                  <c:v>Fengshan</c:v>
                </c:pt>
                <c:pt idx="343">
                  <c:v>Tongshan</c:v>
                </c:pt>
                <c:pt idx="344">
                  <c:v>Datong</c:v>
                </c:pt>
                <c:pt idx="345">
                  <c:v>Thalanga</c:v>
                </c:pt>
                <c:pt idx="346">
                  <c:v>Nanchong</c:v>
                </c:pt>
                <c:pt idx="347">
                  <c:v>Yinan</c:v>
                </c:pt>
                <c:pt idx="348">
                  <c:v>Quebrada Blanca SX-EW</c:v>
                </c:pt>
                <c:pt idx="349">
                  <c:v>Lvshui</c:v>
                </c:pt>
                <c:pt idx="350">
                  <c:v>Sabinas</c:v>
                </c:pt>
                <c:pt idx="351">
                  <c:v>Capela</c:v>
                </c:pt>
                <c:pt idx="352">
                  <c:v>Xinwang</c:v>
                </c:pt>
                <c:pt idx="353">
                  <c:v>Panagyurishte SX-EW</c:v>
                </c:pt>
                <c:pt idx="354">
                  <c:v>Wutongjing</c:v>
                </c:pt>
                <c:pt idx="355">
                  <c:v>Mission</c:v>
                </c:pt>
                <c:pt idx="356">
                  <c:v>Qiaoxiahala</c:v>
                </c:pt>
                <c:pt idx="357">
                  <c:v>Tongshankou</c:v>
                </c:pt>
                <c:pt idx="358">
                  <c:v>Panagyurishte Mining and Processing Complex</c:v>
                </c:pt>
                <c:pt idx="359">
                  <c:v>Dongtong</c:v>
                </c:pt>
                <c:pt idx="360">
                  <c:v>Morococha</c:v>
                </c:pt>
                <c:pt idx="361">
                  <c:v>Jiangjushuijin</c:v>
                </c:pt>
                <c:pt idx="362">
                  <c:v>Baiyin Shenbu</c:v>
                </c:pt>
                <c:pt idx="363">
                  <c:v>Shejiaao</c:v>
                </c:pt>
                <c:pt idx="364">
                  <c:v>Bairen</c:v>
                </c:pt>
                <c:pt idx="365">
                  <c:v>Shaxi</c:v>
                </c:pt>
                <c:pt idx="366">
                  <c:v>Jixing</c:v>
                </c:pt>
                <c:pt idx="367">
                  <c:v>Copper Mountain</c:v>
                </c:pt>
                <c:pt idx="368">
                  <c:v>Manitoba Division</c:v>
                </c:pt>
                <c:pt idx="369">
                  <c:v>El Valle</c:v>
                </c:pt>
                <c:pt idx="370">
                  <c:v>Baiyunshan</c:v>
                </c:pt>
                <c:pt idx="371">
                  <c:v>Shanjinhongling</c:v>
                </c:pt>
                <c:pt idx="372">
                  <c:v>Zihao</c:v>
                </c:pt>
                <c:pt idx="373">
                  <c:v>Bolivar</c:v>
                </c:pt>
                <c:pt idx="374">
                  <c:v>Yongping</c:v>
                </c:pt>
                <c:pt idx="375">
                  <c:v>Las Cruces</c:v>
                </c:pt>
                <c:pt idx="376">
                  <c:v>Jaguar</c:v>
                </c:pt>
                <c:pt idx="377">
                  <c:v>Ming</c:v>
                </c:pt>
                <c:pt idx="378">
                  <c:v>Tugenmansu</c:v>
                </c:pt>
                <c:pt idx="379">
                  <c:v>Yueshan</c:v>
                </c:pt>
                <c:pt idx="380">
                  <c:v>Shuangfo Second Conc. Plant</c:v>
                </c:pt>
                <c:pt idx="381">
                  <c:v>Dongjin</c:v>
                </c:pt>
                <c:pt idx="382">
                  <c:v>Heijing</c:v>
                </c:pt>
                <c:pt idx="383">
                  <c:v>Mount Carlton</c:v>
                </c:pt>
                <c:pt idx="384">
                  <c:v>Liwan</c:v>
                </c:pt>
                <c:pt idx="385">
                  <c:v>Shuangfo Conc. Plant</c:v>
                </c:pt>
                <c:pt idx="386">
                  <c:v>Laocun Hydrometallurgy Plant</c:v>
                </c:pt>
                <c:pt idx="387">
                  <c:v>Milpillas</c:v>
                </c:pt>
                <c:pt idx="388">
                  <c:v>Shizishan</c:v>
                </c:pt>
                <c:pt idx="389">
                  <c:v>Konkola</c:v>
                </c:pt>
                <c:pt idx="390">
                  <c:v>Hongwei</c:v>
                </c:pt>
                <c:pt idx="391">
                  <c:v>Mufulira SX-EW</c:v>
                </c:pt>
                <c:pt idx="392">
                  <c:v>Pinto Valley SX-EW</c:v>
                </c:pt>
                <c:pt idx="393">
                  <c:v>Nchanga SX-EW</c:v>
                </c:pt>
                <c:pt idx="394">
                  <c:v>Mutanda</c:v>
                </c:pt>
                <c:pt idx="395">
                  <c:v>Nchanga</c:v>
                </c:pt>
                <c:pt idx="396">
                  <c:v>Zijinshan SXEW</c:v>
                </c:pt>
                <c:pt idx="397">
                  <c:v>Maria</c:v>
                </c:pt>
                <c:pt idx="398">
                  <c:v>Baita Plai</c:v>
                </c:pt>
              </c:strCache>
            </c:strRef>
          </c:cat>
          <c:val>
            <c:numRef>
              <c:f>Data!$M$15:$M$413</c:f>
              <c:numCache>
                <c:formatCode>###,##0.00;\(###,##0.00\)</c:formatCode>
                <c:ptCount val="399"/>
                <c:pt idx="0">
                  <c:v>59.85</c:v>
                </c:pt>
                <c:pt idx="1">
                  <c:v>61.65</c:v>
                </c:pt>
                <c:pt idx="2">
                  <c:v>67.56</c:v>
                </c:pt>
                <c:pt idx="3">
                  <c:v>69.180000000000007</c:v>
                </c:pt>
                <c:pt idx="4">
                  <c:v>73.2</c:v>
                </c:pt>
                <c:pt idx="5">
                  <c:v>73.56</c:v>
                </c:pt>
                <c:pt idx="6">
                  <c:v>78.22</c:v>
                </c:pt>
                <c:pt idx="7">
                  <c:v>83.57</c:v>
                </c:pt>
                <c:pt idx="8">
                  <c:v>86.47</c:v>
                </c:pt>
                <c:pt idx="9">
                  <c:v>87.3</c:v>
                </c:pt>
                <c:pt idx="10">
                  <c:v>92.39</c:v>
                </c:pt>
                <c:pt idx="11">
                  <c:v>100.85</c:v>
                </c:pt>
                <c:pt idx="12">
                  <c:v>104.99</c:v>
                </c:pt>
                <c:pt idx="13">
                  <c:v>105.58</c:v>
                </c:pt>
                <c:pt idx="14">
                  <c:v>106.46</c:v>
                </c:pt>
                <c:pt idx="15">
                  <c:v>108.61</c:v>
                </c:pt>
                <c:pt idx="16">
                  <c:v>112.01</c:v>
                </c:pt>
                <c:pt idx="17">
                  <c:v>112.99</c:v>
                </c:pt>
                <c:pt idx="18">
                  <c:v>114</c:v>
                </c:pt>
                <c:pt idx="19">
                  <c:v>114.32</c:v>
                </c:pt>
                <c:pt idx="20">
                  <c:v>115.12</c:v>
                </c:pt>
                <c:pt idx="21">
                  <c:v>119.94</c:v>
                </c:pt>
                <c:pt idx="22">
                  <c:v>122.6</c:v>
                </c:pt>
                <c:pt idx="23">
                  <c:v>123.36</c:v>
                </c:pt>
                <c:pt idx="24">
                  <c:v>123.5</c:v>
                </c:pt>
                <c:pt idx="25">
                  <c:v>124.99</c:v>
                </c:pt>
                <c:pt idx="26">
                  <c:v>126.32</c:v>
                </c:pt>
                <c:pt idx="27">
                  <c:v>126.7</c:v>
                </c:pt>
                <c:pt idx="28">
                  <c:v>127.74</c:v>
                </c:pt>
                <c:pt idx="29">
                  <c:v>128.09</c:v>
                </c:pt>
                <c:pt idx="30">
                  <c:v>128.1</c:v>
                </c:pt>
                <c:pt idx="31">
                  <c:v>129.30000000000001</c:v>
                </c:pt>
                <c:pt idx="32">
                  <c:v>130.35</c:v>
                </c:pt>
                <c:pt idx="33">
                  <c:v>131.04</c:v>
                </c:pt>
                <c:pt idx="34">
                  <c:v>131.52000000000001</c:v>
                </c:pt>
                <c:pt idx="35">
                  <c:v>132.36000000000001</c:v>
                </c:pt>
                <c:pt idx="36">
                  <c:v>133.18</c:v>
                </c:pt>
                <c:pt idx="37">
                  <c:v>134.25</c:v>
                </c:pt>
                <c:pt idx="38">
                  <c:v>136.96</c:v>
                </c:pt>
                <c:pt idx="39">
                  <c:v>137.51</c:v>
                </c:pt>
                <c:pt idx="40">
                  <c:v>137.88</c:v>
                </c:pt>
                <c:pt idx="41">
                  <c:v>139.63</c:v>
                </c:pt>
                <c:pt idx="42">
                  <c:v>139.80000000000001</c:v>
                </c:pt>
                <c:pt idx="43">
                  <c:v>140.25</c:v>
                </c:pt>
                <c:pt idx="44">
                  <c:v>140.28</c:v>
                </c:pt>
                <c:pt idx="45">
                  <c:v>140.37</c:v>
                </c:pt>
                <c:pt idx="46">
                  <c:v>142.63999999999999</c:v>
                </c:pt>
                <c:pt idx="47">
                  <c:v>145.29</c:v>
                </c:pt>
                <c:pt idx="48">
                  <c:v>145.78</c:v>
                </c:pt>
                <c:pt idx="49">
                  <c:v>145.88999999999999</c:v>
                </c:pt>
                <c:pt idx="50">
                  <c:v>146.62</c:v>
                </c:pt>
                <c:pt idx="51">
                  <c:v>147.69</c:v>
                </c:pt>
                <c:pt idx="52">
                  <c:v>150</c:v>
                </c:pt>
                <c:pt idx="53">
                  <c:v>150.97</c:v>
                </c:pt>
                <c:pt idx="54">
                  <c:v>151.05000000000001</c:v>
                </c:pt>
                <c:pt idx="55">
                  <c:v>151.09</c:v>
                </c:pt>
                <c:pt idx="56">
                  <c:v>151.21</c:v>
                </c:pt>
                <c:pt idx="57">
                  <c:v>151.83000000000001</c:v>
                </c:pt>
                <c:pt idx="58">
                  <c:v>152.56</c:v>
                </c:pt>
                <c:pt idx="59">
                  <c:v>153.26</c:v>
                </c:pt>
                <c:pt idx="60">
                  <c:v>154.01</c:v>
                </c:pt>
                <c:pt idx="61">
                  <c:v>155.84</c:v>
                </c:pt>
                <c:pt idx="62">
                  <c:v>155.87</c:v>
                </c:pt>
                <c:pt idx="63">
                  <c:v>156.52000000000001</c:v>
                </c:pt>
                <c:pt idx="64">
                  <c:v>156.66</c:v>
                </c:pt>
                <c:pt idx="65">
                  <c:v>157.02000000000001</c:v>
                </c:pt>
                <c:pt idx="66">
                  <c:v>157.69</c:v>
                </c:pt>
                <c:pt idx="67">
                  <c:v>157.99</c:v>
                </c:pt>
                <c:pt idx="68">
                  <c:v>158.38999999999999</c:v>
                </c:pt>
                <c:pt idx="69">
                  <c:v>159.24</c:v>
                </c:pt>
                <c:pt idx="70">
                  <c:v>159.69999999999999</c:v>
                </c:pt>
                <c:pt idx="71">
                  <c:v>160.54</c:v>
                </c:pt>
                <c:pt idx="72">
                  <c:v>161.08000000000001</c:v>
                </c:pt>
                <c:pt idx="73">
                  <c:v>161.51</c:v>
                </c:pt>
                <c:pt idx="74">
                  <c:v>162.13999999999999</c:v>
                </c:pt>
                <c:pt idx="75">
                  <c:v>163.4</c:v>
                </c:pt>
                <c:pt idx="76">
                  <c:v>163.72999999999999</c:v>
                </c:pt>
                <c:pt idx="77">
                  <c:v>164.48</c:v>
                </c:pt>
                <c:pt idx="78">
                  <c:v>165.06</c:v>
                </c:pt>
                <c:pt idx="79">
                  <c:v>165.16</c:v>
                </c:pt>
                <c:pt idx="80">
                  <c:v>167.21</c:v>
                </c:pt>
                <c:pt idx="81">
                  <c:v>170.46</c:v>
                </c:pt>
                <c:pt idx="82">
                  <c:v>170.5</c:v>
                </c:pt>
                <c:pt idx="83">
                  <c:v>171.13</c:v>
                </c:pt>
                <c:pt idx="84">
                  <c:v>171.22</c:v>
                </c:pt>
                <c:pt idx="85">
                  <c:v>171.94</c:v>
                </c:pt>
                <c:pt idx="86">
                  <c:v>173.04</c:v>
                </c:pt>
                <c:pt idx="87">
                  <c:v>173.52</c:v>
                </c:pt>
                <c:pt idx="88">
                  <c:v>174.06</c:v>
                </c:pt>
                <c:pt idx="89">
                  <c:v>175.03</c:v>
                </c:pt>
                <c:pt idx="90">
                  <c:v>175.73</c:v>
                </c:pt>
                <c:pt idx="91">
                  <c:v>176.57</c:v>
                </c:pt>
                <c:pt idx="92">
                  <c:v>176.9</c:v>
                </c:pt>
                <c:pt idx="93">
                  <c:v>177</c:v>
                </c:pt>
                <c:pt idx="94">
                  <c:v>177.29</c:v>
                </c:pt>
                <c:pt idx="95">
                  <c:v>177.5</c:v>
                </c:pt>
                <c:pt idx="96">
                  <c:v>178.95</c:v>
                </c:pt>
                <c:pt idx="97">
                  <c:v>179.16</c:v>
                </c:pt>
                <c:pt idx="98">
                  <c:v>180.11</c:v>
                </c:pt>
                <c:pt idx="99">
                  <c:v>181.01</c:v>
                </c:pt>
                <c:pt idx="100">
                  <c:v>181.24</c:v>
                </c:pt>
                <c:pt idx="101">
                  <c:v>181.26</c:v>
                </c:pt>
                <c:pt idx="102">
                  <c:v>182.26</c:v>
                </c:pt>
                <c:pt idx="103">
                  <c:v>184.21</c:v>
                </c:pt>
                <c:pt idx="104">
                  <c:v>184.33</c:v>
                </c:pt>
                <c:pt idx="105">
                  <c:v>184.46</c:v>
                </c:pt>
                <c:pt idx="106">
                  <c:v>184.52</c:v>
                </c:pt>
                <c:pt idx="107">
                  <c:v>184.8</c:v>
                </c:pt>
                <c:pt idx="108">
                  <c:v>185.05</c:v>
                </c:pt>
                <c:pt idx="109">
                  <c:v>185.46</c:v>
                </c:pt>
                <c:pt idx="110">
                  <c:v>185.6</c:v>
                </c:pt>
                <c:pt idx="111">
                  <c:v>185.79</c:v>
                </c:pt>
                <c:pt idx="112">
                  <c:v>186.51</c:v>
                </c:pt>
                <c:pt idx="113">
                  <c:v>187.7</c:v>
                </c:pt>
                <c:pt idx="114">
                  <c:v>188.64</c:v>
                </c:pt>
                <c:pt idx="115">
                  <c:v>189.85</c:v>
                </c:pt>
                <c:pt idx="116">
                  <c:v>190.13</c:v>
                </c:pt>
                <c:pt idx="117">
                  <c:v>190.4</c:v>
                </c:pt>
                <c:pt idx="118">
                  <c:v>190.61</c:v>
                </c:pt>
                <c:pt idx="119">
                  <c:v>190.84</c:v>
                </c:pt>
                <c:pt idx="120">
                  <c:v>191.32</c:v>
                </c:pt>
                <c:pt idx="121">
                  <c:v>191.89</c:v>
                </c:pt>
                <c:pt idx="122">
                  <c:v>192.71</c:v>
                </c:pt>
                <c:pt idx="123">
                  <c:v>192.89</c:v>
                </c:pt>
                <c:pt idx="124">
                  <c:v>193.16</c:v>
                </c:pt>
                <c:pt idx="125">
                  <c:v>193.59</c:v>
                </c:pt>
                <c:pt idx="126">
                  <c:v>193.71</c:v>
                </c:pt>
                <c:pt idx="127">
                  <c:v>195.23</c:v>
                </c:pt>
                <c:pt idx="128">
                  <c:v>195.35</c:v>
                </c:pt>
                <c:pt idx="129">
                  <c:v>195.81</c:v>
                </c:pt>
                <c:pt idx="130">
                  <c:v>195.97</c:v>
                </c:pt>
                <c:pt idx="131">
                  <c:v>197.1</c:v>
                </c:pt>
                <c:pt idx="132">
                  <c:v>197.28</c:v>
                </c:pt>
                <c:pt idx="133">
                  <c:v>197.61</c:v>
                </c:pt>
                <c:pt idx="134">
                  <c:v>198.13</c:v>
                </c:pt>
                <c:pt idx="135">
                  <c:v>200.25</c:v>
                </c:pt>
                <c:pt idx="136">
                  <c:v>200.36</c:v>
                </c:pt>
                <c:pt idx="137">
                  <c:v>201.77</c:v>
                </c:pt>
                <c:pt idx="138">
                  <c:v>202.48</c:v>
                </c:pt>
                <c:pt idx="139">
                  <c:v>203.02</c:v>
                </c:pt>
                <c:pt idx="140">
                  <c:v>203.55</c:v>
                </c:pt>
                <c:pt idx="141">
                  <c:v>204.58</c:v>
                </c:pt>
                <c:pt idx="142">
                  <c:v>204.91</c:v>
                </c:pt>
                <c:pt idx="143">
                  <c:v>205.16</c:v>
                </c:pt>
                <c:pt idx="144">
                  <c:v>205.17</c:v>
                </c:pt>
                <c:pt idx="145">
                  <c:v>205.35</c:v>
                </c:pt>
                <c:pt idx="146">
                  <c:v>205.51</c:v>
                </c:pt>
                <c:pt idx="147">
                  <c:v>205.72</c:v>
                </c:pt>
                <c:pt idx="148">
                  <c:v>206.09</c:v>
                </c:pt>
                <c:pt idx="149">
                  <c:v>208.49</c:v>
                </c:pt>
                <c:pt idx="150">
                  <c:v>208.92</c:v>
                </c:pt>
                <c:pt idx="151">
                  <c:v>209.01</c:v>
                </c:pt>
                <c:pt idx="152">
                  <c:v>209.12</c:v>
                </c:pt>
                <c:pt idx="153">
                  <c:v>209.74</c:v>
                </c:pt>
                <c:pt idx="154">
                  <c:v>210.39</c:v>
                </c:pt>
                <c:pt idx="155">
                  <c:v>210.87</c:v>
                </c:pt>
                <c:pt idx="156">
                  <c:v>211.52</c:v>
                </c:pt>
                <c:pt idx="157">
                  <c:v>211.57</c:v>
                </c:pt>
                <c:pt idx="158">
                  <c:v>211.91</c:v>
                </c:pt>
                <c:pt idx="159">
                  <c:v>212.27</c:v>
                </c:pt>
                <c:pt idx="160">
                  <c:v>212.57</c:v>
                </c:pt>
                <c:pt idx="161">
                  <c:v>212.85</c:v>
                </c:pt>
                <c:pt idx="162">
                  <c:v>212.89</c:v>
                </c:pt>
                <c:pt idx="163">
                  <c:v>213.14</c:v>
                </c:pt>
                <c:pt idx="164">
                  <c:v>214.1</c:v>
                </c:pt>
                <c:pt idx="165">
                  <c:v>214.45</c:v>
                </c:pt>
                <c:pt idx="166">
                  <c:v>214.67</c:v>
                </c:pt>
                <c:pt idx="167">
                  <c:v>215.64</c:v>
                </c:pt>
                <c:pt idx="168">
                  <c:v>217.52</c:v>
                </c:pt>
                <c:pt idx="169">
                  <c:v>218.08</c:v>
                </c:pt>
                <c:pt idx="170">
                  <c:v>218.46</c:v>
                </c:pt>
                <c:pt idx="171">
                  <c:v>218.47</c:v>
                </c:pt>
                <c:pt idx="172">
                  <c:v>218.7</c:v>
                </c:pt>
                <c:pt idx="173">
                  <c:v>220.56</c:v>
                </c:pt>
                <c:pt idx="174">
                  <c:v>221.22</c:v>
                </c:pt>
                <c:pt idx="175">
                  <c:v>221.67</c:v>
                </c:pt>
                <c:pt idx="176">
                  <c:v>222.42</c:v>
                </c:pt>
                <c:pt idx="177">
                  <c:v>222.5</c:v>
                </c:pt>
                <c:pt idx="178">
                  <c:v>222.6</c:v>
                </c:pt>
                <c:pt idx="179">
                  <c:v>222.74</c:v>
                </c:pt>
                <c:pt idx="180">
                  <c:v>223.59</c:v>
                </c:pt>
                <c:pt idx="181">
                  <c:v>223.6</c:v>
                </c:pt>
                <c:pt idx="182">
                  <c:v>223.81</c:v>
                </c:pt>
                <c:pt idx="183">
                  <c:v>225</c:v>
                </c:pt>
                <c:pt idx="184">
                  <c:v>225.18</c:v>
                </c:pt>
                <c:pt idx="185">
                  <c:v>225.38</c:v>
                </c:pt>
                <c:pt idx="186">
                  <c:v>225.65</c:v>
                </c:pt>
                <c:pt idx="187">
                  <c:v>226</c:v>
                </c:pt>
                <c:pt idx="188">
                  <c:v>227.83</c:v>
                </c:pt>
                <c:pt idx="189">
                  <c:v>228.65</c:v>
                </c:pt>
                <c:pt idx="190">
                  <c:v>229.74</c:v>
                </c:pt>
                <c:pt idx="191">
                  <c:v>230.59</c:v>
                </c:pt>
                <c:pt idx="192">
                  <c:v>230.59</c:v>
                </c:pt>
                <c:pt idx="193">
                  <c:v>230.67</c:v>
                </c:pt>
                <c:pt idx="194">
                  <c:v>230.69</c:v>
                </c:pt>
                <c:pt idx="195">
                  <c:v>232.2</c:v>
                </c:pt>
                <c:pt idx="196">
                  <c:v>232.73</c:v>
                </c:pt>
                <c:pt idx="197">
                  <c:v>232.85</c:v>
                </c:pt>
                <c:pt idx="198">
                  <c:v>233.11</c:v>
                </c:pt>
                <c:pt idx="199">
                  <c:v>234.16</c:v>
                </c:pt>
                <c:pt idx="200">
                  <c:v>234.32</c:v>
                </c:pt>
                <c:pt idx="201">
                  <c:v>234.91</c:v>
                </c:pt>
                <c:pt idx="202">
                  <c:v>235.08</c:v>
                </c:pt>
                <c:pt idx="203">
                  <c:v>235.44</c:v>
                </c:pt>
                <c:pt idx="204">
                  <c:v>235.68</c:v>
                </c:pt>
                <c:pt idx="205">
                  <c:v>235.95</c:v>
                </c:pt>
                <c:pt idx="206">
                  <c:v>238.76</c:v>
                </c:pt>
                <c:pt idx="207">
                  <c:v>238.76</c:v>
                </c:pt>
                <c:pt idx="208">
                  <c:v>239.17</c:v>
                </c:pt>
                <c:pt idx="209">
                  <c:v>239.52</c:v>
                </c:pt>
                <c:pt idx="210">
                  <c:v>240.02</c:v>
                </c:pt>
                <c:pt idx="211">
                  <c:v>240.14</c:v>
                </c:pt>
                <c:pt idx="212">
                  <c:v>240.72</c:v>
                </c:pt>
                <c:pt idx="213">
                  <c:v>241.4</c:v>
                </c:pt>
                <c:pt idx="214">
                  <c:v>241.44</c:v>
                </c:pt>
                <c:pt idx="215">
                  <c:v>241.55</c:v>
                </c:pt>
                <c:pt idx="216">
                  <c:v>241.64</c:v>
                </c:pt>
                <c:pt idx="217">
                  <c:v>241.85</c:v>
                </c:pt>
                <c:pt idx="218">
                  <c:v>242.14</c:v>
                </c:pt>
                <c:pt idx="219">
                  <c:v>242.74</c:v>
                </c:pt>
                <c:pt idx="220">
                  <c:v>242.77</c:v>
                </c:pt>
                <c:pt idx="221">
                  <c:v>242.78</c:v>
                </c:pt>
                <c:pt idx="222">
                  <c:v>244.32</c:v>
                </c:pt>
                <c:pt idx="223">
                  <c:v>244.45</c:v>
                </c:pt>
                <c:pt idx="224">
                  <c:v>246.79</c:v>
                </c:pt>
                <c:pt idx="225">
                  <c:v>247.81</c:v>
                </c:pt>
                <c:pt idx="226">
                  <c:v>247.96</c:v>
                </c:pt>
                <c:pt idx="227">
                  <c:v>248.8</c:v>
                </c:pt>
                <c:pt idx="228">
                  <c:v>249.83</c:v>
                </c:pt>
                <c:pt idx="229">
                  <c:v>250.1</c:v>
                </c:pt>
                <c:pt idx="230">
                  <c:v>250.2</c:v>
                </c:pt>
                <c:pt idx="231">
                  <c:v>250.46</c:v>
                </c:pt>
                <c:pt idx="232">
                  <c:v>250.5</c:v>
                </c:pt>
                <c:pt idx="233">
                  <c:v>250.93</c:v>
                </c:pt>
                <c:pt idx="234">
                  <c:v>250.94</c:v>
                </c:pt>
                <c:pt idx="235">
                  <c:v>252.34</c:v>
                </c:pt>
                <c:pt idx="236">
                  <c:v>252.65</c:v>
                </c:pt>
                <c:pt idx="237">
                  <c:v>252.76</c:v>
                </c:pt>
                <c:pt idx="238">
                  <c:v>253.62</c:v>
                </c:pt>
                <c:pt idx="239">
                  <c:v>254.13</c:v>
                </c:pt>
                <c:pt idx="240">
                  <c:v>254.88</c:v>
                </c:pt>
                <c:pt idx="241">
                  <c:v>255.74</c:v>
                </c:pt>
                <c:pt idx="242">
                  <c:v>256.61</c:v>
                </c:pt>
                <c:pt idx="243">
                  <c:v>257.89</c:v>
                </c:pt>
                <c:pt idx="244">
                  <c:v>259.61</c:v>
                </c:pt>
                <c:pt idx="245">
                  <c:v>259.83</c:v>
                </c:pt>
                <c:pt idx="246">
                  <c:v>260.08</c:v>
                </c:pt>
                <c:pt idx="247">
                  <c:v>261.04000000000002</c:v>
                </c:pt>
                <c:pt idx="248">
                  <c:v>261.10000000000002</c:v>
                </c:pt>
                <c:pt idx="249">
                  <c:v>261.12</c:v>
                </c:pt>
                <c:pt idx="250">
                  <c:v>261.45</c:v>
                </c:pt>
                <c:pt idx="251">
                  <c:v>261.63</c:v>
                </c:pt>
                <c:pt idx="252">
                  <c:v>262.35000000000002</c:v>
                </c:pt>
                <c:pt idx="253">
                  <c:v>262.72000000000003</c:v>
                </c:pt>
                <c:pt idx="254">
                  <c:v>262.73</c:v>
                </c:pt>
                <c:pt idx="255">
                  <c:v>263.39</c:v>
                </c:pt>
                <c:pt idx="256">
                  <c:v>266.60000000000002</c:v>
                </c:pt>
                <c:pt idx="257">
                  <c:v>267.74</c:v>
                </c:pt>
                <c:pt idx="258">
                  <c:v>268.36</c:v>
                </c:pt>
                <c:pt idx="259">
                  <c:v>270.26</c:v>
                </c:pt>
                <c:pt idx="260">
                  <c:v>270.33999999999997</c:v>
                </c:pt>
                <c:pt idx="261">
                  <c:v>270.83999999999997</c:v>
                </c:pt>
                <c:pt idx="262">
                  <c:v>271.04000000000002</c:v>
                </c:pt>
                <c:pt idx="263">
                  <c:v>271.04000000000002</c:v>
                </c:pt>
                <c:pt idx="264">
                  <c:v>271.04000000000002</c:v>
                </c:pt>
                <c:pt idx="265">
                  <c:v>271.97000000000003</c:v>
                </c:pt>
                <c:pt idx="266">
                  <c:v>273.55</c:v>
                </c:pt>
                <c:pt idx="267">
                  <c:v>274.35000000000002</c:v>
                </c:pt>
                <c:pt idx="268">
                  <c:v>276.18</c:v>
                </c:pt>
                <c:pt idx="269">
                  <c:v>276.83</c:v>
                </c:pt>
                <c:pt idx="270">
                  <c:v>276.88</c:v>
                </c:pt>
                <c:pt idx="271">
                  <c:v>277.39</c:v>
                </c:pt>
                <c:pt idx="272">
                  <c:v>280.2</c:v>
                </c:pt>
                <c:pt idx="273">
                  <c:v>281.19</c:v>
                </c:pt>
                <c:pt idx="274">
                  <c:v>281.77999999999997</c:v>
                </c:pt>
                <c:pt idx="275">
                  <c:v>281.89999999999998</c:v>
                </c:pt>
                <c:pt idx="276">
                  <c:v>281.99</c:v>
                </c:pt>
                <c:pt idx="277">
                  <c:v>282</c:v>
                </c:pt>
                <c:pt idx="278">
                  <c:v>283.08999999999997</c:v>
                </c:pt>
                <c:pt idx="279">
                  <c:v>284.67</c:v>
                </c:pt>
                <c:pt idx="280">
                  <c:v>284.72000000000003</c:v>
                </c:pt>
                <c:pt idx="281">
                  <c:v>286.16000000000003</c:v>
                </c:pt>
                <c:pt idx="282">
                  <c:v>286.54000000000002</c:v>
                </c:pt>
                <c:pt idx="283">
                  <c:v>286.66000000000003</c:v>
                </c:pt>
                <c:pt idx="284">
                  <c:v>287.08999999999997</c:v>
                </c:pt>
                <c:pt idx="285">
                  <c:v>287.88</c:v>
                </c:pt>
                <c:pt idx="286">
                  <c:v>288.64</c:v>
                </c:pt>
                <c:pt idx="287">
                  <c:v>288.99</c:v>
                </c:pt>
                <c:pt idx="288">
                  <c:v>290</c:v>
                </c:pt>
                <c:pt idx="289">
                  <c:v>290.13</c:v>
                </c:pt>
                <c:pt idx="290">
                  <c:v>290.18</c:v>
                </c:pt>
                <c:pt idx="291">
                  <c:v>290.48</c:v>
                </c:pt>
                <c:pt idx="292">
                  <c:v>290.58999999999997</c:v>
                </c:pt>
                <c:pt idx="293">
                  <c:v>290.98</c:v>
                </c:pt>
                <c:pt idx="294">
                  <c:v>291.8</c:v>
                </c:pt>
                <c:pt idx="295">
                  <c:v>292.37</c:v>
                </c:pt>
                <c:pt idx="296">
                  <c:v>293.02</c:v>
                </c:pt>
                <c:pt idx="297">
                  <c:v>293.75</c:v>
                </c:pt>
                <c:pt idx="298">
                  <c:v>295.11</c:v>
                </c:pt>
                <c:pt idx="299">
                  <c:v>295.52999999999997</c:v>
                </c:pt>
                <c:pt idx="300">
                  <c:v>296.77999999999997</c:v>
                </c:pt>
                <c:pt idx="301">
                  <c:v>297.05</c:v>
                </c:pt>
                <c:pt idx="302">
                  <c:v>297.68</c:v>
                </c:pt>
                <c:pt idx="303">
                  <c:v>297.81</c:v>
                </c:pt>
                <c:pt idx="304">
                  <c:v>299.17</c:v>
                </c:pt>
                <c:pt idx="305">
                  <c:v>300.42</c:v>
                </c:pt>
                <c:pt idx="306">
                  <c:v>301.41000000000003</c:v>
                </c:pt>
                <c:pt idx="307">
                  <c:v>303.64999999999998</c:v>
                </c:pt>
                <c:pt idx="308">
                  <c:v>304.38</c:v>
                </c:pt>
                <c:pt idx="309">
                  <c:v>305</c:v>
                </c:pt>
                <c:pt idx="310">
                  <c:v>305.56</c:v>
                </c:pt>
                <c:pt idx="311">
                  <c:v>306.43</c:v>
                </c:pt>
                <c:pt idx="312">
                  <c:v>307.52999999999997</c:v>
                </c:pt>
                <c:pt idx="313">
                  <c:v>310</c:v>
                </c:pt>
                <c:pt idx="314">
                  <c:v>310.45999999999998</c:v>
                </c:pt>
                <c:pt idx="315">
                  <c:v>310.93</c:v>
                </c:pt>
                <c:pt idx="316">
                  <c:v>311.8</c:v>
                </c:pt>
                <c:pt idx="317">
                  <c:v>312.58999999999997</c:v>
                </c:pt>
                <c:pt idx="318">
                  <c:v>313.36</c:v>
                </c:pt>
                <c:pt idx="319">
                  <c:v>313.88</c:v>
                </c:pt>
                <c:pt idx="320">
                  <c:v>314.38</c:v>
                </c:pt>
                <c:pt idx="321">
                  <c:v>316.33999999999997</c:v>
                </c:pt>
                <c:pt idx="322">
                  <c:v>317.72000000000003</c:v>
                </c:pt>
                <c:pt idx="323">
                  <c:v>318.73</c:v>
                </c:pt>
                <c:pt idx="324">
                  <c:v>319.2</c:v>
                </c:pt>
                <c:pt idx="325">
                  <c:v>320.81</c:v>
                </c:pt>
                <c:pt idx="326">
                  <c:v>320.94</c:v>
                </c:pt>
                <c:pt idx="327">
                  <c:v>321.51</c:v>
                </c:pt>
                <c:pt idx="328">
                  <c:v>322.20999999999998</c:v>
                </c:pt>
                <c:pt idx="329">
                  <c:v>325.14</c:v>
                </c:pt>
                <c:pt idx="330">
                  <c:v>327.32</c:v>
                </c:pt>
                <c:pt idx="331">
                  <c:v>328.09</c:v>
                </c:pt>
                <c:pt idx="332">
                  <c:v>329.59</c:v>
                </c:pt>
                <c:pt idx="333">
                  <c:v>329.72</c:v>
                </c:pt>
                <c:pt idx="334">
                  <c:v>331.91</c:v>
                </c:pt>
                <c:pt idx="335">
                  <c:v>334</c:v>
                </c:pt>
                <c:pt idx="336">
                  <c:v>334.52</c:v>
                </c:pt>
                <c:pt idx="337">
                  <c:v>334.77</c:v>
                </c:pt>
                <c:pt idx="338">
                  <c:v>337.11</c:v>
                </c:pt>
                <c:pt idx="339">
                  <c:v>340.64</c:v>
                </c:pt>
                <c:pt idx="340">
                  <c:v>341.4</c:v>
                </c:pt>
                <c:pt idx="341">
                  <c:v>341.59</c:v>
                </c:pt>
                <c:pt idx="342">
                  <c:v>341.66</c:v>
                </c:pt>
                <c:pt idx="343">
                  <c:v>343.57</c:v>
                </c:pt>
                <c:pt idx="344">
                  <c:v>344.5</c:v>
                </c:pt>
                <c:pt idx="345">
                  <c:v>345.4</c:v>
                </c:pt>
                <c:pt idx="346">
                  <c:v>347.68</c:v>
                </c:pt>
                <c:pt idx="347">
                  <c:v>347.98</c:v>
                </c:pt>
                <c:pt idx="348">
                  <c:v>348.46</c:v>
                </c:pt>
                <c:pt idx="349">
                  <c:v>351.36</c:v>
                </c:pt>
                <c:pt idx="350">
                  <c:v>354.73</c:v>
                </c:pt>
                <c:pt idx="351">
                  <c:v>354.73</c:v>
                </c:pt>
                <c:pt idx="352">
                  <c:v>355.01</c:v>
                </c:pt>
                <c:pt idx="353">
                  <c:v>355.54</c:v>
                </c:pt>
                <c:pt idx="354">
                  <c:v>355.78</c:v>
                </c:pt>
                <c:pt idx="355">
                  <c:v>356.71</c:v>
                </c:pt>
                <c:pt idx="356">
                  <c:v>357.58</c:v>
                </c:pt>
                <c:pt idx="357">
                  <c:v>357.79</c:v>
                </c:pt>
                <c:pt idx="358">
                  <c:v>358.75</c:v>
                </c:pt>
                <c:pt idx="359">
                  <c:v>358.84</c:v>
                </c:pt>
                <c:pt idx="360">
                  <c:v>360.87</c:v>
                </c:pt>
                <c:pt idx="361">
                  <c:v>367.76</c:v>
                </c:pt>
                <c:pt idx="362">
                  <c:v>368.99</c:v>
                </c:pt>
                <c:pt idx="363">
                  <c:v>370.68</c:v>
                </c:pt>
                <c:pt idx="364">
                  <c:v>373.35</c:v>
                </c:pt>
                <c:pt idx="365">
                  <c:v>374.57</c:v>
                </c:pt>
                <c:pt idx="366">
                  <c:v>374.88</c:v>
                </c:pt>
                <c:pt idx="367">
                  <c:v>375.6</c:v>
                </c:pt>
                <c:pt idx="368">
                  <c:v>383.17</c:v>
                </c:pt>
                <c:pt idx="369">
                  <c:v>383.53</c:v>
                </c:pt>
                <c:pt idx="370">
                  <c:v>384.42</c:v>
                </c:pt>
                <c:pt idx="371">
                  <c:v>394.56</c:v>
                </c:pt>
                <c:pt idx="372">
                  <c:v>400.57</c:v>
                </c:pt>
                <c:pt idx="373">
                  <c:v>400.92</c:v>
                </c:pt>
                <c:pt idx="374">
                  <c:v>402.18</c:v>
                </c:pt>
                <c:pt idx="375">
                  <c:v>409.75</c:v>
                </c:pt>
                <c:pt idx="376">
                  <c:v>411.3</c:v>
                </c:pt>
                <c:pt idx="377">
                  <c:v>414.87</c:v>
                </c:pt>
                <c:pt idx="378">
                  <c:v>420.01</c:v>
                </c:pt>
                <c:pt idx="379">
                  <c:v>421.15</c:v>
                </c:pt>
                <c:pt idx="380">
                  <c:v>424.41</c:v>
                </c:pt>
                <c:pt idx="381">
                  <c:v>425.41</c:v>
                </c:pt>
                <c:pt idx="382">
                  <c:v>427.08</c:v>
                </c:pt>
                <c:pt idx="383">
                  <c:v>437.25</c:v>
                </c:pt>
                <c:pt idx="384">
                  <c:v>443.71</c:v>
                </c:pt>
                <c:pt idx="385">
                  <c:v>450.84</c:v>
                </c:pt>
                <c:pt idx="386">
                  <c:v>458.98</c:v>
                </c:pt>
                <c:pt idx="387">
                  <c:v>474.68</c:v>
                </c:pt>
                <c:pt idx="388">
                  <c:v>479.86</c:v>
                </c:pt>
                <c:pt idx="389">
                  <c:v>486.32</c:v>
                </c:pt>
                <c:pt idx="390">
                  <c:v>499.99</c:v>
                </c:pt>
                <c:pt idx="391">
                  <c:v>534.66999999999996</c:v>
                </c:pt>
                <c:pt idx="392">
                  <c:v>546.79</c:v>
                </c:pt>
                <c:pt idx="393">
                  <c:v>549.66999999999996</c:v>
                </c:pt>
                <c:pt idx="394">
                  <c:v>557.27</c:v>
                </c:pt>
                <c:pt idx="395">
                  <c:v>622.95000000000005</c:v>
                </c:pt>
                <c:pt idx="396">
                  <c:v>650.12</c:v>
                </c:pt>
                <c:pt idx="397">
                  <c:v>968.46</c:v>
                </c:pt>
                <c:pt idx="398">
                  <c:v>1256.73</c:v>
                </c:pt>
              </c:numCache>
            </c:numRef>
          </c:val>
          <c:extLst>
            <c:ext xmlns:c16="http://schemas.microsoft.com/office/drawing/2014/chart" uri="{C3380CC4-5D6E-409C-BE32-E72D297353CC}">
              <c16:uniqueId val="{00000002-FC9A-4BDB-A681-6184A7E2DF7C}"/>
            </c:ext>
          </c:extLst>
        </c:ser>
        <c:dLbls>
          <c:showLegendKey val="0"/>
          <c:showVal val="0"/>
          <c:showCatName val="0"/>
          <c:showSerName val="0"/>
          <c:showPercent val="0"/>
          <c:showBubbleSize val="0"/>
        </c:dLbls>
        <c:gapWidth val="150"/>
        <c:overlap val="100"/>
        <c:axId val="137070464"/>
        <c:axId val="137070944"/>
      </c:barChart>
      <c:catAx>
        <c:axId val="137070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70944"/>
        <c:crosses val="autoZero"/>
        <c:auto val="1"/>
        <c:lblAlgn val="ctr"/>
        <c:lblOffset val="100"/>
        <c:noMultiLvlLbl val="0"/>
      </c:catAx>
      <c:valAx>
        <c:axId val="137070944"/>
        <c:scaling>
          <c:orientation val="minMax"/>
        </c:scaling>
        <c:delete val="0"/>
        <c:axPos val="b"/>
        <c:majorGridlines>
          <c:spPr>
            <a:ln w="9525" cap="flat" cmpd="sng" algn="ctr">
              <a:solidFill>
                <a:schemeClr val="tx1">
                  <a:lumMod val="15000"/>
                  <a:lumOff val="85000"/>
                </a:schemeClr>
              </a:solidFill>
              <a:round/>
            </a:ln>
            <a:effectLst/>
          </c:spPr>
        </c:majorGridlines>
        <c:numFmt formatCode="#,##0.0_);\(#,##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70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oneCellAnchor>
    <xdr:from>
      <xdr:col>0</xdr:col>
      <xdr:colOff>0</xdr:colOff>
      <xdr:row>10</xdr:row>
      <xdr:rowOff>0</xdr:rowOff>
    </xdr:from>
    <xdr:ext cx="9286875" cy="5572125"/>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2409825"/>
          <a:ext cx="9286875" cy="557212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twoCellAnchor>
    <xdr:from>
      <xdr:col>18</xdr:col>
      <xdr:colOff>489857</xdr:colOff>
      <xdr:row>0</xdr:row>
      <xdr:rowOff>0</xdr:rowOff>
    </xdr:from>
    <xdr:to>
      <xdr:col>33</xdr:col>
      <xdr:colOff>292100</xdr:colOff>
      <xdr:row>20</xdr:row>
      <xdr:rowOff>108857</xdr:rowOff>
    </xdr:to>
    <xdr:graphicFrame macro="">
      <xdr:nvGraphicFramePr>
        <xdr:cNvPr id="4" name="Chart 3">
          <a:extLst>
            <a:ext uri="{FF2B5EF4-FFF2-40B4-BE49-F238E27FC236}">
              <a16:creationId xmlns:a16="http://schemas.microsoft.com/office/drawing/2014/main" id="{6ED3E0B2-653D-1540-4E26-D954632EB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9"/>
  <sheetViews>
    <sheetView workbookViewId="0">
      <selection sqref="A1:D1"/>
    </sheetView>
  </sheetViews>
  <sheetFormatPr defaultRowHeight="14.5" x14ac:dyDescent="0.35"/>
  <cols>
    <col min="1" max="1" width="48.54296875" customWidth="1"/>
  </cols>
  <sheetData>
    <row r="1" spans="1:12" ht="40" customHeight="1" x14ac:dyDescent="0.35">
      <c r="A1" s="7"/>
      <c r="B1" s="7"/>
      <c r="C1" s="7"/>
      <c r="D1" s="7"/>
    </row>
    <row r="2" spans="1:12" ht="30" customHeight="1" x14ac:dyDescent="0.45">
      <c r="A2" s="8" t="s">
        <v>8</v>
      </c>
      <c r="B2" s="9"/>
      <c r="C2" s="9"/>
      <c r="D2" s="9"/>
      <c r="E2" s="9"/>
      <c r="F2" s="9"/>
      <c r="G2" s="9"/>
      <c r="H2" s="9"/>
      <c r="I2" s="9"/>
      <c r="J2" s="9"/>
      <c r="K2" s="9"/>
      <c r="L2" s="9"/>
    </row>
    <row r="3" spans="1:12" x14ac:dyDescent="0.35">
      <c r="A3" s="6" t="s">
        <v>0</v>
      </c>
      <c r="B3" s="6"/>
      <c r="C3" s="6"/>
      <c r="D3" s="6"/>
    </row>
    <row r="4" spans="1:12" x14ac:dyDescent="0.35">
      <c r="A4" s="11" t="s">
        <v>1</v>
      </c>
    </row>
    <row r="5" spans="1:12" x14ac:dyDescent="0.35">
      <c r="A5" s="11" t="s">
        <v>2</v>
      </c>
    </row>
    <row r="6" spans="1:12" x14ac:dyDescent="0.35">
      <c r="A6" s="11" t="s">
        <v>3</v>
      </c>
    </row>
    <row r="7" spans="1:12" x14ac:dyDescent="0.35">
      <c r="A7" s="11" t="s">
        <v>4</v>
      </c>
    </row>
    <row r="8" spans="1:12" x14ac:dyDescent="0.35">
      <c r="A8" s="11" t="s">
        <v>5</v>
      </c>
    </row>
    <row r="9" spans="1:12" x14ac:dyDescent="0.35">
      <c r="A9" s="11" t="s">
        <v>6</v>
      </c>
    </row>
    <row r="10" spans="1:12" x14ac:dyDescent="0.35">
      <c r="A10" s="11"/>
    </row>
    <row r="11" spans="1:12" x14ac:dyDescent="0.35">
      <c r="A11" s="11"/>
    </row>
    <row r="12" spans="1:12" x14ac:dyDescent="0.35">
      <c r="A12" s="11"/>
    </row>
    <row r="13" spans="1:12" x14ac:dyDescent="0.35">
      <c r="A13" s="11"/>
    </row>
    <row r="14" spans="1:12" x14ac:dyDescent="0.35">
      <c r="A14" s="11"/>
    </row>
    <row r="15" spans="1:12" x14ac:dyDescent="0.35">
      <c r="A15" s="11"/>
    </row>
    <row r="16" spans="1:12" x14ac:dyDescent="0.35">
      <c r="A16" s="11"/>
    </row>
    <row r="17" spans="1:1" x14ac:dyDescent="0.35">
      <c r="A17" s="11"/>
    </row>
    <row r="18" spans="1:1" x14ac:dyDescent="0.35">
      <c r="A18" s="11"/>
    </row>
    <row r="19" spans="1:1" x14ac:dyDescent="0.35">
      <c r="A19" s="11"/>
    </row>
    <row r="20" spans="1:1" x14ac:dyDescent="0.35">
      <c r="A20" s="11"/>
    </row>
    <row r="21" spans="1:1" x14ac:dyDescent="0.35">
      <c r="A21" s="11"/>
    </row>
    <row r="22" spans="1:1" x14ac:dyDescent="0.35">
      <c r="A22" s="11"/>
    </row>
    <row r="23" spans="1:1" x14ac:dyDescent="0.35">
      <c r="A23" s="11"/>
    </row>
    <row r="24" spans="1:1" x14ac:dyDescent="0.35">
      <c r="A24" s="11"/>
    </row>
    <row r="25" spans="1:1" x14ac:dyDescent="0.35">
      <c r="A25" s="11"/>
    </row>
    <row r="26" spans="1:1" x14ac:dyDescent="0.35">
      <c r="A26" s="11"/>
    </row>
    <row r="27" spans="1:1" x14ac:dyDescent="0.35">
      <c r="A27" s="11"/>
    </row>
    <row r="28" spans="1:1" x14ac:dyDescent="0.35">
      <c r="A28" s="11"/>
    </row>
    <row r="29" spans="1:1" x14ac:dyDescent="0.35">
      <c r="A29" s="11"/>
    </row>
    <row r="30" spans="1:1" x14ac:dyDescent="0.35">
      <c r="A30" s="11"/>
    </row>
    <row r="31" spans="1:1" x14ac:dyDescent="0.35">
      <c r="A31" s="11"/>
    </row>
    <row r="32" spans="1:1" x14ac:dyDescent="0.35">
      <c r="A32" s="11"/>
    </row>
    <row r="33" spans="1:15" x14ac:dyDescent="0.35">
      <c r="A33" s="11"/>
    </row>
    <row r="34" spans="1:15" x14ac:dyDescent="0.35">
      <c r="A34" s="11"/>
    </row>
    <row r="35" spans="1:15" x14ac:dyDescent="0.35">
      <c r="A35" s="11"/>
    </row>
    <row r="36" spans="1:15" x14ac:dyDescent="0.35">
      <c r="A36" s="11"/>
    </row>
    <row r="37" spans="1:15" x14ac:dyDescent="0.35">
      <c r="A37" s="11"/>
    </row>
    <row r="38" spans="1:15" x14ac:dyDescent="0.35">
      <c r="A38" s="11"/>
    </row>
    <row r="39" spans="1:15" x14ac:dyDescent="0.35">
      <c r="A39" s="11"/>
    </row>
    <row r="40" spans="1:15" x14ac:dyDescent="0.35">
      <c r="A40" s="11"/>
    </row>
    <row r="41" spans="1:15" x14ac:dyDescent="0.35">
      <c r="A41" s="11"/>
    </row>
    <row r="42" spans="1:15" x14ac:dyDescent="0.35">
      <c r="A42" s="11"/>
    </row>
    <row r="43" spans="1:15" x14ac:dyDescent="0.35">
      <c r="A43" s="11"/>
    </row>
    <row r="44" spans="1:15" x14ac:dyDescent="0.35">
      <c r="A44" s="11"/>
    </row>
    <row r="45" spans="1:15" x14ac:dyDescent="0.35">
      <c r="A45" s="11"/>
    </row>
    <row r="46" spans="1:15" x14ac:dyDescent="0.35">
      <c r="A46" s="11"/>
    </row>
    <row r="47" spans="1:15" x14ac:dyDescent="0.35">
      <c r="A47" s="5" t="s">
        <v>7</v>
      </c>
      <c r="B47" s="5"/>
      <c r="C47" s="5"/>
      <c r="D47" s="5"/>
      <c r="E47" s="5"/>
      <c r="F47" s="5"/>
      <c r="G47" s="5"/>
      <c r="H47" s="5"/>
      <c r="I47" s="5"/>
      <c r="J47" s="5"/>
      <c r="K47" s="5"/>
      <c r="L47" s="5"/>
      <c r="M47" s="5"/>
      <c r="N47" s="5"/>
      <c r="O47" s="5"/>
    </row>
    <row r="48" spans="1:15" x14ac:dyDescent="0.35">
      <c r="A48" s="5"/>
      <c r="B48" s="5"/>
      <c r="C48" s="5"/>
      <c r="D48" s="5"/>
      <c r="E48" s="5"/>
      <c r="F48" s="5"/>
      <c r="G48" s="5"/>
      <c r="H48" s="5"/>
      <c r="I48" s="5"/>
      <c r="J48" s="5"/>
      <c r="K48" s="5"/>
      <c r="L48" s="5"/>
      <c r="M48" s="5"/>
      <c r="N48" s="5"/>
      <c r="O48" s="5"/>
    </row>
    <row r="49" spans="1:15" x14ac:dyDescent="0.35">
      <c r="A49" s="5"/>
      <c r="B49" s="5"/>
      <c r="C49" s="5"/>
      <c r="D49" s="5"/>
      <c r="E49" s="5"/>
      <c r="F49" s="5"/>
      <c r="G49" s="5"/>
      <c r="H49" s="5"/>
      <c r="I49" s="5"/>
      <c r="J49" s="5"/>
      <c r="K49" s="5"/>
      <c r="L49" s="5"/>
      <c r="M49" s="5"/>
      <c r="N49" s="5"/>
      <c r="O49" s="5"/>
    </row>
  </sheetData>
  <mergeCells count="3">
    <mergeCell ref="A1:D1"/>
    <mergeCell ref="A3:D3"/>
    <mergeCell ref="A47:O4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15"/>
  <sheetViews>
    <sheetView tabSelected="1" zoomScale="70" zoomScaleNormal="70" workbookViewId="0">
      <selection activeCell="O18" sqref="O18"/>
    </sheetView>
  </sheetViews>
  <sheetFormatPr defaultRowHeight="14.5" x14ac:dyDescent="0.35"/>
  <cols>
    <col min="1" max="1" width="48.54296875" customWidth="1"/>
    <col min="2" max="5" width="16.1796875" customWidth="1"/>
    <col min="6" max="6" width="23.54296875" customWidth="1"/>
    <col min="7" max="13" width="21.1796875" customWidth="1"/>
    <col min="14" max="21" width="16.1796875" customWidth="1"/>
  </cols>
  <sheetData>
    <row r="1" spans="1:21" ht="40" customHeight="1" x14ac:dyDescent="0.35">
      <c r="A1" s="7"/>
      <c r="B1" s="7"/>
      <c r="C1" s="7"/>
      <c r="D1" s="7"/>
    </row>
    <row r="2" spans="1:21" ht="30" customHeight="1" x14ac:dyDescent="0.45">
      <c r="A2" s="8" t="s">
        <v>8</v>
      </c>
      <c r="B2" s="9"/>
      <c r="C2" s="9"/>
      <c r="D2" s="9"/>
      <c r="E2" s="9"/>
      <c r="F2" s="9"/>
      <c r="G2" s="9"/>
      <c r="H2" s="9"/>
      <c r="I2" s="9"/>
      <c r="J2" s="9"/>
      <c r="K2" s="9"/>
      <c r="L2" s="9"/>
      <c r="M2" s="9"/>
      <c r="N2" s="9"/>
      <c r="O2" s="9"/>
      <c r="P2" s="9"/>
      <c r="Q2" s="9"/>
      <c r="R2" s="9"/>
      <c r="S2" s="9"/>
      <c r="T2" s="9"/>
      <c r="U2" s="9"/>
    </row>
    <row r="3" spans="1:21" x14ac:dyDescent="0.35">
      <c r="A3" s="6" t="s">
        <v>0</v>
      </c>
      <c r="B3" s="6"/>
      <c r="C3" s="6"/>
      <c r="D3" s="6"/>
    </row>
    <row r="4" spans="1:21" x14ac:dyDescent="0.35">
      <c r="A4" s="11" t="s">
        <v>1</v>
      </c>
    </row>
    <row r="5" spans="1:21" x14ac:dyDescent="0.35">
      <c r="A5" s="11" t="s">
        <v>2</v>
      </c>
    </row>
    <row r="6" spans="1:21" x14ac:dyDescent="0.35">
      <c r="A6" s="11" t="s">
        <v>3</v>
      </c>
    </row>
    <row r="7" spans="1:21" x14ac:dyDescent="0.35">
      <c r="A7" s="11" t="s">
        <v>4</v>
      </c>
    </row>
    <row r="8" spans="1:21" x14ac:dyDescent="0.35">
      <c r="A8" s="11" t="s">
        <v>5</v>
      </c>
    </row>
    <row r="9" spans="1:21" x14ac:dyDescent="0.35">
      <c r="A9" s="11" t="s">
        <v>6</v>
      </c>
    </row>
    <row r="10" spans="1:21" x14ac:dyDescent="0.35">
      <c r="A10" s="4"/>
      <c r="B10" s="4"/>
      <c r="C10" s="4"/>
      <c r="D10" s="4"/>
      <c r="E10" s="4"/>
      <c r="F10" s="4"/>
      <c r="G10" s="4"/>
      <c r="H10" s="4"/>
      <c r="I10" s="4"/>
      <c r="J10" s="4"/>
      <c r="K10" s="4"/>
      <c r="L10" s="4"/>
      <c r="M10" s="4"/>
      <c r="N10" s="4"/>
      <c r="O10" s="4"/>
      <c r="P10" s="4"/>
      <c r="Q10" s="4"/>
      <c r="R10" s="4"/>
      <c r="S10" s="4"/>
      <c r="T10" s="4"/>
      <c r="U10" s="4"/>
    </row>
    <row r="11" spans="1:21" x14ac:dyDescent="0.35">
      <c r="A11" s="3" t="s">
        <v>1113</v>
      </c>
      <c r="B11" s="3"/>
      <c r="C11" s="3"/>
      <c r="D11" s="3"/>
      <c r="E11" s="3"/>
      <c r="F11" s="3"/>
      <c r="G11" s="3"/>
      <c r="H11" s="3"/>
      <c r="I11" s="3"/>
      <c r="J11" s="3"/>
      <c r="K11" s="3"/>
      <c r="L11" s="3"/>
      <c r="M11" s="3"/>
      <c r="N11" s="3"/>
      <c r="O11" s="3"/>
      <c r="P11" s="3"/>
      <c r="Q11" s="3"/>
      <c r="R11" s="3"/>
      <c r="S11" s="3"/>
      <c r="T11" s="3"/>
      <c r="U11" s="3"/>
    </row>
    <row r="12" spans="1:21" x14ac:dyDescent="0.35">
      <c r="A12" s="13"/>
      <c r="B12" s="13"/>
      <c r="C12" s="13"/>
      <c r="D12" s="13"/>
      <c r="E12" s="2" t="s">
        <v>0</v>
      </c>
      <c r="F12" s="2"/>
      <c r="G12" s="2"/>
      <c r="H12" s="2"/>
      <c r="I12" s="2"/>
      <c r="J12" s="2"/>
      <c r="K12" s="2"/>
      <c r="L12" s="2"/>
      <c r="M12" s="2"/>
    </row>
    <row r="13" spans="1:21" ht="29" x14ac:dyDescent="0.35">
      <c r="A13" s="14" t="s">
        <v>9</v>
      </c>
      <c r="B13" s="14" t="s">
        <v>10</v>
      </c>
      <c r="C13" s="14" t="s">
        <v>11</v>
      </c>
      <c r="D13" s="14" t="s">
        <v>12</v>
      </c>
      <c r="E13" s="15" t="s">
        <v>1111</v>
      </c>
      <c r="F13" s="15" t="s">
        <v>13</v>
      </c>
      <c r="G13" s="15" t="s">
        <v>14</v>
      </c>
      <c r="H13" s="15" t="s">
        <v>15</v>
      </c>
      <c r="I13" s="15" t="s">
        <v>16</v>
      </c>
      <c r="J13" s="15" t="s">
        <v>17</v>
      </c>
      <c r="K13" s="15" t="s">
        <v>18</v>
      </c>
      <c r="L13" s="15" t="s">
        <v>19</v>
      </c>
      <c r="M13" s="15" t="s">
        <v>20</v>
      </c>
      <c r="N13" s="15" t="s">
        <v>1267</v>
      </c>
      <c r="O13" s="15" t="s">
        <v>1268</v>
      </c>
    </row>
    <row r="14" spans="1:21" x14ac:dyDescent="0.35">
      <c r="A14" s="1" t="s">
        <v>1112</v>
      </c>
      <c r="B14" s="1"/>
      <c r="C14" s="1"/>
      <c r="D14" s="1"/>
      <c r="E14" s="1"/>
      <c r="F14" s="16">
        <v>18301.025886999989</v>
      </c>
      <c r="G14" s="17">
        <v>41.06976655348425</v>
      </c>
      <c r="H14" s="17">
        <v>45.560630264702397</v>
      </c>
      <c r="I14" s="17">
        <v>16.92718443623183</v>
      </c>
      <c r="J14" s="17">
        <v>46.914364547099105</v>
      </c>
      <c r="K14" s="17">
        <v>28.519387842608872</v>
      </c>
      <c r="L14" s="17">
        <v>17.775920829668252</v>
      </c>
      <c r="M14" s="17">
        <v>196.76725460342917</v>
      </c>
      <c r="N14" s="17">
        <v>0</v>
      </c>
      <c r="O14" s="25">
        <f>M15</f>
        <v>59.85</v>
      </c>
    </row>
    <row r="15" spans="1:21" ht="29" x14ac:dyDescent="0.35">
      <c r="A15" s="12" t="s">
        <v>21</v>
      </c>
      <c r="B15" s="12" t="s">
        <v>22</v>
      </c>
      <c r="C15" s="12" t="s">
        <v>23</v>
      </c>
      <c r="D15" s="12" t="s">
        <v>24</v>
      </c>
      <c r="E15" s="18">
        <v>0</v>
      </c>
      <c r="F15" s="19">
        <v>173.1</v>
      </c>
      <c r="G15" s="18">
        <v>3.01</v>
      </c>
      <c r="H15" s="18">
        <v>13.39</v>
      </c>
      <c r="I15" s="18">
        <v>0.47</v>
      </c>
      <c r="J15" s="18">
        <v>2.2000000000000002</v>
      </c>
      <c r="K15" s="18">
        <v>17.850000000000001</v>
      </c>
      <c r="L15" s="18">
        <v>22.92</v>
      </c>
      <c r="M15" s="18">
        <v>59.85</v>
      </c>
      <c r="N15" s="23">
        <f>F15+N14</f>
        <v>173.1</v>
      </c>
      <c r="O15" s="24">
        <f>M15</f>
        <v>59.85</v>
      </c>
    </row>
    <row r="16" spans="1:21" ht="29" x14ac:dyDescent="0.35">
      <c r="A16" s="12" t="s">
        <v>25</v>
      </c>
      <c r="B16" s="12" t="s">
        <v>26</v>
      </c>
      <c r="C16" s="12" t="s">
        <v>27</v>
      </c>
      <c r="D16" s="12" t="s">
        <v>28</v>
      </c>
      <c r="E16" s="18">
        <v>0.95</v>
      </c>
      <c r="F16" s="19">
        <v>99.7</v>
      </c>
      <c r="G16" s="18">
        <v>1.76</v>
      </c>
      <c r="H16" s="18">
        <v>15.59</v>
      </c>
      <c r="I16" s="18">
        <v>7.06</v>
      </c>
      <c r="J16" s="18">
        <v>1.1100000000000001</v>
      </c>
      <c r="K16" s="18">
        <v>8.26</v>
      </c>
      <c r="L16" s="18">
        <v>27.87</v>
      </c>
      <c r="M16" s="18">
        <v>61.65</v>
      </c>
      <c r="N16" s="23">
        <f>F16+N15</f>
        <v>272.8</v>
      </c>
      <c r="O16" s="24">
        <f>M16</f>
        <v>61.65</v>
      </c>
    </row>
    <row r="17" spans="1:15" ht="29" x14ac:dyDescent="0.35">
      <c r="A17" s="12" t="s">
        <v>29</v>
      </c>
      <c r="B17" s="12" t="s">
        <v>30</v>
      </c>
      <c r="C17" s="12" t="s">
        <v>23</v>
      </c>
      <c r="D17" s="12" t="s">
        <v>24</v>
      </c>
      <c r="E17" s="18">
        <v>1.49</v>
      </c>
      <c r="F17" s="19">
        <v>41.1</v>
      </c>
      <c r="G17" s="18">
        <v>0.46</v>
      </c>
      <c r="H17" s="18">
        <v>14.1</v>
      </c>
      <c r="I17" s="18">
        <v>0.26</v>
      </c>
      <c r="J17" s="18">
        <v>5.54</v>
      </c>
      <c r="K17" s="18">
        <v>47.21</v>
      </c>
      <c r="L17" s="18">
        <v>0</v>
      </c>
      <c r="M17" s="18">
        <v>67.56</v>
      </c>
      <c r="N17" s="23">
        <f t="shared" ref="N17:N80" si="0">F17+N16</f>
        <v>313.90000000000003</v>
      </c>
      <c r="O17" s="24">
        <f>O16</f>
        <v>61.65</v>
      </c>
    </row>
    <row r="18" spans="1:15" ht="29" x14ac:dyDescent="0.35">
      <c r="A18" s="12" t="s">
        <v>31</v>
      </c>
      <c r="B18" s="12" t="s">
        <v>32</v>
      </c>
      <c r="C18" s="12" t="s">
        <v>33</v>
      </c>
      <c r="D18" s="12" t="s">
        <v>34</v>
      </c>
      <c r="E18" s="18">
        <v>1.72</v>
      </c>
      <c r="F18" s="19">
        <v>0.7</v>
      </c>
      <c r="G18" s="18">
        <v>20.98</v>
      </c>
      <c r="H18" s="18">
        <v>13.96</v>
      </c>
      <c r="I18" s="18">
        <v>1.89</v>
      </c>
      <c r="J18" s="18">
        <v>12.36</v>
      </c>
      <c r="K18" s="18">
        <v>19.989999999999998</v>
      </c>
      <c r="L18" s="18">
        <v>0</v>
      </c>
      <c r="M18" s="18">
        <v>69.180000000000007</v>
      </c>
      <c r="N18" s="23">
        <f t="shared" si="0"/>
        <v>314.60000000000002</v>
      </c>
      <c r="O18" s="24">
        <f t="shared" ref="O16:O79" si="1">F18</f>
        <v>0.7</v>
      </c>
    </row>
    <row r="19" spans="1:15" ht="43.5" x14ac:dyDescent="0.35">
      <c r="A19" s="12" t="s">
        <v>35</v>
      </c>
      <c r="B19" s="12" t="s">
        <v>36</v>
      </c>
      <c r="C19" s="12" t="s">
        <v>37</v>
      </c>
      <c r="D19" s="12" t="s">
        <v>38</v>
      </c>
      <c r="E19" s="18">
        <v>1.72</v>
      </c>
      <c r="F19" s="19">
        <v>9.1999999999999993</v>
      </c>
      <c r="G19" s="18">
        <v>7.94</v>
      </c>
      <c r="H19" s="18">
        <v>8.2899999999999991</v>
      </c>
      <c r="I19" s="18">
        <v>6.49</v>
      </c>
      <c r="J19" s="18">
        <v>15.05</v>
      </c>
      <c r="K19" s="18">
        <v>28.65</v>
      </c>
      <c r="L19" s="18">
        <v>6.8</v>
      </c>
      <c r="M19" s="18">
        <v>73.2</v>
      </c>
      <c r="N19" s="23">
        <f t="shared" si="0"/>
        <v>323.8</v>
      </c>
      <c r="O19" s="24">
        <f t="shared" si="1"/>
        <v>9.1999999999999993</v>
      </c>
    </row>
    <row r="20" spans="1:15" ht="29" x14ac:dyDescent="0.35">
      <c r="A20" s="12" t="s">
        <v>39</v>
      </c>
      <c r="B20" s="12" t="s">
        <v>40</v>
      </c>
      <c r="C20" s="12" t="s">
        <v>41</v>
      </c>
      <c r="D20" s="12" t="s">
        <v>42</v>
      </c>
      <c r="E20" s="18">
        <v>1.77</v>
      </c>
      <c r="F20" s="19">
        <v>26.5</v>
      </c>
      <c r="G20" s="18">
        <v>18.059999999999999</v>
      </c>
      <c r="H20" s="18">
        <v>35.01</v>
      </c>
      <c r="I20" s="18">
        <v>1.53</v>
      </c>
      <c r="J20" s="18">
        <v>3.28</v>
      </c>
      <c r="K20" s="18">
        <v>6.58</v>
      </c>
      <c r="L20" s="18">
        <v>9.09</v>
      </c>
      <c r="M20" s="18">
        <v>73.56</v>
      </c>
      <c r="N20" s="23">
        <f t="shared" si="0"/>
        <v>350.3</v>
      </c>
      <c r="O20" s="24">
        <f t="shared" si="1"/>
        <v>26.5</v>
      </c>
    </row>
    <row r="21" spans="1:15" ht="29" x14ac:dyDescent="0.35">
      <c r="A21" s="12" t="s">
        <v>43</v>
      </c>
      <c r="B21" s="12" t="s">
        <v>44</v>
      </c>
      <c r="C21" s="12" t="s">
        <v>45</v>
      </c>
      <c r="D21" s="12" t="s">
        <v>34</v>
      </c>
      <c r="E21" s="18">
        <v>1.91</v>
      </c>
      <c r="F21" s="19">
        <v>24.4</v>
      </c>
      <c r="G21" s="18">
        <v>9.44</v>
      </c>
      <c r="H21" s="18">
        <v>16.170000000000002</v>
      </c>
      <c r="I21" s="18">
        <v>3.94</v>
      </c>
      <c r="J21" s="18">
        <v>11.63</v>
      </c>
      <c r="K21" s="18">
        <v>37.04</v>
      </c>
      <c r="L21" s="18">
        <v>0</v>
      </c>
      <c r="M21" s="18">
        <v>78.22</v>
      </c>
      <c r="N21" s="23">
        <f t="shared" si="0"/>
        <v>374.7</v>
      </c>
      <c r="O21" s="24">
        <f t="shared" si="1"/>
        <v>24.4</v>
      </c>
    </row>
    <row r="22" spans="1:15" ht="29" x14ac:dyDescent="0.35">
      <c r="A22" s="12" t="s">
        <v>46</v>
      </c>
      <c r="B22" s="12" t="s">
        <v>47</v>
      </c>
      <c r="C22" s="12" t="s">
        <v>37</v>
      </c>
      <c r="D22" s="12" t="s">
        <v>48</v>
      </c>
      <c r="E22" s="18">
        <v>2.0499999999999998</v>
      </c>
      <c r="F22" s="19">
        <v>8.8000000000000007</v>
      </c>
      <c r="G22" s="18">
        <v>9.64</v>
      </c>
      <c r="H22" s="18">
        <v>13.57</v>
      </c>
      <c r="I22" s="18">
        <v>3.57</v>
      </c>
      <c r="J22" s="18">
        <v>21.24</v>
      </c>
      <c r="K22" s="18">
        <v>24.71</v>
      </c>
      <c r="L22" s="18">
        <v>10.83</v>
      </c>
      <c r="M22" s="18">
        <v>83.57</v>
      </c>
      <c r="N22" s="23">
        <f t="shared" si="0"/>
        <v>383.5</v>
      </c>
      <c r="O22" s="24">
        <f t="shared" si="1"/>
        <v>8.8000000000000007</v>
      </c>
    </row>
    <row r="23" spans="1:15" ht="29" x14ac:dyDescent="0.35">
      <c r="A23" s="12" t="s">
        <v>49</v>
      </c>
      <c r="B23" s="12" t="s">
        <v>50</v>
      </c>
      <c r="C23" s="12" t="s">
        <v>23</v>
      </c>
      <c r="D23" s="12" t="s">
        <v>24</v>
      </c>
      <c r="E23" s="18">
        <v>2.1</v>
      </c>
      <c r="F23" s="19">
        <v>36.9</v>
      </c>
      <c r="G23" s="18">
        <v>0.18</v>
      </c>
      <c r="H23" s="18">
        <v>24.08</v>
      </c>
      <c r="I23" s="18">
        <v>0.22</v>
      </c>
      <c r="J23" s="18">
        <v>8.7799999999999994</v>
      </c>
      <c r="K23" s="18">
        <v>53.21</v>
      </c>
      <c r="L23" s="18">
        <v>0</v>
      </c>
      <c r="M23" s="18">
        <v>86.47</v>
      </c>
      <c r="N23" s="23">
        <f t="shared" si="0"/>
        <v>420.4</v>
      </c>
      <c r="O23" s="24">
        <f t="shared" si="1"/>
        <v>36.9</v>
      </c>
    </row>
    <row r="24" spans="1:15" ht="43.5" x14ac:dyDescent="0.35">
      <c r="A24" s="12" t="s">
        <v>51</v>
      </c>
      <c r="B24" s="12" t="s">
        <v>52</v>
      </c>
      <c r="C24" s="12" t="s">
        <v>23</v>
      </c>
      <c r="D24" s="12" t="s">
        <v>53</v>
      </c>
      <c r="E24" s="18">
        <v>2.2999999999999998</v>
      </c>
      <c r="F24" s="19">
        <v>14.3</v>
      </c>
      <c r="G24" s="18">
        <v>16.739999999999998</v>
      </c>
      <c r="H24" s="18">
        <v>6</v>
      </c>
      <c r="I24" s="18">
        <v>38.729999999999997</v>
      </c>
      <c r="J24" s="18">
        <v>3.53</v>
      </c>
      <c r="K24" s="18">
        <v>0</v>
      </c>
      <c r="L24" s="18">
        <v>22.3</v>
      </c>
      <c r="M24" s="18">
        <v>87.3</v>
      </c>
      <c r="N24" s="23">
        <f t="shared" si="0"/>
        <v>434.7</v>
      </c>
      <c r="O24" s="24">
        <f t="shared" si="1"/>
        <v>14.3</v>
      </c>
    </row>
    <row r="25" spans="1:15" ht="58" x14ac:dyDescent="0.35">
      <c r="A25" s="12" t="s">
        <v>54</v>
      </c>
      <c r="B25" s="12" t="s">
        <v>55</v>
      </c>
      <c r="C25" s="12" t="s">
        <v>56</v>
      </c>
      <c r="D25" s="12" t="s">
        <v>57</v>
      </c>
      <c r="E25" s="18">
        <v>2.38</v>
      </c>
      <c r="F25" s="19">
        <v>23.3</v>
      </c>
      <c r="G25" s="18">
        <v>14</v>
      </c>
      <c r="H25" s="18">
        <v>18.670000000000002</v>
      </c>
      <c r="I25" s="18">
        <v>0.48</v>
      </c>
      <c r="J25" s="18">
        <v>31.38</v>
      </c>
      <c r="K25" s="18">
        <v>3.38</v>
      </c>
      <c r="L25" s="18">
        <v>24.46</v>
      </c>
      <c r="M25" s="18">
        <v>92.39</v>
      </c>
      <c r="N25" s="23">
        <f t="shared" si="0"/>
        <v>458</v>
      </c>
      <c r="O25" s="24">
        <f t="shared" si="1"/>
        <v>23.3</v>
      </c>
    </row>
    <row r="26" spans="1:15" ht="58" x14ac:dyDescent="0.35">
      <c r="A26" s="12" t="s">
        <v>58</v>
      </c>
      <c r="B26" s="12" t="s">
        <v>59</v>
      </c>
      <c r="C26" s="12" t="s">
        <v>37</v>
      </c>
      <c r="D26" s="12" t="s">
        <v>60</v>
      </c>
      <c r="E26" s="18">
        <v>2.5</v>
      </c>
      <c r="F26" s="19">
        <v>11.6</v>
      </c>
      <c r="G26" s="18">
        <v>18.3</v>
      </c>
      <c r="H26" s="18">
        <v>19.64</v>
      </c>
      <c r="I26" s="18">
        <v>3.81</v>
      </c>
      <c r="J26" s="18">
        <v>24.91</v>
      </c>
      <c r="K26" s="18">
        <v>16.55</v>
      </c>
      <c r="L26" s="18">
        <v>17.649999999999999</v>
      </c>
      <c r="M26" s="18">
        <v>100.85</v>
      </c>
      <c r="N26" s="23">
        <f t="shared" si="0"/>
        <v>469.6</v>
      </c>
      <c r="O26" s="24">
        <f t="shared" si="1"/>
        <v>11.6</v>
      </c>
    </row>
    <row r="27" spans="1:15" ht="43.5" x14ac:dyDescent="0.35">
      <c r="A27" s="12" t="s">
        <v>61</v>
      </c>
      <c r="B27" s="12" t="s">
        <v>62</v>
      </c>
      <c r="C27" s="12" t="s">
        <v>56</v>
      </c>
      <c r="D27" s="12" t="s">
        <v>63</v>
      </c>
      <c r="E27" s="18">
        <v>2.57</v>
      </c>
      <c r="F27" s="19">
        <v>93.3</v>
      </c>
      <c r="G27" s="18">
        <v>29.29</v>
      </c>
      <c r="H27" s="18">
        <v>26.46</v>
      </c>
      <c r="I27" s="18">
        <v>0.84</v>
      </c>
      <c r="J27" s="18">
        <v>22.23</v>
      </c>
      <c r="K27" s="18">
        <v>2.68</v>
      </c>
      <c r="L27" s="18">
        <v>23.48</v>
      </c>
      <c r="M27" s="18">
        <v>104.99</v>
      </c>
      <c r="N27" s="23">
        <f t="shared" si="0"/>
        <v>562.9</v>
      </c>
      <c r="O27" s="24">
        <f t="shared" si="1"/>
        <v>93.3</v>
      </c>
    </row>
    <row r="28" spans="1:15" ht="29" x14ac:dyDescent="0.35">
      <c r="A28" s="12" t="s">
        <v>64</v>
      </c>
      <c r="B28" s="12" t="s">
        <v>65</v>
      </c>
      <c r="C28" s="12" t="s">
        <v>37</v>
      </c>
      <c r="D28" s="12" t="s">
        <v>66</v>
      </c>
      <c r="E28" s="18">
        <v>3.08</v>
      </c>
      <c r="F28" s="19">
        <v>85.8</v>
      </c>
      <c r="G28" s="18">
        <v>50.55</v>
      </c>
      <c r="H28" s="18">
        <v>7.75</v>
      </c>
      <c r="I28" s="18">
        <v>1.1000000000000001</v>
      </c>
      <c r="J28" s="18">
        <v>13.6</v>
      </c>
      <c r="K28" s="18">
        <v>25.84</v>
      </c>
      <c r="L28" s="18">
        <v>6.75</v>
      </c>
      <c r="M28" s="18">
        <v>105.58</v>
      </c>
      <c r="N28" s="23">
        <f t="shared" si="0"/>
        <v>648.69999999999993</v>
      </c>
      <c r="O28" s="24">
        <f t="shared" si="1"/>
        <v>85.8</v>
      </c>
    </row>
    <row r="29" spans="1:15" ht="72.5" x14ac:dyDescent="0.35">
      <c r="A29" s="12" t="s">
        <v>67</v>
      </c>
      <c r="B29" s="12" t="s">
        <v>68</v>
      </c>
      <c r="C29" s="12" t="s">
        <v>69</v>
      </c>
      <c r="D29" s="12" t="s">
        <v>70</v>
      </c>
      <c r="E29" s="18">
        <v>3.55</v>
      </c>
      <c r="F29" s="19">
        <v>0.2</v>
      </c>
      <c r="G29" s="18">
        <v>79.75</v>
      </c>
      <c r="H29" s="18">
        <v>11.69</v>
      </c>
      <c r="I29" s="18">
        <v>1.78</v>
      </c>
      <c r="J29" s="18">
        <v>12.98</v>
      </c>
      <c r="K29" s="18">
        <v>0.13</v>
      </c>
      <c r="L29" s="18">
        <v>0.13</v>
      </c>
      <c r="M29" s="18">
        <v>106.46</v>
      </c>
      <c r="N29" s="23">
        <f t="shared" si="0"/>
        <v>648.9</v>
      </c>
      <c r="O29" s="24">
        <f t="shared" si="1"/>
        <v>0.2</v>
      </c>
    </row>
    <row r="30" spans="1:15" ht="145" x14ac:dyDescent="0.35">
      <c r="A30" s="12" t="s">
        <v>71</v>
      </c>
      <c r="B30" s="12" t="s">
        <v>72</v>
      </c>
      <c r="C30" s="12" t="s">
        <v>37</v>
      </c>
      <c r="D30" s="12" t="s">
        <v>73</v>
      </c>
      <c r="E30" s="18">
        <v>3.55</v>
      </c>
      <c r="F30" s="19">
        <v>42.8</v>
      </c>
      <c r="G30" s="18">
        <v>16.86</v>
      </c>
      <c r="H30" s="18">
        <v>11.83</v>
      </c>
      <c r="I30" s="18">
        <v>1.49</v>
      </c>
      <c r="J30" s="18">
        <v>24.4</v>
      </c>
      <c r="K30" s="18">
        <v>38.39</v>
      </c>
      <c r="L30" s="18">
        <v>15.65</v>
      </c>
      <c r="M30" s="18">
        <v>108.61</v>
      </c>
      <c r="N30" s="23">
        <f t="shared" si="0"/>
        <v>691.69999999999993</v>
      </c>
      <c r="O30" s="24">
        <f t="shared" si="1"/>
        <v>42.8</v>
      </c>
    </row>
    <row r="31" spans="1:15" ht="43.5" x14ac:dyDescent="0.35">
      <c r="A31" s="12" t="s">
        <v>74</v>
      </c>
      <c r="B31" s="12" t="s">
        <v>75</v>
      </c>
      <c r="C31" s="12" t="s">
        <v>76</v>
      </c>
      <c r="D31" s="12" t="s">
        <v>77</v>
      </c>
      <c r="E31" s="18">
        <v>3.78</v>
      </c>
      <c r="F31" s="19">
        <v>5</v>
      </c>
      <c r="G31" s="18">
        <v>10.64</v>
      </c>
      <c r="H31" s="18">
        <v>23.11</v>
      </c>
      <c r="I31" s="18">
        <v>14.12</v>
      </c>
      <c r="J31" s="18">
        <v>29.4</v>
      </c>
      <c r="K31" s="18">
        <v>10.64</v>
      </c>
      <c r="L31" s="18">
        <v>24.11</v>
      </c>
      <c r="M31" s="18">
        <v>112.01</v>
      </c>
      <c r="N31" s="23">
        <f t="shared" si="0"/>
        <v>696.69999999999993</v>
      </c>
      <c r="O31" s="24">
        <f t="shared" si="1"/>
        <v>5</v>
      </c>
    </row>
    <row r="32" spans="1:15" x14ac:dyDescent="0.35">
      <c r="A32" s="12" t="s">
        <v>78</v>
      </c>
      <c r="B32" s="12" t="s">
        <v>79</v>
      </c>
      <c r="C32" s="12" t="s">
        <v>80</v>
      </c>
      <c r="D32" s="12" t="s">
        <v>81</v>
      </c>
      <c r="E32" s="18">
        <v>3.81</v>
      </c>
      <c r="F32" s="19">
        <v>191.6</v>
      </c>
      <c r="G32" s="18">
        <v>34.6</v>
      </c>
      <c r="H32" s="18">
        <v>26.31</v>
      </c>
      <c r="I32" s="18">
        <v>0.27</v>
      </c>
      <c r="J32" s="18">
        <v>15.4</v>
      </c>
      <c r="K32" s="18">
        <v>6.8</v>
      </c>
      <c r="L32" s="18">
        <v>29.61</v>
      </c>
      <c r="M32" s="18">
        <v>112.99</v>
      </c>
      <c r="N32" s="23">
        <f t="shared" si="0"/>
        <v>888.3</v>
      </c>
      <c r="O32" s="24">
        <f t="shared" si="1"/>
        <v>191.6</v>
      </c>
    </row>
    <row r="33" spans="1:15" ht="87" x14ac:dyDescent="0.35">
      <c r="A33" s="12" t="s">
        <v>82</v>
      </c>
      <c r="B33" s="12" t="s">
        <v>83</v>
      </c>
      <c r="C33" s="12" t="s">
        <v>37</v>
      </c>
      <c r="D33" s="12" t="s">
        <v>84</v>
      </c>
      <c r="E33" s="18">
        <v>4.8499999999999996</v>
      </c>
      <c r="F33" s="19">
        <v>3.4</v>
      </c>
      <c r="G33" s="18">
        <v>23.69</v>
      </c>
      <c r="H33" s="18">
        <v>24.44</v>
      </c>
      <c r="I33" s="18">
        <v>5.8</v>
      </c>
      <c r="J33" s="18">
        <v>28.08</v>
      </c>
      <c r="K33" s="18">
        <v>18.39</v>
      </c>
      <c r="L33" s="18">
        <v>13.61</v>
      </c>
      <c r="M33" s="18">
        <v>114</v>
      </c>
      <c r="N33" s="23">
        <f t="shared" si="0"/>
        <v>891.69999999999993</v>
      </c>
      <c r="O33" s="24">
        <f t="shared" si="1"/>
        <v>3.4</v>
      </c>
    </row>
    <row r="34" spans="1:15" ht="72.5" x14ac:dyDescent="0.35">
      <c r="A34" s="12" t="s">
        <v>85</v>
      </c>
      <c r="B34" s="12" t="s">
        <v>86</v>
      </c>
      <c r="C34" s="12" t="s">
        <v>27</v>
      </c>
      <c r="D34" s="12" t="s">
        <v>87</v>
      </c>
      <c r="E34" s="18">
        <v>4.87</v>
      </c>
      <c r="F34" s="19">
        <v>27.9</v>
      </c>
      <c r="G34" s="18">
        <v>32.479999999999997</v>
      </c>
      <c r="H34" s="18">
        <v>12.95</v>
      </c>
      <c r="I34" s="18">
        <v>1.1100000000000001</v>
      </c>
      <c r="J34" s="18">
        <v>8.57</v>
      </c>
      <c r="K34" s="18">
        <v>51.58</v>
      </c>
      <c r="L34" s="18">
        <v>7.64</v>
      </c>
      <c r="M34" s="18">
        <v>114.32</v>
      </c>
      <c r="N34" s="23">
        <f t="shared" si="0"/>
        <v>919.59999999999991</v>
      </c>
      <c r="O34" s="24">
        <f t="shared" si="1"/>
        <v>27.9</v>
      </c>
    </row>
    <row r="35" spans="1:15" ht="29" x14ac:dyDescent="0.35">
      <c r="A35" s="12" t="s">
        <v>88</v>
      </c>
      <c r="B35" s="12" t="s">
        <v>89</v>
      </c>
      <c r="C35" s="12" t="s">
        <v>90</v>
      </c>
      <c r="D35" s="12" t="s">
        <v>91</v>
      </c>
      <c r="E35" s="18">
        <v>5.0199999999999996</v>
      </c>
      <c r="F35" s="19">
        <v>105.3</v>
      </c>
      <c r="G35" s="18">
        <v>4.41</v>
      </c>
      <c r="H35" s="18">
        <v>6.91</v>
      </c>
      <c r="I35" s="18">
        <v>0.52</v>
      </c>
      <c r="J35" s="18">
        <v>19.77</v>
      </c>
      <c r="K35" s="18">
        <v>61.65</v>
      </c>
      <c r="L35" s="18">
        <v>21.86</v>
      </c>
      <c r="M35" s="18">
        <v>115.12</v>
      </c>
      <c r="N35" s="23">
        <f t="shared" si="0"/>
        <v>1024.8999999999999</v>
      </c>
      <c r="O35" s="24">
        <f t="shared" si="1"/>
        <v>105.3</v>
      </c>
    </row>
    <row r="36" spans="1:15" ht="29" x14ac:dyDescent="0.35">
      <c r="A36" s="12" t="s">
        <v>92</v>
      </c>
      <c r="B36" s="12" t="s">
        <v>93</v>
      </c>
      <c r="C36" s="12" t="s">
        <v>94</v>
      </c>
      <c r="D36" s="12" t="s">
        <v>95</v>
      </c>
      <c r="E36" s="18">
        <v>5.6</v>
      </c>
      <c r="F36" s="19">
        <v>32.700000000000003</v>
      </c>
      <c r="G36" s="18">
        <v>38.090000000000003</v>
      </c>
      <c r="H36" s="18">
        <v>15.04</v>
      </c>
      <c r="I36" s="18">
        <v>4.51</v>
      </c>
      <c r="J36" s="18">
        <v>26.37</v>
      </c>
      <c r="K36" s="18">
        <v>35.92</v>
      </c>
      <c r="L36" s="18">
        <v>0</v>
      </c>
      <c r="M36" s="18">
        <v>119.94</v>
      </c>
      <c r="N36" s="23">
        <f t="shared" si="0"/>
        <v>1057.5999999999999</v>
      </c>
      <c r="O36" s="24">
        <f t="shared" si="1"/>
        <v>32.700000000000003</v>
      </c>
    </row>
    <row r="37" spans="1:15" ht="43.5" x14ac:dyDescent="0.35">
      <c r="A37" s="12" t="s">
        <v>96</v>
      </c>
      <c r="B37" s="12" t="s">
        <v>97</v>
      </c>
      <c r="C37" s="12" t="s">
        <v>37</v>
      </c>
      <c r="D37" s="12" t="s">
        <v>98</v>
      </c>
      <c r="E37" s="18">
        <v>5.78</v>
      </c>
      <c r="F37" s="19">
        <v>7.2</v>
      </c>
      <c r="G37" s="18">
        <v>11.86</v>
      </c>
      <c r="H37" s="18">
        <v>10.95</v>
      </c>
      <c r="I37" s="18">
        <v>4.09</v>
      </c>
      <c r="J37" s="18">
        <v>36.94</v>
      </c>
      <c r="K37" s="18">
        <v>32.42</v>
      </c>
      <c r="L37" s="18">
        <v>26.35</v>
      </c>
      <c r="M37" s="18">
        <v>122.6</v>
      </c>
      <c r="N37" s="23">
        <f t="shared" si="0"/>
        <v>1064.8</v>
      </c>
      <c r="O37" s="24">
        <f t="shared" si="1"/>
        <v>7.2</v>
      </c>
    </row>
    <row r="38" spans="1:15" ht="29" x14ac:dyDescent="0.35">
      <c r="A38" s="12" t="s">
        <v>99</v>
      </c>
      <c r="B38" s="12" t="s">
        <v>100</v>
      </c>
      <c r="C38" s="12" t="s">
        <v>37</v>
      </c>
      <c r="D38" s="12" t="s">
        <v>101</v>
      </c>
      <c r="E38" s="18">
        <v>5.82</v>
      </c>
      <c r="F38" s="19">
        <v>4.5999999999999996</v>
      </c>
      <c r="G38" s="18">
        <v>13.9</v>
      </c>
      <c r="H38" s="18">
        <v>11.22</v>
      </c>
      <c r="I38" s="18">
        <v>5.21</v>
      </c>
      <c r="J38" s="18">
        <v>22.43</v>
      </c>
      <c r="K38" s="18">
        <v>32.72</v>
      </c>
      <c r="L38" s="18">
        <v>37.869999999999997</v>
      </c>
      <c r="M38" s="18">
        <v>123.36</v>
      </c>
      <c r="N38" s="23">
        <f t="shared" si="0"/>
        <v>1069.3999999999999</v>
      </c>
      <c r="O38" s="24">
        <f t="shared" si="1"/>
        <v>4.5999999999999996</v>
      </c>
    </row>
    <row r="39" spans="1:15" ht="29" x14ac:dyDescent="0.35">
      <c r="A39" s="12" t="s">
        <v>102</v>
      </c>
      <c r="B39" s="12" t="s">
        <v>103</v>
      </c>
      <c r="C39" s="12" t="s">
        <v>104</v>
      </c>
      <c r="D39" s="12" t="s">
        <v>105</v>
      </c>
      <c r="E39" s="18">
        <v>5.84</v>
      </c>
      <c r="F39" s="19">
        <v>15.1</v>
      </c>
      <c r="G39" s="18">
        <v>19.829999999999998</v>
      </c>
      <c r="H39" s="18">
        <v>26.12</v>
      </c>
      <c r="I39" s="18">
        <v>3.01</v>
      </c>
      <c r="J39" s="18">
        <v>16.600000000000001</v>
      </c>
      <c r="K39" s="18">
        <v>34.950000000000003</v>
      </c>
      <c r="L39" s="18">
        <v>22.98</v>
      </c>
      <c r="M39" s="18">
        <v>123.5</v>
      </c>
      <c r="N39" s="23">
        <f t="shared" si="0"/>
        <v>1084.4999999999998</v>
      </c>
      <c r="O39" s="24">
        <f t="shared" si="1"/>
        <v>15.1</v>
      </c>
    </row>
    <row r="40" spans="1:15" ht="29" x14ac:dyDescent="0.35">
      <c r="A40" s="12" t="s">
        <v>106</v>
      </c>
      <c r="B40" s="12" t="s">
        <v>107</v>
      </c>
      <c r="C40" s="12" t="s">
        <v>80</v>
      </c>
      <c r="D40" s="12" t="s">
        <v>108</v>
      </c>
      <c r="E40" s="18">
        <v>5.93</v>
      </c>
      <c r="F40" s="19">
        <v>72.599999999999994</v>
      </c>
      <c r="G40" s="18">
        <v>61.09</v>
      </c>
      <c r="H40" s="18">
        <v>26.11</v>
      </c>
      <c r="I40" s="18">
        <v>6.59</v>
      </c>
      <c r="J40" s="18">
        <v>19.95</v>
      </c>
      <c r="K40" s="18">
        <v>3.63</v>
      </c>
      <c r="L40" s="18">
        <v>7.61</v>
      </c>
      <c r="M40" s="18">
        <v>124.99</v>
      </c>
      <c r="N40" s="23">
        <f t="shared" si="0"/>
        <v>1157.0999999999997</v>
      </c>
      <c r="O40" s="24">
        <f t="shared" si="1"/>
        <v>72.599999999999994</v>
      </c>
    </row>
    <row r="41" spans="1:15" ht="29" x14ac:dyDescent="0.35">
      <c r="A41" s="12" t="s">
        <v>109</v>
      </c>
      <c r="B41" s="12" t="s">
        <v>110</v>
      </c>
      <c r="C41" s="12" t="s">
        <v>111</v>
      </c>
      <c r="D41" s="12" t="s">
        <v>108</v>
      </c>
      <c r="E41" s="18">
        <v>6.32</v>
      </c>
      <c r="F41" s="19">
        <v>24.3</v>
      </c>
      <c r="G41" s="18">
        <v>51.8</v>
      </c>
      <c r="H41" s="18">
        <v>9.68</v>
      </c>
      <c r="I41" s="18">
        <v>2.92</v>
      </c>
      <c r="J41" s="18">
        <v>14.33</v>
      </c>
      <c r="K41" s="18">
        <v>21.55</v>
      </c>
      <c r="L41" s="18">
        <v>26.04</v>
      </c>
      <c r="M41" s="18">
        <v>126.32</v>
      </c>
      <c r="N41" s="23">
        <f t="shared" si="0"/>
        <v>1181.3999999999996</v>
      </c>
      <c r="O41" s="24">
        <f t="shared" si="1"/>
        <v>24.3</v>
      </c>
    </row>
    <row r="42" spans="1:15" ht="101.5" x14ac:dyDescent="0.35">
      <c r="A42" s="12" t="s">
        <v>112</v>
      </c>
      <c r="B42" s="12" t="s">
        <v>113</v>
      </c>
      <c r="C42" s="12" t="s">
        <v>114</v>
      </c>
      <c r="D42" s="12" t="s">
        <v>115</v>
      </c>
      <c r="E42" s="18">
        <v>6.46</v>
      </c>
      <c r="F42" s="19">
        <v>7.1</v>
      </c>
      <c r="G42" s="18">
        <v>37.549999999999997</v>
      </c>
      <c r="H42" s="18">
        <v>12.15</v>
      </c>
      <c r="I42" s="18">
        <v>3</v>
      </c>
      <c r="J42" s="18">
        <v>20.76</v>
      </c>
      <c r="K42" s="18">
        <v>29.06</v>
      </c>
      <c r="L42" s="18">
        <v>24.18</v>
      </c>
      <c r="M42" s="18">
        <v>126.7</v>
      </c>
      <c r="N42" s="23">
        <f t="shared" si="0"/>
        <v>1188.4999999999995</v>
      </c>
      <c r="O42" s="24">
        <f t="shared" si="1"/>
        <v>7.1</v>
      </c>
    </row>
    <row r="43" spans="1:15" ht="43.5" x14ac:dyDescent="0.35">
      <c r="A43" s="12" t="s">
        <v>116</v>
      </c>
      <c r="B43" s="12" t="s">
        <v>117</v>
      </c>
      <c r="C43" s="12" t="s">
        <v>37</v>
      </c>
      <c r="D43" s="12" t="s">
        <v>118</v>
      </c>
      <c r="E43" s="18">
        <v>6.49</v>
      </c>
      <c r="F43" s="19">
        <v>0.1</v>
      </c>
      <c r="G43" s="18">
        <v>35.74</v>
      </c>
      <c r="H43" s="18">
        <v>35.97</v>
      </c>
      <c r="I43" s="18">
        <v>1.69</v>
      </c>
      <c r="J43" s="18">
        <v>19.18</v>
      </c>
      <c r="K43" s="18">
        <v>23.4</v>
      </c>
      <c r="L43" s="18">
        <v>11.76</v>
      </c>
      <c r="M43" s="18">
        <v>127.74</v>
      </c>
      <c r="N43" s="23">
        <f t="shared" si="0"/>
        <v>1188.5999999999995</v>
      </c>
      <c r="O43" s="24">
        <f t="shared" si="1"/>
        <v>0.1</v>
      </c>
    </row>
    <row r="44" spans="1:15" ht="116" x14ac:dyDescent="0.35">
      <c r="A44" s="12" t="s">
        <v>119</v>
      </c>
      <c r="B44" s="12" t="s">
        <v>120</v>
      </c>
      <c r="C44" s="12" t="s">
        <v>41</v>
      </c>
      <c r="D44" s="12" t="s">
        <v>121</v>
      </c>
      <c r="E44" s="18">
        <v>6.49</v>
      </c>
      <c r="F44" s="19">
        <v>438.5</v>
      </c>
      <c r="G44" s="18">
        <v>2.7</v>
      </c>
      <c r="H44" s="18">
        <v>30.82</v>
      </c>
      <c r="I44" s="18">
        <v>13.07</v>
      </c>
      <c r="J44" s="18">
        <v>34.130000000000003</v>
      </c>
      <c r="K44" s="18">
        <v>27.99</v>
      </c>
      <c r="L44" s="18">
        <v>19.38</v>
      </c>
      <c r="M44" s="18">
        <v>128.09</v>
      </c>
      <c r="N44" s="23">
        <f t="shared" si="0"/>
        <v>1627.0999999999995</v>
      </c>
      <c r="O44" s="24">
        <f t="shared" si="1"/>
        <v>438.5</v>
      </c>
    </row>
    <row r="45" spans="1:15" ht="43.5" x14ac:dyDescent="0.35">
      <c r="A45" s="12" t="s">
        <v>122</v>
      </c>
      <c r="B45" s="12" t="s">
        <v>123</v>
      </c>
      <c r="C45" s="12" t="s">
        <v>69</v>
      </c>
      <c r="D45" s="12" t="s">
        <v>124</v>
      </c>
      <c r="E45" s="18">
        <v>8.89</v>
      </c>
      <c r="F45" s="19">
        <v>0.3</v>
      </c>
      <c r="G45" s="18">
        <v>61</v>
      </c>
      <c r="H45" s="18">
        <v>15.24</v>
      </c>
      <c r="I45" s="18">
        <v>1.62</v>
      </c>
      <c r="J45" s="18">
        <v>33.340000000000003</v>
      </c>
      <c r="K45" s="18">
        <v>5.13</v>
      </c>
      <c r="L45" s="18">
        <v>11.77</v>
      </c>
      <c r="M45" s="18">
        <v>128.1</v>
      </c>
      <c r="N45" s="23">
        <f t="shared" si="0"/>
        <v>1627.3999999999994</v>
      </c>
      <c r="O45" s="24">
        <f t="shared" si="1"/>
        <v>0.3</v>
      </c>
    </row>
    <row r="46" spans="1:15" ht="29" x14ac:dyDescent="0.35">
      <c r="A46" s="12" t="s">
        <v>125</v>
      </c>
      <c r="B46" s="12" t="s">
        <v>126</v>
      </c>
      <c r="C46" s="12" t="s">
        <v>37</v>
      </c>
      <c r="D46" s="12" t="s">
        <v>127</v>
      </c>
      <c r="E46" s="18">
        <v>8.89</v>
      </c>
      <c r="F46" s="19">
        <v>11.5</v>
      </c>
      <c r="G46" s="18">
        <v>26.92</v>
      </c>
      <c r="H46" s="18">
        <v>24.4</v>
      </c>
      <c r="I46" s="18">
        <v>5.36</v>
      </c>
      <c r="J46" s="18">
        <v>31.04</v>
      </c>
      <c r="K46" s="18">
        <v>25.57</v>
      </c>
      <c r="L46" s="18">
        <v>16</v>
      </c>
      <c r="M46" s="18">
        <v>129.30000000000001</v>
      </c>
      <c r="N46" s="23">
        <f t="shared" si="0"/>
        <v>1638.8999999999994</v>
      </c>
      <c r="O46" s="24">
        <f t="shared" si="1"/>
        <v>11.5</v>
      </c>
    </row>
    <row r="47" spans="1:15" x14ac:dyDescent="0.35">
      <c r="A47" s="12" t="s">
        <v>128</v>
      </c>
      <c r="B47" s="12" t="s">
        <v>129</v>
      </c>
      <c r="C47" s="12" t="s">
        <v>130</v>
      </c>
      <c r="D47" s="12" t="s">
        <v>131</v>
      </c>
      <c r="E47" s="18">
        <v>8.9600000000000009</v>
      </c>
      <c r="F47" s="19">
        <v>9.4</v>
      </c>
      <c r="G47" s="18">
        <v>46.83</v>
      </c>
      <c r="H47" s="18">
        <v>27.33</v>
      </c>
      <c r="I47" s="18">
        <v>4.75</v>
      </c>
      <c r="J47" s="18">
        <v>22.69</v>
      </c>
      <c r="K47" s="18">
        <v>10.74</v>
      </c>
      <c r="L47" s="18">
        <v>18.02</v>
      </c>
      <c r="M47" s="18">
        <v>130.35</v>
      </c>
      <c r="N47" s="23">
        <f t="shared" si="0"/>
        <v>1648.2999999999995</v>
      </c>
      <c r="O47" s="24">
        <f t="shared" si="1"/>
        <v>9.4</v>
      </c>
    </row>
    <row r="48" spans="1:15" ht="232" x14ac:dyDescent="0.35">
      <c r="A48" s="12" t="s">
        <v>132</v>
      </c>
      <c r="B48" s="12" t="s">
        <v>133</v>
      </c>
      <c r="C48" s="12" t="s">
        <v>69</v>
      </c>
      <c r="D48" s="12" t="s">
        <v>134</v>
      </c>
      <c r="E48" s="18">
        <v>9.01</v>
      </c>
      <c r="F48" s="19">
        <v>40.200000000000003</v>
      </c>
      <c r="G48" s="18">
        <v>38.49</v>
      </c>
      <c r="H48" s="18">
        <v>18.53</v>
      </c>
      <c r="I48" s="18">
        <v>9.06</v>
      </c>
      <c r="J48" s="18">
        <v>27.09</v>
      </c>
      <c r="K48" s="18">
        <v>17.7</v>
      </c>
      <c r="L48" s="18">
        <v>20.18</v>
      </c>
      <c r="M48" s="18">
        <v>131.04</v>
      </c>
      <c r="N48" s="23">
        <f t="shared" si="0"/>
        <v>1688.4999999999995</v>
      </c>
      <c r="O48" s="24">
        <f t="shared" si="1"/>
        <v>40.200000000000003</v>
      </c>
    </row>
    <row r="49" spans="1:15" ht="203" x14ac:dyDescent="0.35">
      <c r="A49" s="12" t="s">
        <v>135</v>
      </c>
      <c r="B49" s="12" t="s">
        <v>136</v>
      </c>
      <c r="C49" s="12" t="s">
        <v>37</v>
      </c>
      <c r="D49" s="12" t="s">
        <v>137</v>
      </c>
      <c r="E49" s="18">
        <v>9.23</v>
      </c>
      <c r="F49" s="19">
        <v>69.8</v>
      </c>
      <c r="G49" s="18">
        <v>20.59</v>
      </c>
      <c r="H49" s="18">
        <v>24.07</v>
      </c>
      <c r="I49" s="18">
        <v>6.89</v>
      </c>
      <c r="J49" s="18">
        <v>27.98</v>
      </c>
      <c r="K49" s="18">
        <v>36.090000000000003</v>
      </c>
      <c r="L49" s="18">
        <v>15.9</v>
      </c>
      <c r="M49" s="18">
        <v>131.52000000000001</v>
      </c>
      <c r="N49" s="23">
        <f t="shared" si="0"/>
        <v>1758.2999999999995</v>
      </c>
      <c r="O49" s="24">
        <f t="shared" si="1"/>
        <v>69.8</v>
      </c>
    </row>
    <row r="50" spans="1:15" ht="130.5" x14ac:dyDescent="0.35">
      <c r="A50" s="12" t="s">
        <v>138</v>
      </c>
      <c r="B50" s="12" t="s">
        <v>139</v>
      </c>
      <c r="C50" s="12" t="s">
        <v>80</v>
      </c>
      <c r="D50" s="12" t="s">
        <v>140</v>
      </c>
      <c r="E50" s="18">
        <v>9.61</v>
      </c>
      <c r="F50" s="19">
        <v>553.6</v>
      </c>
      <c r="G50" s="18">
        <v>29.69</v>
      </c>
      <c r="H50" s="18">
        <v>21.61</v>
      </c>
      <c r="I50" s="18">
        <v>17.260000000000002</v>
      </c>
      <c r="J50" s="18">
        <v>14.92</v>
      </c>
      <c r="K50" s="18">
        <v>27.15</v>
      </c>
      <c r="L50" s="18">
        <v>21.74</v>
      </c>
      <c r="M50" s="18">
        <v>132.36000000000001</v>
      </c>
      <c r="N50" s="23">
        <f t="shared" si="0"/>
        <v>2311.8999999999996</v>
      </c>
      <c r="O50" s="24">
        <f t="shared" si="1"/>
        <v>553.6</v>
      </c>
    </row>
    <row r="51" spans="1:15" ht="43.5" x14ac:dyDescent="0.35">
      <c r="A51" s="12" t="s">
        <v>141</v>
      </c>
      <c r="B51" s="12" t="s">
        <v>142</v>
      </c>
      <c r="C51" s="12" t="s">
        <v>114</v>
      </c>
      <c r="D51" s="12" t="s">
        <v>143</v>
      </c>
      <c r="E51" s="18">
        <v>12.63</v>
      </c>
      <c r="F51" s="19">
        <v>94.2</v>
      </c>
      <c r="G51" s="18">
        <v>32.68</v>
      </c>
      <c r="H51" s="18">
        <v>16.75</v>
      </c>
      <c r="I51" s="18">
        <v>4</v>
      </c>
      <c r="J51" s="18">
        <v>31.19</v>
      </c>
      <c r="K51" s="18">
        <v>24.77</v>
      </c>
      <c r="L51" s="18">
        <v>23.79</v>
      </c>
      <c r="M51" s="18">
        <v>133.18</v>
      </c>
      <c r="N51" s="23">
        <f t="shared" si="0"/>
        <v>2406.0999999999995</v>
      </c>
      <c r="O51" s="24">
        <f t="shared" si="1"/>
        <v>94.2</v>
      </c>
    </row>
    <row r="52" spans="1:15" ht="29" x14ac:dyDescent="0.35">
      <c r="A52" s="12" t="s">
        <v>144</v>
      </c>
      <c r="B52" s="12" t="s">
        <v>145</v>
      </c>
      <c r="C52" s="12" t="s">
        <v>69</v>
      </c>
      <c r="D52" s="12" t="s">
        <v>146</v>
      </c>
      <c r="E52" s="18">
        <v>13.15</v>
      </c>
      <c r="F52" s="19">
        <v>9</v>
      </c>
      <c r="G52" s="18">
        <v>26.27</v>
      </c>
      <c r="H52" s="18">
        <v>30.14</v>
      </c>
      <c r="I52" s="18">
        <v>12.49</v>
      </c>
      <c r="J52" s="18">
        <v>21.57</v>
      </c>
      <c r="K52" s="18">
        <v>27.4</v>
      </c>
      <c r="L52" s="18">
        <v>16.39</v>
      </c>
      <c r="M52" s="18">
        <v>134.25</v>
      </c>
      <c r="N52" s="23">
        <f t="shared" si="0"/>
        <v>2415.0999999999995</v>
      </c>
      <c r="O52" s="24">
        <f t="shared" si="1"/>
        <v>9</v>
      </c>
    </row>
    <row r="53" spans="1:15" ht="58" x14ac:dyDescent="0.35">
      <c r="A53" s="12" t="s">
        <v>147</v>
      </c>
      <c r="B53" s="12" t="s">
        <v>148</v>
      </c>
      <c r="C53" s="12" t="s">
        <v>114</v>
      </c>
      <c r="D53" s="12" t="s">
        <v>149</v>
      </c>
      <c r="E53" s="18">
        <v>13.2</v>
      </c>
      <c r="F53" s="19">
        <v>368.2</v>
      </c>
      <c r="G53" s="18">
        <v>30.43</v>
      </c>
      <c r="H53" s="18">
        <v>6.13</v>
      </c>
      <c r="I53" s="18">
        <v>1.76</v>
      </c>
      <c r="J53" s="18">
        <v>34.86</v>
      </c>
      <c r="K53" s="18">
        <v>38.450000000000003</v>
      </c>
      <c r="L53" s="18">
        <v>25.32</v>
      </c>
      <c r="M53" s="18">
        <v>136.96</v>
      </c>
      <c r="N53" s="23">
        <f t="shared" si="0"/>
        <v>2783.2999999999993</v>
      </c>
      <c r="O53" s="24">
        <f t="shared" si="1"/>
        <v>368.2</v>
      </c>
    </row>
    <row r="54" spans="1:15" ht="58" x14ac:dyDescent="0.35">
      <c r="A54" s="12" t="s">
        <v>150</v>
      </c>
      <c r="B54" s="12" t="s">
        <v>151</v>
      </c>
      <c r="C54" s="12" t="s">
        <v>152</v>
      </c>
      <c r="D54" s="12" t="s">
        <v>153</v>
      </c>
      <c r="E54" s="18">
        <v>15.21</v>
      </c>
      <c r="F54" s="19">
        <v>24.4</v>
      </c>
      <c r="G54" s="18">
        <v>76.680000000000007</v>
      </c>
      <c r="H54" s="18">
        <v>15.23</v>
      </c>
      <c r="I54" s="18">
        <v>1.73</v>
      </c>
      <c r="J54" s="18">
        <v>7.77</v>
      </c>
      <c r="K54" s="18">
        <v>14.62</v>
      </c>
      <c r="L54" s="18">
        <v>21.49</v>
      </c>
      <c r="M54" s="18">
        <v>137.51</v>
      </c>
      <c r="N54" s="23">
        <f t="shared" si="0"/>
        <v>2807.6999999999994</v>
      </c>
      <c r="O54" s="24">
        <f t="shared" si="1"/>
        <v>24.4</v>
      </c>
    </row>
    <row r="55" spans="1:15" ht="174" x14ac:dyDescent="0.35">
      <c r="A55" s="12" t="s">
        <v>154</v>
      </c>
      <c r="B55" s="12" t="s">
        <v>155</v>
      </c>
      <c r="C55" s="12" t="s">
        <v>80</v>
      </c>
      <c r="D55" s="12" t="s">
        <v>156</v>
      </c>
      <c r="E55" s="18">
        <v>15.34</v>
      </c>
      <c r="F55" s="19">
        <v>203.3</v>
      </c>
      <c r="G55" s="18">
        <v>22.12</v>
      </c>
      <c r="H55" s="18">
        <v>45.57</v>
      </c>
      <c r="I55" s="18">
        <v>12.49</v>
      </c>
      <c r="J55" s="18">
        <v>29.98</v>
      </c>
      <c r="K55" s="18">
        <v>10.47</v>
      </c>
      <c r="L55" s="18">
        <v>17.260000000000002</v>
      </c>
      <c r="M55" s="18">
        <v>137.88</v>
      </c>
      <c r="N55" s="23">
        <f t="shared" si="0"/>
        <v>3010.9999999999995</v>
      </c>
      <c r="O55" s="24">
        <f t="shared" si="1"/>
        <v>203.3</v>
      </c>
    </row>
    <row r="56" spans="1:15" x14ac:dyDescent="0.35">
      <c r="A56" s="12" t="s">
        <v>157</v>
      </c>
      <c r="B56" s="12" t="s">
        <v>158</v>
      </c>
      <c r="C56" s="12" t="s">
        <v>80</v>
      </c>
      <c r="D56" s="12" t="s">
        <v>81</v>
      </c>
      <c r="E56" s="18">
        <v>16.45</v>
      </c>
      <c r="F56" s="19">
        <v>147.6</v>
      </c>
      <c r="G56" s="18">
        <v>30.36</v>
      </c>
      <c r="H56" s="18">
        <v>21.82</v>
      </c>
      <c r="I56" s="18">
        <v>11.33</v>
      </c>
      <c r="J56" s="18">
        <v>19.100000000000001</v>
      </c>
      <c r="K56" s="18">
        <v>33.33</v>
      </c>
      <c r="L56" s="18">
        <v>23.7</v>
      </c>
      <c r="M56" s="18">
        <v>139.63</v>
      </c>
      <c r="N56" s="23">
        <f t="shared" si="0"/>
        <v>3158.5999999999995</v>
      </c>
      <c r="O56" s="24">
        <f t="shared" si="1"/>
        <v>147.6</v>
      </c>
    </row>
    <row r="57" spans="1:15" ht="72.5" x14ac:dyDescent="0.35">
      <c r="A57" s="12" t="s">
        <v>159</v>
      </c>
      <c r="B57" s="12" t="s">
        <v>160</v>
      </c>
      <c r="C57" s="12" t="s">
        <v>161</v>
      </c>
      <c r="D57" s="12" t="s">
        <v>162</v>
      </c>
      <c r="E57" s="18">
        <v>17.260000000000002</v>
      </c>
      <c r="F57" s="19">
        <v>65.7</v>
      </c>
      <c r="G57" s="18">
        <v>38.299999999999997</v>
      </c>
      <c r="H57" s="18">
        <v>31.77</v>
      </c>
      <c r="I57" s="18">
        <v>15.97</v>
      </c>
      <c r="J57" s="18">
        <v>27.32</v>
      </c>
      <c r="K57" s="18">
        <v>26.44</v>
      </c>
      <c r="L57" s="18">
        <v>0</v>
      </c>
      <c r="M57" s="18">
        <v>139.80000000000001</v>
      </c>
      <c r="N57" s="23">
        <f t="shared" si="0"/>
        <v>3224.2999999999993</v>
      </c>
      <c r="O57" s="24">
        <f t="shared" si="1"/>
        <v>65.7</v>
      </c>
    </row>
    <row r="58" spans="1:15" ht="29" x14ac:dyDescent="0.35">
      <c r="A58" s="12" t="s">
        <v>163</v>
      </c>
      <c r="B58" s="12" t="s">
        <v>164</v>
      </c>
      <c r="C58" s="12" t="s">
        <v>23</v>
      </c>
      <c r="D58" s="12" t="s">
        <v>165</v>
      </c>
      <c r="E58" s="18">
        <v>17.62</v>
      </c>
      <c r="F58" s="19">
        <v>24.1</v>
      </c>
      <c r="G58" s="18">
        <v>23.49</v>
      </c>
      <c r="H58" s="18">
        <v>50.41</v>
      </c>
      <c r="I58" s="18">
        <v>18.940000000000001</v>
      </c>
      <c r="J58" s="18">
        <v>19.899999999999999</v>
      </c>
      <c r="K58" s="18">
        <v>0</v>
      </c>
      <c r="L58" s="18">
        <v>27.51</v>
      </c>
      <c r="M58" s="18">
        <v>140.25</v>
      </c>
      <c r="N58" s="23">
        <f t="shared" si="0"/>
        <v>3248.3999999999992</v>
      </c>
      <c r="O58" s="24">
        <f t="shared" si="1"/>
        <v>24.1</v>
      </c>
    </row>
    <row r="59" spans="1:15" ht="101.5" x14ac:dyDescent="0.35">
      <c r="A59" s="12" t="s">
        <v>166</v>
      </c>
      <c r="B59" s="12" t="s">
        <v>167</v>
      </c>
      <c r="C59" s="12" t="s">
        <v>80</v>
      </c>
      <c r="D59" s="12" t="s">
        <v>168</v>
      </c>
      <c r="E59" s="18">
        <v>17.75</v>
      </c>
      <c r="F59" s="19">
        <v>39.4</v>
      </c>
      <c r="G59" s="18">
        <v>47.59</v>
      </c>
      <c r="H59" s="18">
        <v>54.72</v>
      </c>
      <c r="I59" s="18">
        <v>1.78</v>
      </c>
      <c r="J59" s="18">
        <v>28.22</v>
      </c>
      <c r="K59" s="18">
        <v>4.91</v>
      </c>
      <c r="L59" s="18">
        <v>3.06</v>
      </c>
      <c r="M59" s="18">
        <v>140.28</v>
      </c>
      <c r="N59" s="23">
        <f t="shared" si="0"/>
        <v>3287.7999999999993</v>
      </c>
      <c r="O59" s="24">
        <f t="shared" si="1"/>
        <v>39.4</v>
      </c>
    </row>
    <row r="60" spans="1:15" ht="43.5" x14ac:dyDescent="0.35">
      <c r="A60" s="12" t="s">
        <v>169</v>
      </c>
      <c r="B60" s="12" t="s">
        <v>170</v>
      </c>
      <c r="C60" s="12" t="s">
        <v>37</v>
      </c>
      <c r="D60" s="12" t="s">
        <v>171</v>
      </c>
      <c r="E60" s="18">
        <v>17.97</v>
      </c>
      <c r="F60" s="19">
        <v>2.4</v>
      </c>
      <c r="G60" s="18">
        <v>35.15</v>
      </c>
      <c r="H60" s="18">
        <v>13.1</v>
      </c>
      <c r="I60" s="18">
        <v>4.83</v>
      </c>
      <c r="J60" s="18">
        <v>34.26</v>
      </c>
      <c r="K60" s="18">
        <v>45.94</v>
      </c>
      <c r="L60" s="18">
        <v>7.09</v>
      </c>
      <c r="M60" s="18">
        <v>140.37</v>
      </c>
      <c r="N60" s="23">
        <f t="shared" si="0"/>
        <v>3290.1999999999994</v>
      </c>
      <c r="O60" s="24">
        <f t="shared" si="1"/>
        <v>2.4</v>
      </c>
    </row>
    <row r="61" spans="1:15" ht="29" x14ac:dyDescent="0.35">
      <c r="A61" s="12" t="s">
        <v>172</v>
      </c>
      <c r="B61" s="12" t="s">
        <v>173</v>
      </c>
      <c r="C61" s="12" t="s">
        <v>69</v>
      </c>
      <c r="D61" s="12" t="s">
        <v>146</v>
      </c>
      <c r="E61" s="18">
        <v>17.98</v>
      </c>
      <c r="F61" s="19">
        <v>0.2</v>
      </c>
      <c r="G61" s="18">
        <v>33.97</v>
      </c>
      <c r="H61" s="18">
        <v>47</v>
      </c>
      <c r="I61" s="18">
        <v>3.42</v>
      </c>
      <c r="J61" s="18">
        <v>22.95</v>
      </c>
      <c r="K61" s="18">
        <v>21.4</v>
      </c>
      <c r="L61" s="18">
        <v>13.9</v>
      </c>
      <c r="M61" s="18">
        <v>142.63999999999999</v>
      </c>
      <c r="N61" s="23">
        <f t="shared" si="0"/>
        <v>3290.3999999999992</v>
      </c>
      <c r="O61" s="24">
        <f t="shared" si="1"/>
        <v>0.2</v>
      </c>
    </row>
    <row r="62" spans="1:15" ht="58" x14ac:dyDescent="0.35">
      <c r="A62" s="12" t="s">
        <v>174</v>
      </c>
      <c r="B62" s="12" t="s">
        <v>175</v>
      </c>
      <c r="C62" s="12" t="s">
        <v>37</v>
      </c>
      <c r="D62" s="12" t="s">
        <v>176</v>
      </c>
      <c r="E62" s="18">
        <v>17.98</v>
      </c>
      <c r="F62" s="19">
        <v>1.1000000000000001</v>
      </c>
      <c r="G62" s="18">
        <v>34.11</v>
      </c>
      <c r="H62" s="18">
        <v>25.46</v>
      </c>
      <c r="I62" s="18">
        <v>9</v>
      </c>
      <c r="J62" s="18">
        <v>32.520000000000003</v>
      </c>
      <c r="K62" s="18">
        <v>35.07</v>
      </c>
      <c r="L62" s="18">
        <v>9.1300000000000008</v>
      </c>
      <c r="M62" s="18">
        <v>145.29</v>
      </c>
      <c r="N62" s="23">
        <f t="shared" si="0"/>
        <v>3291.4999999999991</v>
      </c>
      <c r="O62" s="24">
        <f t="shared" si="1"/>
        <v>1.1000000000000001</v>
      </c>
    </row>
    <row r="63" spans="1:15" ht="58" x14ac:dyDescent="0.35">
      <c r="A63" s="12" t="s">
        <v>177</v>
      </c>
      <c r="B63" s="12" t="s">
        <v>178</v>
      </c>
      <c r="C63" s="12" t="s">
        <v>37</v>
      </c>
      <c r="D63" s="12" t="s">
        <v>176</v>
      </c>
      <c r="E63" s="18">
        <v>17.989999999999998</v>
      </c>
      <c r="F63" s="19">
        <v>13.2</v>
      </c>
      <c r="G63" s="18">
        <v>12.08</v>
      </c>
      <c r="H63" s="18">
        <v>30.48</v>
      </c>
      <c r="I63" s="18">
        <v>7.36</v>
      </c>
      <c r="J63" s="18">
        <v>35.06</v>
      </c>
      <c r="K63" s="18">
        <v>26.24</v>
      </c>
      <c r="L63" s="18">
        <v>34.56</v>
      </c>
      <c r="M63" s="18">
        <v>145.78</v>
      </c>
      <c r="N63" s="23">
        <f t="shared" si="0"/>
        <v>3304.6999999999989</v>
      </c>
      <c r="O63" s="24">
        <f t="shared" si="1"/>
        <v>13.2</v>
      </c>
    </row>
    <row r="64" spans="1:15" x14ac:dyDescent="0.35">
      <c r="A64" s="12" t="s">
        <v>179</v>
      </c>
      <c r="B64" s="12" t="s">
        <v>180</v>
      </c>
      <c r="C64" s="12" t="s">
        <v>80</v>
      </c>
      <c r="D64" s="12" t="s">
        <v>81</v>
      </c>
      <c r="E64" s="18">
        <v>18.059999999999999</v>
      </c>
      <c r="F64" s="19">
        <v>173.5</v>
      </c>
      <c r="G64" s="18">
        <v>36.79</v>
      </c>
      <c r="H64" s="18">
        <v>39.909999999999997</v>
      </c>
      <c r="I64" s="18">
        <v>11.91</v>
      </c>
      <c r="J64" s="18">
        <v>24.28</v>
      </c>
      <c r="K64" s="18">
        <v>15.87</v>
      </c>
      <c r="L64" s="18">
        <v>17.13</v>
      </c>
      <c r="M64" s="18">
        <v>145.88999999999999</v>
      </c>
      <c r="N64" s="23">
        <f t="shared" si="0"/>
        <v>3478.1999999999989</v>
      </c>
      <c r="O64" s="24">
        <f t="shared" si="1"/>
        <v>173.5</v>
      </c>
    </row>
    <row r="65" spans="1:15" ht="58" x14ac:dyDescent="0.35">
      <c r="A65" s="12" t="s">
        <v>181</v>
      </c>
      <c r="B65" s="12" t="s">
        <v>182</v>
      </c>
      <c r="C65" s="12" t="s">
        <v>76</v>
      </c>
      <c r="D65" s="12" t="s">
        <v>183</v>
      </c>
      <c r="E65" s="18">
        <v>19.010000000000002</v>
      </c>
      <c r="F65" s="19">
        <v>45.4</v>
      </c>
      <c r="G65" s="18">
        <v>59.86</v>
      </c>
      <c r="H65" s="18">
        <v>10.68</v>
      </c>
      <c r="I65" s="18">
        <v>6.41</v>
      </c>
      <c r="J65" s="18">
        <v>41.07</v>
      </c>
      <c r="K65" s="18">
        <v>21.39</v>
      </c>
      <c r="L65" s="18">
        <v>7.2</v>
      </c>
      <c r="M65" s="18">
        <v>146.62</v>
      </c>
      <c r="N65" s="23">
        <f t="shared" si="0"/>
        <v>3523.599999999999</v>
      </c>
      <c r="O65" s="24">
        <f t="shared" si="1"/>
        <v>45.4</v>
      </c>
    </row>
    <row r="66" spans="1:15" ht="87" x14ac:dyDescent="0.35">
      <c r="A66" s="12" t="s">
        <v>184</v>
      </c>
      <c r="B66" s="12" t="s">
        <v>185</v>
      </c>
      <c r="C66" s="12" t="s">
        <v>69</v>
      </c>
      <c r="D66" s="12" t="s">
        <v>186</v>
      </c>
      <c r="E66" s="18">
        <v>19.25</v>
      </c>
      <c r="F66" s="19">
        <v>0.1</v>
      </c>
      <c r="G66" s="18">
        <v>7.21</v>
      </c>
      <c r="H66" s="18">
        <v>47.55</v>
      </c>
      <c r="I66" s="18">
        <v>13.54</v>
      </c>
      <c r="J66" s="18">
        <v>11.26</v>
      </c>
      <c r="K66" s="18">
        <v>68.14</v>
      </c>
      <c r="L66" s="18">
        <v>0</v>
      </c>
      <c r="M66" s="18">
        <v>147.69</v>
      </c>
      <c r="N66" s="23">
        <f t="shared" si="0"/>
        <v>3523.6999999999989</v>
      </c>
      <c r="O66" s="24">
        <f t="shared" si="1"/>
        <v>0.1</v>
      </c>
    </row>
    <row r="67" spans="1:15" ht="29" x14ac:dyDescent="0.35">
      <c r="A67" s="12" t="s">
        <v>187</v>
      </c>
      <c r="B67" s="12" t="s">
        <v>188</v>
      </c>
      <c r="C67" s="12" t="s">
        <v>27</v>
      </c>
      <c r="D67" s="12" t="s">
        <v>189</v>
      </c>
      <c r="E67" s="18">
        <v>19.25</v>
      </c>
      <c r="F67" s="19">
        <v>124.4</v>
      </c>
      <c r="G67" s="18">
        <v>15.43</v>
      </c>
      <c r="H67" s="18">
        <v>38.15</v>
      </c>
      <c r="I67" s="18">
        <v>4.41</v>
      </c>
      <c r="J67" s="18">
        <v>52.32</v>
      </c>
      <c r="K67" s="18">
        <v>25.67</v>
      </c>
      <c r="L67" s="18">
        <v>14</v>
      </c>
      <c r="M67" s="18">
        <v>150</v>
      </c>
      <c r="N67" s="23">
        <f t="shared" si="0"/>
        <v>3648.099999999999</v>
      </c>
      <c r="O67" s="24">
        <f t="shared" si="1"/>
        <v>124.4</v>
      </c>
    </row>
    <row r="68" spans="1:15" ht="58" x14ac:dyDescent="0.35">
      <c r="A68" s="12" t="s">
        <v>190</v>
      </c>
      <c r="B68" s="12" t="s">
        <v>191</v>
      </c>
      <c r="C68" s="12" t="s">
        <v>27</v>
      </c>
      <c r="D68" s="12" t="s">
        <v>192</v>
      </c>
      <c r="E68" s="18">
        <v>19.93</v>
      </c>
      <c r="F68" s="19">
        <v>25.3</v>
      </c>
      <c r="G68" s="18">
        <v>22.2</v>
      </c>
      <c r="H68" s="18">
        <v>41.94</v>
      </c>
      <c r="I68" s="18">
        <v>19.809999999999999</v>
      </c>
      <c r="J68" s="18">
        <v>39.42</v>
      </c>
      <c r="K68" s="18">
        <v>3.09</v>
      </c>
      <c r="L68" s="18">
        <v>24.5</v>
      </c>
      <c r="M68" s="18">
        <v>150.97</v>
      </c>
      <c r="N68" s="23">
        <f t="shared" si="0"/>
        <v>3673.3999999999992</v>
      </c>
      <c r="O68" s="24">
        <f t="shared" si="1"/>
        <v>25.3</v>
      </c>
    </row>
    <row r="69" spans="1:15" ht="43.5" x14ac:dyDescent="0.35">
      <c r="A69" s="12" t="s">
        <v>193</v>
      </c>
      <c r="B69" s="12" t="s">
        <v>194</v>
      </c>
      <c r="C69" s="12" t="s">
        <v>114</v>
      </c>
      <c r="D69" s="12" t="s">
        <v>195</v>
      </c>
      <c r="E69" s="18">
        <v>20.07</v>
      </c>
      <c r="F69" s="19">
        <v>15.2</v>
      </c>
      <c r="G69" s="18">
        <v>19.170000000000002</v>
      </c>
      <c r="H69" s="18">
        <v>17.47</v>
      </c>
      <c r="I69" s="18">
        <v>2.25</v>
      </c>
      <c r="J69" s="18">
        <v>45.15</v>
      </c>
      <c r="K69" s="18">
        <v>41.25</v>
      </c>
      <c r="L69" s="18">
        <v>25.75</v>
      </c>
      <c r="M69" s="18">
        <v>151.05000000000001</v>
      </c>
      <c r="N69" s="23">
        <f t="shared" si="0"/>
        <v>3688.599999999999</v>
      </c>
      <c r="O69" s="24">
        <f t="shared" si="1"/>
        <v>15.2</v>
      </c>
    </row>
    <row r="70" spans="1:15" ht="29" x14ac:dyDescent="0.35">
      <c r="A70" s="12" t="s">
        <v>196</v>
      </c>
      <c r="B70" s="12" t="s">
        <v>197</v>
      </c>
      <c r="C70" s="12" t="s">
        <v>33</v>
      </c>
      <c r="D70" s="12" t="s">
        <v>105</v>
      </c>
      <c r="E70" s="18">
        <v>20.16</v>
      </c>
      <c r="F70" s="19">
        <v>4</v>
      </c>
      <c r="G70" s="18">
        <v>43.29</v>
      </c>
      <c r="H70" s="18">
        <v>37.770000000000003</v>
      </c>
      <c r="I70" s="18">
        <v>7.22</v>
      </c>
      <c r="J70" s="18">
        <v>25.89</v>
      </c>
      <c r="K70" s="18">
        <v>36.93</v>
      </c>
      <c r="L70" s="18">
        <v>0</v>
      </c>
      <c r="M70" s="18">
        <v>151.09</v>
      </c>
      <c r="N70" s="23">
        <f t="shared" si="0"/>
        <v>3692.599999999999</v>
      </c>
      <c r="O70" s="24">
        <f t="shared" si="1"/>
        <v>4</v>
      </c>
    </row>
    <row r="71" spans="1:15" ht="29" x14ac:dyDescent="0.35">
      <c r="A71" s="12" t="s">
        <v>198</v>
      </c>
      <c r="B71" s="12" t="s">
        <v>199</v>
      </c>
      <c r="C71" s="12" t="s">
        <v>200</v>
      </c>
      <c r="D71" s="12" t="s">
        <v>201</v>
      </c>
      <c r="E71" s="18">
        <v>20.18</v>
      </c>
      <c r="F71" s="19">
        <v>2.7</v>
      </c>
      <c r="G71" s="18">
        <v>58.66</v>
      </c>
      <c r="H71" s="18">
        <v>18.59</v>
      </c>
      <c r="I71" s="18">
        <v>6.35</v>
      </c>
      <c r="J71" s="18">
        <v>45.22</v>
      </c>
      <c r="K71" s="18">
        <v>13.01</v>
      </c>
      <c r="L71" s="18">
        <v>9.3699999999999992</v>
      </c>
      <c r="M71" s="18">
        <v>151.21</v>
      </c>
      <c r="N71" s="23">
        <f t="shared" si="0"/>
        <v>3695.2999999999988</v>
      </c>
      <c r="O71" s="24">
        <f t="shared" si="1"/>
        <v>2.7</v>
      </c>
    </row>
    <row r="72" spans="1:15" ht="72.5" x14ac:dyDescent="0.35">
      <c r="A72" s="12" t="s">
        <v>202</v>
      </c>
      <c r="B72" s="12" t="s">
        <v>203</v>
      </c>
      <c r="C72" s="12" t="s">
        <v>37</v>
      </c>
      <c r="D72" s="12" t="s">
        <v>204</v>
      </c>
      <c r="E72" s="18">
        <v>20.190000000000001</v>
      </c>
      <c r="F72" s="19">
        <v>15.2</v>
      </c>
      <c r="G72" s="18">
        <v>30.46</v>
      </c>
      <c r="H72" s="18">
        <v>32.76</v>
      </c>
      <c r="I72" s="18">
        <v>7.76</v>
      </c>
      <c r="J72" s="18">
        <v>35.700000000000003</v>
      </c>
      <c r="K72" s="18">
        <v>29.21</v>
      </c>
      <c r="L72" s="18">
        <v>15.94</v>
      </c>
      <c r="M72" s="18">
        <v>151.83000000000001</v>
      </c>
      <c r="N72" s="23">
        <f t="shared" si="0"/>
        <v>3710.4999999999986</v>
      </c>
      <c r="O72" s="24">
        <f t="shared" si="1"/>
        <v>15.2</v>
      </c>
    </row>
    <row r="73" spans="1:15" ht="174" x14ac:dyDescent="0.35">
      <c r="A73" s="12" t="s">
        <v>205</v>
      </c>
      <c r="B73" s="12" t="s">
        <v>206</v>
      </c>
      <c r="C73" s="12" t="s">
        <v>80</v>
      </c>
      <c r="D73" s="12" t="s">
        <v>156</v>
      </c>
      <c r="E73" s="18">
        <v>20.27</v>
      </c>
      <c r="F73" s="19">
        <v>823.1</v>
      </c>
      <c r="G73" s="18">
        <v>48.19</v>
      </c>
      <c r="H73" s="18">
        <v>38.869999999999997</v>
      </c>
      <c r="I73" s="18">
        <v>8.1</v>
      </c>
      <c r="J73" s="18">
        <v>12.6</v>
      </c>
      <c r="K73" s="18">
        <v>25.15</v>
      </c>
      <c r="L73" s="18">
        <v>19.649999999999999</v>
      </c>
      <c r="M73" s="18">
        <v>152.56</v>
      </c>
      <c r="N73" s="23">
        <f t="shared" si="0"/>
        <v>4533.5999999999985</v>
      </c>
      <c r="O73" s="24">
        <f t="shared" si="1"/>
        <v>823.1</v>
      </c>
    </row>
    <row r="74" spans="1:15" ht="72.5" x14ac:dyDescent="0.35">
      <c r="A74" s="12" t="s">
        <v>207</v>
      </c>
      <c r="B74" s="12" t="s">
        <v>208</v>
      </c>
      <c r="C74" s="12" t="s">
        <v>27</v>
      </c>
      <c r="D74" s="12" t="s">
        <v>209</v>
      </c>
      <c r="E74" s="18">
        <v>24.77</v>
      </c>
      <c r="F74" s="19">
        <v>87.8</v>
      </c>
      <c r="G74" s="18">
        <v>7.56</v>
      </c>
      <c r="H74" s="18">
        <v>49.76</v>
      </c>
      <c r="I74" s="18">
        <v>24.94</v>
      </c>
      <c r="J74" s="18">
        <v>13.12</v>
      </c>
      <c r="K74" s="18">
        <v>45.53</v>
      </c>
      <c r="L74" s="18">
        <v>12.35</v>
      </c>
      <c r="M74" s="18">
        <v>153.26</v>
      </c>
      <c r="N74" s="23">
        <f t="shared" si="0"/>
        <v>4621.3999999999987</v>
      </c>
      <c r="O74" s="24">
        <f t="shared" si="1"/>
        <v>87.8</v>
      </c>
    </row>
    <row r="75" spans="1:15" ht="43.5" x14ac:dyDescent="0.35">
      <c r="A75" s="12" t="s">
        <v>210</v>
      </c>
      <c r="B75" s="12" t="s">
        <v>211</v>
      </c>
      <c r="C75" s="12" t="s">
        <v>41</v>
      </c>
      <c r="D75" s="12" t="s">
        <v>212</v>
      </c>
      <c r="E75" s="18">
        <v>25.25</v>
      </c>
      <c r="F75" s="19">
        <v>234.4</v>
      </c>
      <c r="G75" s="18">
        <v>30.41</v>
      </c>
      <c r="H75" s="18">
        <v>25.56</v>
      </c>
      <c r="I75" s="18">
        <v>14.05</v>
      </c>
      <c r="J75" s="18">
        <v>33.880000000000003</v>
      </c>
      <c r="K75" s="18">
        <v>39.950000000000003</v>
      </c>
      <c r="L75" s="18">
        <v>10.17</v>
      </c>
      <c r="M75" s="18">
        <v>154.01</v>
      </c>
      <c r="N75" s="23">
        <f t="shared" si="0"/>
        <v>4855.7999999999984</v>
      </c>
      <c r="O75" s="24">
        <f t="shared" si="1"/>
        <v>234.4</v>
      </c>
    </row>
    <row r="76" spans="1:15" x14ac:dyDescent="0.35">
      <c r="A76" s="12" t="s">
        <v>213</v>
      </c>
      <c r="B76" s="12" t="s">
        <v>214</v>
      </c>
      <c r="C76" s="12" t="s">
        <v>80</v>
      </c>
      <c r="D76" s="12" t="s">
        <v>81</v>
      </c>
      <c r="E76" s="18">
        <v>26.53</v>
      </c>
      <c r="F76" s="19">
        <v>30.7</v>
      </c>
      <c r="G76" s="18">
        <v>73.069999999999993</v>
      </c>
      <c r="H76" s="18">
        <v>38.68</v>
      </c>
      <c r="I76" s="18">
        <v>14.23</v>
      </c>
      <c r="J76" s="18">
        <v>20.95</v>
      </c>
      <c r="K76" s="18">
        <v>3.4</v>
      </c>
      <c r="L76" s="18">
        <v>5.51</v>
      </c>
      <c r="M76" s="18">
        <v>155.84</v>
      </c>
      <c r="N76" s="23">
        <f t="shared" si="0"/>
        <v>4886.4999999999982</v>
      </c>
      <c r="O76" s="24">
        <f t="shared" si="1"/>
        <v>30.7</v>
      </c>
    </row>
    <row r="77" spans="1:15" ht="29" x14ac:dyDescent="0.35">
      <c r="A77" s="12" t="s">
        <v>215</v>
      </c>
      <c r="B77" s="12" t="s">
        <v>216</v>
      </c>
      <c r="C77" s="12" t="s">
        <v>37</v>
      </c>
      <c r="D77" s="12" t="s">
        <v>101</v>
      </c>
      <c r="E77" s="18">
        <v>26.7</v>
      </c>
      <c r="F77" s="19">
        <v>0.8</v>
      </c>
      <c r="G77" s="18">
        <v>28.15</v>
      </c>
      <c r="H77" s="18">
        <v>25.37</v>
      </c>
      <c r="I77" s="18">
        <v>9.5</v>
      </c>
      <c r="J77" s="18">
        <v>42.81</v>
      </c>
      <c r="K77" s="18">
        <v>22.52</v>
      </c>
      <c r="L77" s="18">
        <v>27.53</v>
      </c>
      <c r="M77" s="18">
        <v>155.87</v>
      </c>
      <c r="N77" s="23">
        <f t="shared" si="0"/>
        <v>4887.2999999999984</v>
      </c>
      <c r="O77" s="24">
        <f t="shared" si="1"/>
        <v>0.8</v>
      </c>
    </row>
    <row r="78" spans="1:15" ht="43.5" x14ac:dyDescent="0.35">
      <c r="A78" s="12" t="s">
        <v>217</v>
      </c>
      <c r="B78" s="12" t="s">
        <v>218</v>
      </c>
      <c r="C78" s="12" t="s">
        <v>56</v>
      </c>
      <c r="D78" s="12" t="s">
        <v>63</v>
      </c>
      <c r="E78" s="18">
        <v>26.7</v>
      </c>
      <c r="F78" s="19">
        <v>328.8</v>
      </c>
      <c r="G78" s="18">
        <v>9.1</v>
      </c>
      <c r="H78" s="18">
        <v>53.75</v>
      </c>
      <c r="I78" s="18">
        <v>18.14</v>
      </c>
      <c r="J78" s="18">
        <v>25.88</v>
      </c>
      <c r="K78" s="18">
        <v>30.23</v>
      </c>
      <c r="L78" s="18">
        <v>19.420000000000002</v>
      </c>
      <c r="M78" s="18">
        <v>156.52000000000001</v>
      </c>
      <c r="N78" s="23">
        <f t="shared" si="0"/>
        <v>5216.0999999999985</v>
      </c>
      <c r="O78" s="24">
        <f t="shared" si="1"/>
        <v>328.8</v>
      </c>
    </row>
    <row r="79" spans="1:15" ht="101.5" x14ac:dyDescent="0.35">
      <c r="A79" s="12" t="s">
        <v>219</v>
      </c>
      <c r="B79" s="12" t="s">
        <v>220</v>
      </c>
      <c r="C79" s="12" t="s">
        <v>221</v>
      </c>
      <c r="D79" s="12" t="s">
        <v>222</v>
      </c>
      <c r="E79" s="18">
        <v>28.5</v>
      </c>
      <c r="F79" s="19">
        <v>204.1</v>
      </c>
      <c r="G79" s="18">
        <v>8.01</v>
      </c>
      <c r="H79" s="18">
        <v>89.53</v>
      </c>
      <c r="I79" s="18">
        <v>7.46</v>
      </c>
      <c r="J79" s="18">
        <v>17.829999999999998</v>
      </c>
      <c r="K79" s="18">
        <v>17.3</v>
      </c>
      <c r="L79" s="18">
        <v>16.54</v>
      </c>
      <c r="M79" s="18">
        <v>156.66</v>
      </c>
      <c r="N79" s="23">
        <f t="shared" si="0"/>
        <v>5420.1999999999989</v>
      </c>
      <c r="O79" s="24">
        <f t="shared" si="1"/>
        <v>204.1</v>
      </c>
    </row>
    <row r="80" spans="1:15" ht="101.5" x14ac:dyDescent="0.35">
      <c r="A80" s="12" t="s">
        <v>223</v>
      </c>
      <c r="B80" s="12" t="s">
        <v>224</v>
      </c>
      <c r="C80" s="12" t="s">
        <v>56</v>
      </c>
      <c r="D80" s="12" t="s">
        <v>225</v>
      </c>
      <c r="E80" s="18">
        <v>29.62</v>
      </c>
      <c r="F80" s="19">
        <v>1.3</v>
      </c>
      <c r="G80" s="18">
        <v>50.78</v>
      </c>
      <c r="H80" s="18">
        <v>32.159999999999997</v>
      </c>
      <c r="I80" s="18">
        <v>7.45</v>
      </c>
      <c r="J80" s="18">
        <v>37.24</v>
      </c>
      <c r="K80" s="18">
        <v>8.9600000000000009</v>
      </c>
      <c r="L80" s="18">
        <v>20.43</v>
      </c>
      <c r="M80" s="18">
        <v>157.02000000000001</v>
      </c>
      <c r="N80" s="23">
        <f t="shared" si="0"/>
        <v>5421.4999999999991</v>
      </c>
      <c r="O80" s="24">
        <f t="shared" ref="O80:O143" si="2">F80</f>
        <v>1.3</v>
      </c>
    </row>
    <row r="81" spans="1:15" ht="87" x14ac:dyDescent="0.35">
      <c r="A81" s="12" t="s">
        <v>226</v>
      </c>
      <c r="B81" s="12" t="s">
        <v>227</v>
      </c>
      <c r="C81" s="12" t="s">
        <v>221</v>
      </c>
      <c r="D81" s="12" t="s">
        <v>228</v>
      </c>
      <c r="E81" s="18">
        <v>29.62</v>
      </c>
      <c r="F81" s="19">
        <v>645.4</v>
      </c>
      <c r="G81" s="18">
        <v>32.549999999999997</v>
      </c>
      <c r="H81" s="18">
        <v>18.420000000000002</v>
      </c>
      <c r="I81" s="18">
        <v>8.7200000000000006</v>
      </c>
      <c r="J81" s="18">
        <v>56.22</v>
      </c>
      <c r="K81" s="18">
        <v>18.170000000000002</v>
      </c>
      <c r="L81" s="18">
        <v>23.61</v>
      </c>
      <c r="M81" s="18">
        <v>157.69</v>
      </c>
      <c r="N81" s="23">
        <f t="shared" ref="N81:N144" si="3">F81+N80</f>
        <v>6066.8999999999987</v>
      </c>
      <c r="O81" s="24">
        <f t="shared" si="2"/>
        <v>645.4</v>
      </c>
    </row>
    <row r="82" spans="1:15" ht="101.5" x14ac:dyDescent="0.35">
      <c r="A82" s="12" t="s">
        <v>229</v>
      </c>
      <c r="B82" s="12" t="s">
        <v>230</v>
      </c>
      <c r="C82" s="12" t="s">
        <v>152</v>
      </c>
      <c r="D82" s="12" t="s">
        <v>231</v>
      </c>
      <c r="E82" s="18">
        <v>33.15</v>
      </c>
      <c r="F82" s="19">
        <v>66.099999999999994</v>
      </c>
      <c r="G82" s="18">
        <v>54.27</v>
      </c>
      <c r="H82" s="18">
        <v>13.94</v>
      </c>
      <c r="I82" s="18">
        <v>2.87</v>
      </c>
      <c r="J82" s="18">
        <v>33.15</v>
      </c>
      <c r="K82" s="18">
        <v>23.53</v>
      </c>
      <c r="L82" s="18">
        <v>30.22</v>
      </c>
      <c r="M82" s="18">
        <v>157.99</v>
      </c>
      <c r="N82" s="23">
        <f t="shared" si="3"/>
        <v>6132.9999999999991</v>
      </c>
      <c r="O82" s="24">
        <f t="shared" si="2"/>
        <v>66.099999999999994</v>
      </c>
    </row>
    <row r="83" spans="1:15" ht="58" x14ac:dyDescent="0.35">
      <c r="A83" s="12" t="s">
        <v>232</v>
      </c>
      <c r="B83" s="12" t="s">
        <v>233</v>
      </c>
      <c r="C83" s="12" t="s">
        <v>37</v>
      </c>
      <c r="D83" s="12" t="s">
        <v>234</v>
      </c>
      <c r="E83" s="18">
        <v>33.51</v>
      </c>
      <c r="F83" s="19">
        <v>1.1000000000000001</v>
      </c>
      <c r="G83" s="18">
        <v>21.51</v>
      </c>
      <c r="H83" s="18">
        <v>24.87</v>
      </c>
      <c r="I83" s="18">
        <v>5.73</v>
      </c>
      <c r="J83" s="18">
        <v>46.09</v>
      </c>
      <c r="K83" s="18">
        <v>34.53</v>
      </c>
      <c r="L83" s="18">
        <v>25.67</v>
      </c>
      <c r="M83" s="18">
        <v>158.38999999999999</v>
      </c>
      <c r="N83" s="23">
        <f t="shared" si="3"/>
        <v>6134.0999999999995</v>
      </c>
      <c r="O83" s="24">
        <f t="shared" si="2"/>
        <v>1.1000000000000001</v>
      </c>
    </row>
    <row r="84" spans="1:15" ht="116" x14ac:dyDescent="0.35">
      <c r="A84" s="12" t="s">
        <v>235</v>
      </c>
      <c r="B84" s="12" t="s">
        <v>236</v>
      </c>
      <c r="C84" s="12" t="s">
        <v>237</v>
      </c>
      <c r="D84" s="12" t="s">
        <v>238</v>
      </c>
      <c r="E84" s="18">
        <v>33.520000000000003</v>
      </c>
      <c r="F84" s="19">
        <v>117.6</v>
      </c>
      <c r="G84" s="18">
        <v>10.97</v>
      </c>
      <c r="H84" s="18">
        <v>23.64</v>
      </c>
      <c r="I84" s="18">
        <v>14.84</v>
      </c>
      <c r="J84" s="18">
        <v>33.93</v>
      </c>
      <c r="K84" s="18">
        <v>51.56</v>
      </c>
      <c r="L84" s="18">
        <v>24.3</v>
      </c>
      <c r="M84" s="18">
        <v>159.24</v>
      </c>
      <c r="N84" s="23">
        <f t="shared" si="3"/>
        <v>6251.7</v>
      </c>
      <c r="O84" s="24">
        <f t="shared" si="2"/>
        <v>117.6</v>
      </c>
    </row>
    <row r="85" spans="1:15" ht="29" x14ac:dyDescent="0.35">
      <c r="A85" s="12" t="s">
        <v>239</v>
      </c>
      <c r="B85" s="12" t="s">
        <v>240</v>
      </c>
      <c r="C85" s="12" t="s">
        <v>23</v>
      </c>
      <c r="D85" s="12" t="s">
        <v>165</v>
      </c>
      <c r="E85" s="18">
        <v>34.159999999999997</v>
      </c>
      <c r="F85" s="19">
        <v>102.1</v>
      </c>
      <c r="G85" s="18">
        <v>10.44</v>
      </c>
      <c r="H85" s="18">
        <v>26.83</v>
      </c>
      <c r="I85" s="18">
        <v>40.26</v>
      </c>
      <c r="J85" s="18">
        <v>24.98</v>
      </c>
      <c r="K85" s="18">
        <v>29.44</v>
      </c>
      <c r="L85" s="18">
        <v>27.75</v>
      </c>
      <c r="M85" s="18">
        <v>159.69999999999999</v>
      </c>
      <c r="N85" s="23">
        <f t="shared" si="3"/>
        <v>6353.8</v>
      </c>
      <c r="O85" s="24">
        <f t="shared" si="2"/>
        <v>102.1</v>
      </c>
    </row>
    <row r="86" spans="1:15" ht="29" x14ac:dyDescent="0.35">
      <c r="A86" s="12" t="s">
        <v>241</v>
      </c>
      <c r="B86" s="12" t="s">
        <v>242</v>
      </c>
      <c r="C86" s="12" t="s">
        <v>56</v>
      </c>
      <c r="D86" s="12" t="s">
        <v>243</v>
      </c>
      <c r="E86" s="18">
        <v>34.72</v>
      </c>
      <c r="F86" s="19">
        <v>23.4</v>
      </c>
      <c r="G86" s="18">
        <v>74.28</v>
      </c>
      <c r="H86" s="18">
        <v>11.21</v>
      </c>
      <c r="I86" s="18">
        <v>2.4500000000000002</v>
      </c>
      <c r="J86" s="18">
        <v>21.68</v>
      </c>
      <c r="K86" s="18">
        <v>34.630000000000003</v>
      </c>
      <c r="L86" s="18">
        <v>16.29</v>
      </c>
      <c r="M86" s="18">
        <v>160.54</v>
      </c>
      <c r="N86" s="23">
        <f t="shared" si="3"/>
        <v>6377.2</v>
      </c>
      <c r="O86" s="24">
        <f t="shared" si="2"/>
        <v>23.4</v>
      </c>
    </row>
    <row r="87" spans="1:15" ht="29" x14ac:dyDescent="0.35">
      <c r="A87" s="12" t="s">
        <v>244</v>
      </c>
      <c r="B87" s="12" t="s">
        <v>245</v>
      </c>
      <c r="C87" s="12" t="s">
        <v>56</v>
      </c>
      <c r="D87" s="12" t="s">
        <v>246</v>
      </c>
      <c r="E87" s="18">
        <v>34.85</v>
      </c>
      <c r="F87" s="19">
        <v>15.4</v>
      </c>
      <c r="G87" s="18">
        <v>30.89</v>
      </c>
      <c r="H87" s="18">
        <v>26.38</v>
      </c>
      <c r="I87" s="18">
        <v>6.05</v>
      </c>
      <c r="J87" s="18">
        <v>29.53</v>
      </c>
      <c r="K87" s="18">
        <v>48.93</v>
      </c>
      <c r="L87" s="18">
        <v>19.3</v>
      </c>
      <c r="M87" s="18">
        <v>161.08000000000001</v>
      </c>
      <c r="N87" s="23">
        <f t="shared" si="3"/>
        <v>6392.5999999999995</v>
      </c>
      <c r="O87" s="24">
        <f t="shared" si="2"/>
        <v>15.4</v>
      </c>
    </row>
    <row r="88" spans="1:15" ht="58" x14ac:dyDescent="0.35">
      <c r="A88" s="12" t="s">
        <v>247</v>
      </c>
      <c r="B88" s="12" t="s">
        <v>248</v>
      </c>
      <c r="C88" s="12" t="s">
        <v>41</v>
      </c>
      <c r="D88" s="12" t="s">
        <v>249</v>
      </c>
      <c r="E88" s="18">
        <v>34.93</v>
      </c>
      <c r="F88" s="19">
        <v>98.8</v>
      </c>
      <c r="G88" s="18">
        <v>38.880000000000003</v>
      </c>
      <c r="H88" s="18">
        <v>37.64</v>
      </c>
      <c r="I88" s="18">
        <v>7.39</v>
      </c>
      <c r="J88" s="18">
        <v>38.28</v>
      </c>
      <c r="K88" s="18">
        <v>35.85</v>
      </c>
      <c r="L88" s="18">
        <v>3.49</v>
      </c>
      <c r="M88" s="18">
        <v>161.51</v>
      </c>
      <c r="N88" s="23">
        <f t="shared" si="3"/>
        <v>6491.4</v>
      </c>
      <c r="O88" s="24">
        <f t="shared" si="2"/>
        <v>98.8</v>
      </c>
    </row>
    <row r="89" spans="1:15" ht="29" x14ac:dyDescent="0.35">
      <c r="A89" s="12" t="s">
        <v>250</v>
      </c>
      <c r="B89" s="12" t="s">
        <v>251</v>
      </c>
      <c r="C89" s="12" t="s">
        <v>27</v>
      </c>
      <c r="D89" s="12" t="s">
        <v>108</v>
      </c>
      <c r="E89" s="18">
        <v>35.47</v>
      </c>
      <c r="F89" s="19">
        <v>32.1</v>
      </c>
      <c r="G89" s="18">
        <v>32.54</v>
      </c>
      <c r="H89" s="18">
        <v>23.83</v>
      </c>
      <c r="I89" s="18">
        <v>8.36</v>
      </c>
      <c r="J89" s="18">
        <v>23.5</v>
      </c>
      <c r="K89" s="18">
        <v>22.92</v>
      </c>
      <c r="L89" s="18">
        <v>50.99</v>
      </c>
      <c r="M89" s="18">
        <v>162.13999999999999</v>
      </c>
      <c r="N89" s="23">
        <f t="shared" si="3"/>
        <v>6523.5</v>
      </c>
      <c r="O89" s="24">
        <f t="shared" si="2"/>
        <v>32.1</v>
      </c>
    </row>
    <row r="90" spans="1:15" x14ac:dyDescent="0.35">
      <c r="A90" s="12" t="s">
        <v>252</v>
      </c>
      <c r="B90" s="12" t="s">
        <v>253</v>
      </c>
      <c r="C90" s="12" t="s">
        <v>27</v>
      </c>
      <c r="D90" s="12" t="s">
        <v>254</v>
      </c>
      <c r="E90" s="18">
        <v>35.65</v>
      </c>
      <c r="F90" s="19">
        <v>81.5</v>
      </c>
      <c r="G90" s="18">
        <v>26</v>
      </c>
      <c r="H90" s="18">
        <v>22.21</v>
      </c>
      <c r="I90" s="18">
        <v>51.86</v>
      </c>
      <c r="J90" s="18">
        <v>18.21</v>
      </c>
      <c r="K90" s="18">
        <v>34.21</v>
      </c>
      <c r="L90" s="18">
        <v>10.92</v>
      </c>
      <c r="M90" s="18">
        <v>163.4</v>
      </c>
      <c r="N90" s="23">
        <f t="shared" si="3"/>
        <v>6605</v>
      </c>
      <c r="O90" s="24">
        <f t="shared" si="2"/>
        <v>81.5</v>
      </c>
    </row>
    <row r="91" spans="1:15" ht="58" x14ac:dyDescent="0.35">
      <c r="A91" s="12" t="s">
        <v>255</v>
      </c>
      <c r="B91" s="12" t="s">
        <v>256</v>
      </c>
      <c r="C91" s="12" t="s">
        <v>27</v>
      </c>
      <c r="D91" s="12" t="s">
        <v>257</v>
      </c>
      <c r="E91" s="18">
        <v>36.090000000000003</v>
      </c>
      <c r="F91" s="19">
        <v>254.3</v>
      </c>
      <c r="G91" s="18">
        <v>9.77</v>
      </c>
      <c r="H91" s="18">
        <v>46.05</v>
      </c>
      <c r="I91" s="18">
        <v>25.68</v>
      </c>
      <c r="J91" s="18">
        <v>54.62</v>
      </c>
      <c r="K91" s="18">
        <v>0</v>
      </c>
      <c r="L91" s="18">
        <v>27.6</v>
      </c>
      <c r="M91" s="18">
        <v>163.72999999999999</v>
      </c>
      <c r="N91" s="23">
        <f t="shared" si="3"/>
        <v>6859.3</v>
      </c>
      <c r="O91" s="24">
        <f t="shared" si="2"/>
        <v>254.3</v>
      </c>
    </row>
    <row r="92" spans="1:15" ht="130.5" x14ac:dyDescent="0.35">
      <c r="A92" s="12" t="s">
        <v>258</v>
      </c>
      <c r="B92" s="12" t="s">
        <v>259</v>
      </c>
      <c r="C92" s="12" t="s">
        <v>27</v>
      </c>
      <c r="D92" s="12" t="s">
        <v>260</v>
      </c>
      <c r="E92" s="18">
        <v>37.479999999999997</v>
      </c>
      <c r="F92" s="19">
        <v>329</v>
      </c>
      <c r="G92" s="18">
        <v>31.38</v>
      </c>
      <c r="H92" s="18">
        <v>13.4</v>
      </c>
      <c r="I92" s="18">
        <v>6.12</v>
      </c>
      <c r="J92" s="18">
        <v>26.48</v>
      </c>
      <c r="K92" s="18">
        <v>60.15</v>
      </c>
      <c r="L92" s="18">
        <v>26.95</v>
      </c>
      <c r="M92" s="18">
        <v>164.48</v>
      </c>
      <c r="N92" s="23">
        <f t="shared" si="3"/>
        <v>7188.3</v>
      </c>
      <c r="O92" s="24">
        <f t="shared" si="2"/>
        <v>329</v>
      </c>
    </row>
    <row r="93" spans="1:15" ht="29" x14ac:dyDescent="0.35">
      <c r="A93" s="12" t="s">
        <v>261</v>
      </c>
      <c r="B93" s="12" t="s">
        <v>262</v>
      </c>
      <c r="C93" s="12" t="s">
        <v>23</v>
      </c>
      <c r="D93" s="12" t="s">
        <v>263</v>
      </c>
      <c r="E93" s="18">
        <v>39.28</v>
      </c>
      <c r="F93" s="19">
        <v>16.8</v>
      </c>
      <c r="G93" s="18">
        <v>15.22</v>
      </c>
      <c r="H93" s="18">
        <v>31.35</v>
      </c>
      <c r="I93" s="18">
        <v>32.04</v>
      </c>
      <c r="J93" s="18">
        <v>42.33</v>
      </c>
      <c r="K93" s="18">
        <v>20.39</v>
      </c>
      <c r="L93" s="18">
        <v>23.73</v>
      </c>
      <c r="M93" s="18">
        <v>165.06</v>
      </c>
      <c r="N93" s="23">
        <f t="shared" si="3"/>
        <v>7205.1</v>
      </c>
      <c r="O93" s="24">
        <f t="shared" si="2"/>
        <v>16.8</v>
      </c>
    </row>
    <row r="94" spans="1:15" x14ac:dyDescent="0.35">
      <c r="A94" s="12" t="s">
        <v>264</v>
      </c>
      <c r="B94" s="12" t="s">
        <v>265</v>
      </c>
      <c r="C94" s="12" t="s">
        <v>80</v>
      </c>
      <c r="D94" s="12" t="s">
        <v>81</v>
      </c>
      <c r="E94" s="18">
        <v>39.369999999999997</v>
      </c>
      <c r="F94" s="19">
        <v>387.9</v>
      </c>
      <c r="G94" s="18">
        <v>76.66</v>
      </c>
      <c r="H94" s="18">
        <v>14.65</v>
      </c>
      <c r="I94" s="18">
        <v>7.62</v>
      </c>
      <c r="J94" s="18">
        <v>26.81</v>
      </c>
      <c r="K94" s="18">
        <v>25.79</v>
      </c>
      <c r="L94" s="18">
        <v>13.62</v>
      </c>
      <c r="M94" s="18">
        <v>165.16</v>
      </c>
      <c r="N94" s="23">
        <f t="shared" si="3"/>
        <v>7593</v>
      </c>
      <c r="O94" s="24">
        <f t="shared" si="2"/>
        <v>387.9</v>
      </c>
    </row>
    <row r="95" spans="1:15" ht="29" x14ac:dyDescent="0.35">
      <c r="A95" s="12" t="s">
        <v>266</v>
      </c>
      <c r="B95" s="12" t="s">
        <v>267</v>
      </c>
      <c r="C95" s="12" t="s">
        <v>37</v>
      </c>
      <c r="D95" s="12" t="s">
        <v>91</v>
      </c>
      <c r="E95" s="18">
        <v>41.49</v>
      </c>
      <c r="F95" s="19">
        <v>4</v>
      </c>
      <c r="G95" s="18">
        <v>54.09</v>
      </c>
      <c r="H95" s="18">
        <v>26.61</v>
      </c>
      <c r="I95" s="18">
        <v>2.73</v>
      </c>
      <c r="J95" s="18">
        <v>36.65</v>
      </c>
      <c r="K95" s="18">
        <v>27.72</v>
      </c>
      <c r="L95" s="18">
        <v>19.41</v>
      </c>
      <c r="M95" s="18">
        <v>167.21</v>
      </c>
      <c r="N95" s="23">
        <f t="shared" si="3"/>
        <v>7597</v>
      </c>
      <c r="O95" s="24">
        <f t="shared" si="2"/>
        <v>4</v>
      </c>
    </row>
    <row r="96" spans="1:15" ht="101.5" x14ac:dyDescent="0.35">
      <c r="A96" s="12" t="s">
        <v>268</v>
      </c>
      <c r="B96" s="12" t="s">
        <v>269</v>
      </c>
      <c r="C96" s="12" t="s">
        <v>69</v>
      </c>
      <c r="D96" s="12" t="s">
        <v>270</v>
      </c>
      <c r="E96" s="18">
        <v>41.51</v>
      </c>
      <c r="F96" s="19">
        <v>0.4</v>
      </c>
      <c r="G96" s="18">
        <v>65.98</v>
      </c>
      <c r="H96" s="18">
        <v>19.82</v>
      </c>
      <c r="I96" s="18">
        <v>0.94</v>
      </c>
      <c r="J96" s="18">
        <v>55.2</v>
      </c>
      <c r="K96" s="18">
        <v>21.19</v>
      </c>
      <c r="L96" s="18">
        <v>7.34</v>
      </c>
      <c r="M96" s="18">
        <v>170.46</v>
      </c>
      <c r="N96" s="23">
        <f t="shared" si="3"/>
        <v>7597.4</v>
      </c>
      <c r="O96" s="24">
        <f t="shared" si="2"/>
        <v>0.4</v>
      </c>
    </row>
    <row r="97" spans="1:15" ht="43.5" x14ac:dyDescent="0.35">
      <c r="A97" s="12" t="s">
        <v>271</v>
      </c>
      <c r="B97" s="12" t="s">
        <v>272</v>
      </c>
      <c r="C97" s="12" t="s">
        <v>114</v>
      </c>
      <c r="D97" s="12" t="s">
        <v>195</v>
      </c>
      <c r="E97" s="18">
        <v>41.51</v>
      </c>
      <c r="F97" s="19">
        <v>0.3</v>
      </c>
      <c r="G97" s="18">
        <v>30.13</v>
      </c>
      <c r="H97" s="18">
        <v>11.09</v>
      </c>
      <c r="I97" s="18">
        <v>2.39</v>
      </c>
      <c r="J97" s="18">
        <v>68.64</v>
      </c>
      <c r="K97" s="18">
        <v>34.04</v>
      </c>
      <c r="L97" s="18">
        <v>24.21</v>
      </c>
      <c r="M97" s="18">
        <v>170.5</v>
      </c>
      <c r="N97" s="23">
        <f t="shared" si="3"/>
        <v>7597.7</v>
      </c>
      <c r="O97" s="24">
        <f t="shared" si="2"/>
        <v>0.3</v>
      </c>
    </row>
    <row r="98" spans="1:15" ht="43.5" x14ac:dyDescent="0.35">
      <c r="A98" s="12" t="s">
        <v>273</v>
      </c>
      <c r="B98" s="12" t="s">
        <v>274</v>
      </c>
      <c r="C98" s="12" t="s">
        <v>275</v>
      </c>
      <c r="D98" s="12" t="s">
        <v>276</v>
      </c>
      <c r="E98" s="18">
        <v>41.52</v>
      </c>
      <c r="F98" s="19">
        <v>35.4</v>
      </c>
      <c r="G98" s="18">
        <v>32.08</v>
      </c>
      <c r="H98" s="18">
        <v>39.909999999999997</v>
      </c>
      <c r="I98" s="18">
        <v>8.4600000000000009</v>
      </c>
      <c r="J98" s="18">
        <v>32.68</v>
      </c>
      <c r="K98" s="18">
        <v>44.66</v>
      </c>
      <c r="L98" s="18">
        <v>13.34</v>
      </c>
      <c r="M98" s="18">
        <v>171.13</v>
      </c>
      <c r="N98" s="23">
        <f t="shared" si="3"/>
        <v>7633.0999999999995</v>
      </c>
      <c r="O98" s="24">
        <f t="shared" si="2"/>
        <v>35.4</v>
      </c>
    </row>
    <row r="99" spans="1:15" ht="43.5" x14ac:dyDescent="0.35">
      <c r="A99" s="12" t="s">
        <v>277</v>
      </c>
      <c r="B99" s="12" t="s">
        <v>278</v>
      </c>
      <c r="C99" s="12" t="s">
        <v>37</v>
      </c>
      <c r="D99" s="12" t="s">
        <v>279</v>
      </c>
      <c r="E99" s="18">
        <v>41.71</v>
      </c>
      <c r="F99" s="19">
        <v>1.6</v>
      </c>
      <c r="G99" s="18">
        <v>38.590000000000003</v>
      </c>
      <c r="H99" s="18">
        <v>43.01</v>
      </c>
      <c r="I99" s="18">
        <v>3.56</v>
      </c>
      <c r="J99" s="18">
        <v>45.18</v>
      </c>
      <c r="K99" s="18">
        <v>21.67</v>
      </c>
      <c r="L99" s="18">
        <v>19.22</v>
      </c>
      <c r="M99" s="18">
        <v>171.22</v>
      </c>
      <c r="N99" s="23">
        <f t="shared" si="3"/>
        <v>7634.7</v>
      </c>
      <c r="O99" s="24">
        <f t="shared" si="2"/>
        <v>1.6</v>
      </c>
    </row>
    <row r="100" spans="1:15" ht="58" x14ac:dyDescent="0.35">
      <c r="A100" s="12" t="s">
        <v>280</v>
      </c>
      <c r="B100" s="12" t="s">
        <v>281</v>
      </c>
      <c r="C100" s="12" t="s">
        <v>69</v>
      </c>
      <c r="D100" s="12" t="s">
        <v>282</v>
      </c>
      <c r="E100" s="18">
        <v>41.72</v>
      </c>
      <c r="F100" s="19">
        <v>1.9</v>
      </c>
      <c r="G100" s="18">
        <v>119.65</v>
      </c>
      <c r="H100" s="18">
        <v>26.46</v>
      </c>
      <c r="I100" s="18">
        <v>3.14</v>
      </c>
      <c r="J100" s="18">
        <v>12.72</v>
      </c>
      <c r="K100" s="18">
        <v>1.3</v>
      </c>
      <c r="L100" s="18">
        <v>8.67</v>
      </c>
      <c r="M100" s="18">
        <v>171.94</v>
      </c>
      <c r="N100" s="23">
        <f t="shared" si="3"/>
        <v>7636.5999999999995</v>
      </c>
      <c r="O100" s="24">
        <f t="shared" si="2"/>
        <v>1.9</v>
      </c>
    </row>
    <row r="101" spans="1:15" ht="29" x14ac:dyDescent="0.35">
      <c r="A101" s="12" t="s">
        <v>283</v>
      </c>
      <c r="B101" s="12" t="s">
        <v>284</v>
      </c>
      <c r="C101" s="12" t="s">
        <v>130</v>
      </c>
      <c r="D101" s="12" t="s">
        <v>285</v>
      </c>
      <c r="E101" s="18">
        <v>41.73</v>
      </c>
      <c r="F101" s="19">
        <v>58.6</v>
      </c>
      <c r="G101" s="18">
        <v>63.96</v>
      </c>
      <c r="H101" s="18">
        <v>28.62</v>
      </c>
      <c r="I101" s="18">
        <v>6.1</v>
      </c>
      <c r="J101" s="18">
        <v>37.93</v>
      </c>
      <c r="K101" s="18">
        <v>20.059999999999999</v>
      </c>
      <c r="L101" s="18">
        <v>16.36</v>
      </c>
      <c r="M101" s="18">
        <v>173.04</v>
      </c>
      <c r="N101" s="23">
        <f t="shared" si="3"/>
        <v>7695.2</v>
      </c>
      <c r="O101" s="24">
        <f t="shared" si="2"/>
        <v>58.6</v>
      </c>
    </row>
    <row r="102" spans="1:15" ht="29" x14ac:dyDescent="0.35">
      <c r="A102" s="12" t="s">
        <v>286</v>
      </c>
      <c r="B102" s="12" t="s">
        <v>287</v>
      </c>
      <c r="C102" s="12" t="s">
        <v>33</v>
      </c>
      <c r="D102" s="12" t="s">
        <v>34</v>
      </c>
      <c r="E102" s="18">
        <v>42.05</v>
      </c>
      <c r="F102" s="19">
        <v>76.8</v>
      </c>
      <c r="G102" s="18">
        <v>21.47</v>
      </c>
      <c r="H102" s="18">
        <v>68.540000000000006</v>
      </c>
      <c r="I102" s="18">
        <v>26.29</v>
      </c>
      <c r="J102" s="18">
        <v>34.71</v>
      </c>
      <c r="K102" s="18">
        <v>22.5</v>
      </c>
      <c r="L102" s="18">
        <v>0</v>
      </c>
      <c r="M102" s="18">
        <v>173.52</v>
      </c>
      <c r="N102" s="23">
        <f t="shared" si="3"/>
        <v>7772</v>
      </c>
      <c r="O102" s="24">
        <f t="shared" si="2"/>
        <v>76.8</v>
      </c>
    </row>
    <row r="103" spans="1:15" ht="174" x14ac:dyDescent="0.35">
      <c r="A103" s="12" t="s">
        <v>288</v>
      </c>
      <c r="B103" s="12" t="s">
        <v>289</v>
      </c>
      <c r="C103" s="12" t="s">
        <v>80</v>
      </c>
      <c r="D103" s="12" t="s">
        <v>290</v>
      </c>
      <c r="E103" s="18">
        <v>42.47</v>
      </c>
      <c r="F103" s="19">
        <v>275</v>
      </c>
      <c r="G103" s="18">
        <v>44.2</v>
      </c>
      <c r="H103" s="18">
        <v>36.79</v>
      </c>
      <c r="I103" s="18">
        <v>25.57</v>
      </c>
      <c r="J103" s="18">
        <v>17.41</v>
      </c>
      <c r="K103" s="18">
        <v>35</v>
      </c>
      <c r="L103" s="18">
        <v>15.09</v>
      </c>
      <c r="M103" s="18">
        <v>174.06</v>
      </c>
      <c r="N103" s="23">
        <f t="shared" si="3"/>
        <v>8047</v>
      </c>
      <c r="O103" s="24">
        <f t="shared" si="2"/>
        <v>275</v>
      </c>
    </row>
    <row r="104" spans="1:15" ht="29" x14ac:dyDescent="0.35">
      <c r="A104" s="12" t="s">
        <v>291</v>
      </c>
      <c r="B104" s="12" t="s">
        <v>292</v>
      </c>
      <c r="C104" s="12" t="s">
        <v>37</v>
      </c>
      <c r="D104" s="12" t="s">
        <v>127</v>
      </c>
      <c r="E104" s="18">
        <v>43.97</v>
      </c>
      <c r="F104" s="19">
        <v>11.2</v>
      </c>
      <c r="G104" s="18">
        <v>50.78</v>
      </c>
      <c r="H104" s="18">
        <v>38.51</v>
      </c>
      <c r="I104" s="18">
        <v>5.14</v>
      </c>
      <c r="J104" s="18">
        <v>39.36</v>
      </c>
      <c r="K104" s="18">
        <v>22.85</v>
      </c>
      <c r="L104" s="18">
        <v>18.39</v>
      </c>
      <c r="M104" s="18">
        <v>175.03</v>
      </c>
      <c r="N104" s="23">
        <f t="shared" si="3"/>
        <v>8058.2</v>
      </c>
      <c r="O104" s="24">
        <f t="shared" si="2"/>
        <v>11.2</v>
      </c>
    </row>
    <row r="105" spans="1:15" ht="72.5" x14ac:dyDescent="0.35">
      <c r="A105" s="12" t="s">
        <v>293</v>
      </c>
      <c r="B105" s="12" t="s">
        <v>294</v>
      </c>
      <c r="C105" s="12" t="s">
        <v>56</v>
      </c>
      <c r="D105" s="12" t="s">
        <v>295</v>
      </c>
      <c r="E105" s="18">
        <v>44.03</v>
      </c>
      <c r="F105" s="19">
        <v>0.5</v>
      </c>
      <c r="G105" s="18">
        <v>48.32</v>
      </c>
      <c r="H105" s="18">
        <v>41.57</v>
      </c>
      <c r="I105" s="18">
        <v>9.73</v>
      </c>
      <c r="J105" s="18">
        <v>31.15</v>
      </c>
      <c r="K105" s="18">
        <v>16.510000000000002</v>
      </c>
      <c r="L105" s="18">
        <v>28.46</v>
      </c>
      <c r="M105" s="18">
        <v>175.73</v>
      </c>
      <c r="N105" s="23">
        <f t="shared" si="3"/>
        <v>8058.7</v>
      </c>
      <c r="O105" s="24">
        <f t="shared" si="2"/>
        <v>0.5</v>
      </c>
    </row>
    <row r="106" spans="1:15" ht="29" x14ac:dyDescent="0.35">
      <c r="A106" s="12" t="s">
        <v>296</v>
      </c>
      <c r="B106" s="12" t="s">
        <v>297</v>
      </c>
      <c r="C106" s="12" t="s">
        <v>69</v>
      </c>
      <c r="D106" s="12" t="s">
        <v>146</v>
      </c>
      <c r="E106" s="18">
        <v>44.03</v>
      </c>
      <c r="F106" s="19">
        <v>0.3</v>
      </c>
      <c r="G106" s="18">
        <v>90.08</v>
      </c>
      <c r="H106" s="18">
        <v>31.44</v>
      </c>
      <c r="I106" s="18">
        <v>4.7</v>
      </c>
      <c r="J106" s="18">
        <v>11.11</v>
      </c>
      <c r="K106" s="18">
        <v>23.81</v>
      </c>
      <c r="L106" s="18">
        <v>15.43</v>
      </c>
      <c r="M106" s="18">
        <v>176.57</v>
      </c>
      <c r="N106" s="23">
        <f t="shared" si="3"/>
        <v>8059</v>
      </c>
      <c r="O106" s="24">
        <f t="shared" si="2"/>
        <v>0.3</v>
      </c>
    </row>
    <row r="107" spans="1:15" ht="43.5" x14ac:dyDescent="0.35">
      <c r="A107" s="12" t="s">
        <v>298</v>
      </c>
      <c r="B107" s="12" t="s">
        <v>299</v>
      </c>
      <c r="C107" s="12" t="s">
        <v>69</v>
      </c>
      <c r="D107" s="12" t="s">
        <v>124</v>
      </c>
      <c r="E107" s="18">
        <v>44.04</v>
      </c>
      <c r="F107" s="19">
        <v>0.3</v>
      </c>
      <c r="G107" s="18">
        <v>81.150000000000006</v>
      </c>
      <c r="H107" s="18">
        <v>21.12</v>
      </c>
      <c r="I107" s="18">
        <v>2.6</v>
      </c>
      <c r="J107" s="18">
        <v>52.89</v>
      </c>
      <c r="K107" s="18">
        <v>5.12</v>
      </c>
      <c r="L107" s="18">
        <v>14.02</v>
      </c>
      <c r="M107" s="18">
        <v>176.9</v>
      </c>
      <c r="N107" s="23">
        <f t="shared" si="3"/>
        <v>8059.3</v>
      </c>
      <c r="O107" s="24">
        <f t="shared" si="2"/>
        <v>0.3</v>
      </c>
    </row>
    <row r="108" spans="1:15" ht="87" x14ac:dyDescent="0.35">
      <c r="A108" s="12" t="s">
        <v>300</v>
      </c>
      <c r="B108" s="12" t="s">
        <v>301</v>
      </c>
      <c r="C108" s="12" t="s">
        <v>41</v>
      </c>
      <c r="D108" s="12" t="s">
        <v>302</v>
      </c>
      <c r="E108" s="18">
        <v>44.04</v>
      </c>
      <c r="F108" s="19">
        <v>45.2</v>
      </c>
      <c r="G108" s="18">
        <v>48.13</v>
      </c>
      <c r="H108" s="18">
        <v>39.72</v>
      </c>
      <c r="I108" s="18">
        <v>4.68</v>
      </c>
      <c r="J108" s="18">
        <v>58.82</v>
      </c>
      <c r="K108" s="18">
        <v>23.4</v>
      </c>
      <c r="L108" s="18">
        <v>2.2599999999999998</v>
      </c>
      <c r="M108" s="18">
        <v>177</v>
      </c>
      <c r="N108" s="23">
        <f t="shared" si="3"/>
        <v>8104.5</v>
      </c>
      <c r="O108" s="24">
        <f t="shared" si="2"/>
        <v>45.2</v>
      </c>
    </row>
    <row r="109" spans="1:15" ht="29" x14ac:dyDescent="0.35">
      <c r="A109" s="12" t="s">
        <v>303</v>
      </c>
      <c r="B109" s="12" t="s">
        <v>304</v>
      </c>
      <c r="C109" s="12" t="s">
        <v>37</v>
      </c>
      <c r="D109" s="12" t="s">
        <v>91</v>
      </c>
      <c r="E109" s="18">
        <v>44.29</v>
      </c>
      <c r="F109" s="19">
        <v>61.6</v>
      </c>
      <c r="G109" s="18">
        <v>41.03</v>
      </c>
      <c r="H109" s="18">
        <v>21.35</v>
      </c>
      <c r="I109" s="18">
        <v>3.53</v>
      </c>
      <c r="J109" s="18">
        <v>49.6</v>
      </c>
      <c r="K109" s="18">
        <v>31.38</v>
      </c>
      <c r="L109" s="18">
        <v>30.4</v>
      </c>
      <c r="M109" s="18">
        <v>177.29</v>
      </c>
      <c r="N109" s="23">
        <f t="shared" si="3"/>
        <v>8166.1</v>
      </c>
      <c r="O109" s="24">
        <f t="shared" si="2"/>
        <v>61.6</v>
      </c>
    </row>
    <row r="110" spans="1:15" ht="43.5" x14ac:dyDescent="0.35">
      <c r="A110" s="12" t="s">
        <v>305</v>
      </c>
      <c r="B110" s="12" t="s">
        <v>306</v>
      </c>
      <c r="C110" s="12" t="s">
        <v>80</v>
      </c>
      <c r="D110" s="12" t="s">
        <v>307</v>
      </c>
      <c r="E110" s="18">
        <v>44.62</v>
      </c>
      <c r="F110" s="19">
        <v>10.7</v>
      </c>
      <c r="G110" s="18">
        <v>73.849999999999994</v>
      </c>
      <c r="H110" s="18">
        <v>42.64</v>
      </c>
      <c r="I110" s="18">
        <v>29.12</v>
      </c>
      <c r="J110" s="18">
        <v>27.56</v>
      </c>
      <c r="K110" s="18">
        <v>4.34</v>
      </c>
      <c r="L110" s="18">
        <v>0</v>
      </c>
      <c r="M110" s="18">
        <v>177.5</v>
      </c>
      <c r="N110" s="23">
        <f t="shared" si="3"/>
        <v>8176.8</v>
      </c>
      <c r="O110" s="24">
        <f t="shared" si="2"/>
        <v>10.7</v>
      </c>
    </row>
    <row r="111" spans="1:15" x14ac:dyDescent="0.35">
      <c r="A111" s="12" t="s">
        <v>308</v>
      </c>
      <c r="B111" s="12" t="s">
        <v>309</v>
      </c>
      <c r="C111" s="12" t="s">
        <v>80</v>
      </c>
      <c r="D111" s="12" t="s">
        <v>81</v>
      </c>
      <c r="E111" s="18">
        <v>44.68</v>
      </c>
      <c r="F111" s="19">
        <v>109.5</v>
      </c>
      <c r="G111" s="18">
        <v>70.06</v>
      </c>
      <c r="H111" s="18">
        <v>44.81</v>
      </c>
      <c r="I111" s="18">
        <v>6.38</v>
      </c>
      <c r="J111" s="18">
        <v>40.42</v>
      </c>
      <c r="K111" s="18">
        <v>8.9700000000000006</v>
      </c>
      <c r="L111" s="18">
        <v>8.31</v>
      </c>
      <c r="M111" s="18">
        <v>178.95</v>
      </c>
      <c r="N111" s="23">
        <f t="shared" si="3"/>
        <v>8286.2999999999993</v>
      </c>
      <c r="O111" s="24">
        <f t="shared" si="2"/>
        <v>109.5</v>
      </c>
    </row>
    <row r="112" spans="1:15" ht="58" x14ac:dyDescent="0.35">
      <c r="A112" s="12" t="s">
        <v>310</v>
      </c>
      <c r="B112" s="12" t="s">
        <v>311</v>
      </c>
      <c r="C112" s="12" t="s">
        <v>69</v>
      </c>
      <c r="D112" s="12" t="s">
        <v>312</v>
      </c>
      <c r="E112" s="18">
        <v>45.28</v>
      </c>
      <c r="F112" s="19">
        <v>5.9</v>
      </c>
      <c r="G112" s="18">
        <v>47.41</v>
      </c>
      <c r="H112" s="18">
        <v>46.9</v>
      </c>
      <c r="I112" s="18">
        <v>4.6900000000000004</v>
      </c>
      <c r="J112" s="18">
        <v>16.21</v>
      </c>
      <c r="K112" s="18">
        <v>35.29</v>
      </c>
      <c r="L112" s="18">
        <v>28.67</v>
      </c>
      <c r="M112" s="18">
        <v>179.16</v>
      </c>
      <c r="N112" s="23">
        <f t="shared" si="3"/>
        <v>8292.1999999999989</v>
      </c>
      <c r="O112" s="24">
        <f t="shared" si="2"/>
        <v>5.9</v>
      </c>
    </row>
    <row r="113" spans="1:15" ht="29" x14ac:dyDescent="0.35">
      <c r="A113" s="12" t="s">
        <v>313</v>
      </c>
      <c r="B113" s="12" t="s">
        <v>314</v>
      </c>
      <c r="C113" s="12" t="s">
        <v>37</v>
      </c>
      <c r="D113" s="12" t="s">
        <v>101</v>
      </c>
      <c r="E113" s="18">
        <v>45.31</v>
      </c>
      <c r="F113" s="19">
        <v>0.4</v>
      </c>
      <c r="G113" s="18">
        <v>39.75</v>
      </c>
      <c r="H113" s="18">
        <v>31.42</v>
      </c>
      <c r="I113" s="18">
        <v>8.5500000000000007</v>
      </c>
      <c r="J113" s="18">
        <v>53.24</v>
      </c>
      <c r="K113" s="18">
        <v>31.64</v>
      </c>
      <c r="L113" s="18">
        <v>15.5</v>
      </c>
      <c r="M113" s="18">
        <v>180.11</v>
      </c>
      <c r="N113" s="23">
        <f t="shared" si="3"/>
        <v>8292.5999999999985</v>
      </c>
      <c r="O113" s="24">
        <f t="shared" si="2"/>
        <v>0.4</v>
      </c>
    </row>
    <row r="114" spans="1:15" ht="29" x14ac:dyDescent="0.35">
      <c r="A114" s="12" t="s">
        <v>315</v>
      </c>
      <c r="B114" s="12" t="s">
        <v>316</v>
      </c>
      <c r="C114" s="12" t="s">
        <v>130</v>
      </c>
      <c r="D114" s="12" t="s">
        <v>108</v>
      </c>
      <c r="E114" s="18">
        <v>45.31</v>
      </c>
      <c r="F114" s="19">
        <v>68.400000000000006</v>
      </c>
      <c r="G114" s="18">
        <v>77.819999999999993</v>
      </c>
      <c r="H114" s="18">
        <v>32.01</v>
      </c>
      <c r="I114" s="18">
        <v>3.98</v>
      </c>
      <c r="J114" s="18">
        <v>25.99</v>
      </c>
      <c r="K114" s="18">
        <v>24.36</v>
      </c>
      <c r="L114" s="18">
        <v>16.86</v>
      </c>
      <c r="M114" s="18">
        <v>181.01</v>
      </c>
      <c r="N114" s="23">
        <f t="shared" si="3"/>
        <v>8360.9999999999982</v>
      </c>
      <c r="O114" s="24">
        <f t="shared" si="2"/>
        <v>68.400000000000006</v>
      </c>
    </row>
    <row r="115" spans="1:15" ht="43.5" x14ac:dyDescent="0.35">
      <c r="A115" s="12" t="s">
        <v>317</v>
      </c>
      <c r="B115" s="12" t="s">
        <v>318</v>
      </c>
      <c r="C115" s="12" t="s">
        <v>37</v>
      </c>
      <c r="D115" s="12" t="s">
        <v>171</v>
      </c>
      <c r="E115" s="18">
        <v>45.69</v>
      </c>
      <c r="F115" s="19">
        <v>3.8</v>
      </c>
      <c r="G115" s="18">
        <v>51.93</v>
      </c>
      <c r="H115" s="18">
        <v>18.600000000000001</v>
      </c>
      <c r="I115" s="18">
        <v>6.9</v>
      </c>
      <c r="J115" s="18">
        <v>25.76</v>
      </c>
      <c r="K115" s="18">
        <v>56.39</v>
      </c>
      <c r="L115" s="18">
        <v>21.66</v>
      </c>
      <c r="M115" s="18">
        <v>181.24</v>
      </c>
      <c r="N115" s="23">
        <f t="shared" si="3"/>
        <v>8364.7999999999975</v>
      </c>
      <c r="O115" s="24">
        <f t="shared" si="2"/>
        <v>3.8</v>
      </c>
    </row>
    <row r="116" spans="1:15" ht="29" x14ac:dyDescent="0.35">
      <c r="A116" s="12" t="s">
        <v>319</v>
      </c>
      <c r="B116" s="12" t="s">
        <v>320</v>
      </c>
      <c r="C116" s="12" t="s">
        <v>111</v>
      </c>
      <c r="D116" s="12" t="s">
        <v>321</v>
      </c>
      <c r="E116" s="18">
        <v>45.71</v>
      </c>
      <c r="F116" s="19">
        <v>31.9</v>
      </c>
      <c r="G116" s="18">
        <v>43.35</v>
      </c>
      <c r="H116" s="18">
        <v>46.2</v>
      </c>
      <c r="I116" s="18">
        <v>20.04</v>
      </c>
      <c r="J116" s="18">
        <v>44.39</v>
      </c>
      <c r="K116" s="18">
        <v>26.47</v>
      </c>
      <c r="L116" s="18">
        <v>0.82</v>
      </c>
      <c r="M116" s="18">
        <v>181.26</v>
      </c>
      <c r="N116" s="23">
        <f t="shared" si="3"/>
        <v>8396.6999999999971</v>
      </c>
      <c r="O116" s="24">
        <f t="shared" si="2"/>
        <v>31.9</v>
      </c>
    </row>
    <row r="117" spans="1:15" ht="43.5" x14ac:dyDescent="0.35">
      <c r="A117" s="12" t="s">
        <v>322</v>
      </c>
      <c r="B117" s="12" t="s">
        <v>323</v>
      </c>
      <c r="C117" s="12" t="s">
        <v>111</v>
      </c>
      <c r="D117" s="12" t="s">
        <v>324</v>
      </c>
      <c r="E117" s="18">
        <v>45.88</v>
      </c>
      <c r="F117" s="19">
        <v>2.9</v>
      </c>
      <c r="G117" s="18">
        <v>69.36</v>
      </c>
      <c r="H117" s="18">
        <v>10.67</v>
      </c>
      <c r="I117" s="18">
        <v>9.1300000000000008</v>
      </c>
      <c r="J117" s="18">
        <v>63.26</v>
      </c>
      <c r="K117" s="18">
        <v>11.35</v>
      </c>
      <c r="L117" s="18">
        <v>18.5</v>
      </c>
      <c r="M117" s="18">
        <v>182.26</v>
      </c>
      <c r="N117" s="23">
        <f t="shared" si="3"/>
        <v>8399.5999999999967</v>
      </c>
      <c r="O117" s="24">
        <f t="shared" si="2"/>
        <v>2.9</v>
      </c>
    </row>
    <row r="118" spans="1:15" ht="29" x14ac:dyDescent="0.35">
      <c r="A118" s="12" t="s">
        <v>325</v>
      </c>
      <c r="B118" s="12" t="s">
        <v>326</v>
      </c>
      <c r="C118" s="12" t="s">
        <v>41</v>
      </c>
      <c r="D118" s="12" t="s">
        <v>42</v>
      </c>
      <c r="E118" s="18">
        <v>45.9</v>
      </c>
      <c r="F118" s="19">
        <v>169.8</v>
      </c>
      <c r="G118" s="18">
        <v>23.2</v>
      </c>
      <c r="H118" s="18">
        <v>65.900000000000006</v>
      </c>
      <c r="I118" s="18">
        <v>16.02</v>
      </c>
      <c r="J118" s="18">
        <v>40</v>
      </c>
      <c r="K118" s="18">
        <v>31.1</v>
      </c>
      <c r="L118" s="18">
        <v>7.98</v>
      </c>
      <c r="M118" s="18">
        <v>184.21</v>
      </c>
      <c r="N118" s="23">
        <f t="shared" si="3"/>
        <v>8569.399999999996</v>
      </c>
      <c r="O118" s="24">
        <f t="shared" si="2"/>
        <v>169.8</v>
      </c>
    </row>
    <row r="119" spans="1:15" ht="29" x14ac:dyDescent="0.35">
      <c r="A119" s="12" t="s">
        <v>327</v>
      </c>
      <c r="B119" s="12" t="s">
        <v>328</v>
      </c>
      <c r="C119" s="12" t="s">
        <v>23</v>
      </c>
      <c r="D119" s="12" t="s">
        <v>165</v>
      </c>
      <c r="E119" s="18">
        <v>46.83</v>
      </c>
      <c r="F119" s="19">
        <v>202.8</v>
      </c>
      <c r="G119" s="18">
        <v>9.58</v>
      </c>
      <c r="H119" s="18">
        <v>22.53</v>
      </c>
      <c r="I119" s="18">
        <v>39.46</v>
      </c>
      <c r="J119" s="18">
        <v>25.43</v>
      </c>
      <c r="K119" s="18">
        <v>60.01</v>
      </c>
      <c r="L119" s="18">
        <v>27.31</v>
      </c>
      <c r="M119" s="18">
        <v>184.33</v>
      </c>
      <c r="N119" s="23">
        <f t="shared" si="3"/>
        <v>8772.1999999999953</v>
      </c>
      <c r="O119" s="24">
        <f t="shared" si="2"/>
        <v>202.8</v>
      </c>
    </row>
    <row r="120" spans="1:15" ht="29" x14ac:dyDescent="0.35">
      <c r="A120" s="12" t="s">
        <v>329</v>
      </c>
      <c r="B120" s="12" t="s">
        <v>330</v>
      </c>
      <c r="C120" s="12" t="s">
        <v>111</v>
      </c>
      <c r="D120" s="12" t="s">
        <v>108</v>
      </c>
      <c r="E120" s="18">
        <v>47.93</v>
      </c>
      <c r="F120" s="19">
        <v>3.1</v>
      </c>
      <c r="G120" s="18">
        <v>102.97</v>
      </c>
      <c r="H120" s="18">
        <v>27.86</v>
      </c>
      <c r="I120" s="18">
        <v>2.58</v>
      </c>
      <c r="J120" s="18">
        <v>23.63</v>
      </c>
      <c r="K120" s="18">
        <v>27.42</v>
      </c>
      <c r="L120" s="18">
        <v>0</v>
      </c>
      <c r="M120" s="18">
        <v>184.46</v>
      </c>
      <c r="N120" s="23">
        <f t="shared" si="3"/>
        <v>8775.2999999999956</v>
      </c>
      <c r="O120" s="24">
        <f t="shared" si="2"/>
        <v>3.1</v>
      </c>
    </row>
    <row r="121" spans="1:15" ht="58" x14ac:dyDescent="0.35">
      <c r="A121" s="12" t="s">
        <v>331</v>
      </c>
      <c r="B121" s="12" t="s">
        <v>332</v>
      </c>
      <c r="C121" s="12" t="s">
        <v>37</v>
      </c>
      <c r="D121" s="12" t="s">
        <v>333</v>
      </c>
      <c r="E121" s="18">
        <v>47.95</v>
      </c>
      <c r="F121" s="19">
        <v>9.1</v>
      </c>
      <c r="G121" s="18">
        <v>10.31</v>
      </c>
      <c r="H121" s="18">
        <v>46.1</v>
      </c>
      <c r="I121" s="18">
        <v>11.9</v>
      </c>
      <c r="J121" s="18">
        <v>52.38</v>
      </c>
      <c r="K121" s="18">
        <v>49.19</v>
      </c>
      <c r="L121" s="18">
        <v>14.63</v>
      </c>
      <c r="M121" s="18">
        <v>184.52</v>
      </c>
      <c r="N121" s="23">
        <f t="shared" si="3"/>
        <v>8784.399999999996</v>
      </c>
      <c r="O121" s="24">
        <f t="shared" si="2"/>
        <v>9.1</v>
      </c>
    </row>
    <row r="122" spans="1:15" ht="116" x14ac:dyDescent="0.35">
      <c r="A122" s="12" t="s">
        <v>334</v>
      </c>
      <c r="B122" s="12" t="s">
        <v>335</v>
      </c>
      <c r="C122" s="12" t="s">
        <v>336</v>
      </c>
      <c r="D122" s="12" t="s">
        <v>337</v>
      </c>
      <c r="E122" s="18">
        <v>48</v>
      </c>
      <c r="F122" s="19">
        <v>336.9</v>
      </c>
      <c r="G122" s="18">
        <v>10.62</v>
      </c>
      <c r="H122" s="18">
        <v>29.7</v>
      </c>
      <c r="I122" s="18">
        <v>20.21</v>
      </c>
      <c r="J122" s="18">
        <v>82.47</v>
      </c>
      <c r="K122" s="18">
        <v>34.29</v>
      </c>
      <c r="L122" s="18">
        <v>7.5</v>
      </c>
      <c r="M122" s="18">
        <v>184.8</v>
      </c>
      <c r="N122" s="23">
        <f t="shared" si="3"/>
        <v>9121.2999999999956</v>
      </c>
      <c r="O122" s="24">
        <f t="shared" si="2"/>
        <v>336.9</v>
      </c>
    </row>
    <row r="123" spans="1:15" x14ac:dyDescent="0.35">
      <c r="A123" s="12" t="s">
        <v>338</v>
      </c>
      <c r="B123" s="12" t="s">
        <v>339</v>
      </c>
      <c r="C123" s="12" t="s">
        <v>130</v>
      </c>
      <c r="D123" s="12" t="s">
        <v>254</v>
      </c>
      <c r="E123" s="18">
        <v>49.84</v>
      </c>
      <c r="F123" s="19">
        <v>52.2</v>
      </c>
      <c r="G123" s="18">
        <v>47.23</v>
      </c>
      <c r="H123" s="18">
        <v>17.55</v>
      </c>
      <c r="I123" s="18">
        <v>3.82</v>
      </c>
      <c r="J123" s="18">
        <v>36.93</v>
      </c>
      <c r="K123" s="18">
        <v>59.06</v>
      </c>
      <c r="L123" s="18">
        <v>20.46</v>
      </c>
      <c r="M123" s="18">
        <v>185.05</v>
      </c>
      <c r="N123" s="23">
        <f t="shared" si="3"/>
        <v>9173.4999999999964</v>
      </c>
      <c r="O123" s="24">
        <f t="shared" si="2"/>
        <v>52.2</v>
      </c>
    </row>
    <row r="124" spans="1:15" ht="29" x14ac:dyDescent="0.35">
      <c r="A124" s="12" t="s">
        <v>340</v>
      </c>
      <c r="B124" s="12" t="s">
        <v>341</v>
      </c>
      <c r="C124" s="12" t="s">
        <v>37</v>
      </c>
      <c r="D124" s="12" t="s">
        <v>91</v>
      </c>
      <c r="E124" s="18">
        <v>50.13</v>
      </c>
      <c r="F124" s="19">
        <v>11.8</v>
      </c>
      <c r="G124" s="18">
        <v>28.06</v>
      </c>
      <c r="H124" s="18">
        <v>42.28</v>
      </c>
      <c r="I124" s="18">
        <v>13.66</v>
      </c>
      <c r="J124" s="18">
        <v>55.03</v>
      </c>
      <c r="K124" s="18">
        <v>18.8</v>
      </c>
      <c r="L124" s="18">
        <v>27.64</v>
      </c>
      <c r="M124" s="18">
        <v>185.46</v>
      </c>
      <c r="N124" s="23">
        <f t="shared" si="3"/>
        <v>9185.2999999999956</v>
      </c>
      <c r="O124" s="24">
        <f t="shared" si="2"/>
        <v>11.8</v>
      </c>
    </row>
    <row r="125" spans="1:15" ht="29" x14ac:dyDescent="0.35">
      <c r="A125" s="12" t="s">
        <v>342</v>
      </c>
      <c r="B125" s="12" t="s">
        <v>343</v>
      </c>
      <c r="C125" s="12" t="s">
        <v>41</v>
      </c>
      <c r="D125" s="12" t="s">
        <v>42</v>
      </c>
      <c r="E125" s="18">
        <v>50.19</v>
      </c>
      <c r="F125" s="19">
        <v>136.1</v>
      </c>
      <c r="G125" s="18">
        <v>37.11</v>
      </c>
      <c r="H125" s="18">
        <v>53.11</v>
      </c>
      <c r="I125" s="18">
        <v>18.66</v>
      </c>
      <c r="J125" s="18">
        <v>34.409999999999997</v>
      </c>
      <c r="K125" s="18">
        <v>31.33</v>
      </c>
      <c r="L125" s="18">
        <v>10.97</v>
      </c>
      <c r="M125" s="18">
        <v>185.6</v>
      </c>
      <c r="N125" s="23">
        <f t="shared" si="3"/>
        <v>9321.399999999996</v>
      </c>
      <c r="O125" s="24">
        <f t="shared" si="2"/>
        <v>136.1</v>
      </c>
    </row>
    <row r="126" spans="1:15" ht="72.5" x14ac:dyDescent="0.35">
      <c r="A126" s="12" t="s">
        <v>344</v>
      </c>
      <c r="B126" s="12" t="s">
        <v>345</v>
      </c>
      <c r="C126" s="12" t="s">
        <v>80</v>
      </c>
      <c r="D126" s="12" t="s">
        <v>346</v>
      </c>
      <c r="E126" s="18">
        <v>50.94</v>
      </c>
      <c r="F126" s="19">
        <v>165.1</v>
      </c>
      <c r="G126" s="18">
        <v>37.53</v>
      </c>
      <c r="H126" s="18">
        <v>54.58</v>
      </c>
      <c r="I126" s="18">
        <v>19.32</v>
      </c>
      <c r="J126" s="18">
        <v>31.97</v>
      </c>
      <c r="K126" s="18">
        <v>38.32</v>
      </c>
      <c r="L126" s="18">
        <v>4.07</v>
      </c>
      <c r="M126" s="18">
        <v>185.79</v>
      </c>
      <c r="N126" s="23">
        <f t="shared" si="3"/>
        <v>9486.4999999999964</v>
      </c>
      <c r="O126" s="24">
        <f t="shared" si="2"/>
        <v>165.1</v>
      </c>
    </row>
    <row r="127" spans="1:15" ht="29" x14ac:dyDescent="0.35">
      <c r="A127" s="12" t="s">
        <v>347</v>
      </c>
      <c r="B127" s="12" t="s">
        <v>348</v>
      </c>
      <c r="C127" s="12" t="s">
        <v>130</v>
      </c>
      <c r="D127" s="12" t="s">
        <v>349</v>
      </c>
      <c r="E127" s="18">
        <v>51.84</v>
      </c>
      <c r="F127" s="19">
        <v>37</v>
      </c>
      <c r="G127" s="18">
        <v>36.6</v>
      </c>
      <c r="H127" s="18">
        <v>38.06</v>
      </c>
      <c r="I127" s="18">
        <v>12.18</v>
      </c>
      <c r="J127" s="18">
        <v>76.92</v>
      </c>
      <c r="K127" s="18">
        <v>12.07</v>
      </c>
      <c r="L127" s="18">
        <v>10.69</v>
      </c>
      <c r="M127" s="18">
        <v>186.51</v>
      </c>
      <c r="N127" s="23">
        <f t="shared" si="3"/>
        <v>9523.4999999999964</v>
      </c>
      <c r="O127" s="24">
        <f t="shared" si="2"/>
        <v>37</v>
      </c>
    </row>
    <row r="128" spans="1:15" ht="29" x14ac:dyDescent="0.35">
      <c r="A128" s="12" t="s">
        <v>350</v>
      </c>
      <c r="B128" s="12" t="s">
        <v>351</v>
      </c>
      <c r="C128" s="12" t="s">
        <v>104</v>
      </c>
      <c r="D128" s="12" t="s">
        <v>352</v>
      </c>
      <c r="E128" s="18">
        <v>52.04</v>
      </c>
      <c r="F128" s="19">
        <v>4.0999999999999996</v>
      </c>
      <c r="G128" s="18">
        <v>45.09</v>
      </c>
      <c r="H128" s="18">
        <v>39.200000000000003</v>
      </c>
      <c r="I128" s="18">
        <v>34.869999999999997</v>
      </c>
      <c r="J128" s="18">
        <v>54.26</v>
      </c>
      <c r="K128" s="18">
        <v>2.31</v>
      </c>
      <c r="L128" s="18">
        <v>11.96</v>
      </c>
      <c r="M128" s="18">
        <v>187.7</v>
      </c>
      <c r="N128" s="23">
        <f t="shared" si="3"/>
        <v>9527.5999999999967</v>
      </c>
      <c r="O128" s="24">
        <f t="shared" si="2"/>
        <v>4.0999999999999996</v>
      </c>
    </row>
    <row r="129" spans="1:15" ht="29" x14ac:dyDescent="0.35">
      <c r="A129" s="12" t="s">
        <v>353</v>
      </c>
      <c r="B129" s="12" t="s">
        <v>354</v>
      </c>
      <c r="C129" s="12" t="s">
        <v>111</v>
      </c>
      <c r="D129" s="12" t="s">
        <v>108</v>
      </c>
      <c r="E129" s="18">
        <v>52.06</v>
      </c>
      <c r="F129" s="19">
        <v>5.5</v>
      </c>
      <c r="G129" s="18">
        <v>26.88</v>
      </c>
      <c r="H129" s="18">
        <v>7.86</v>
      </c>
      <c r="I129" s="18">
        <v>2.2999999999999998</v>
      </c>
      <c r="J129" s="18">
        <v>49.58</v>
      </c>
      <c r="K129" s="18">
        <v>28.35</v>
      </c>
      <c r="L129" s="18">
        <v>73.66</v>
      </c>
      <c r="M129" s="18">
        <v>188.64</v>
      </c>
      <c r="N129" s="23">
        <f t="shared" si="3"/>
        <v>9533.0999999999967</v>
      </c>
      <c r="O129" s="24">
        <f t="shared" si="2"/>
        <v>5.5</v>
      </c>
    </row>
    <row r="130" spans="1:15" ht="87" x14ac:dyDescent="0.35">
      <c r="A130" s="12" t="s">
        <v>355</v>
      </c>
      <c r="B130" s="12" t="s">
        <v>356</v>
      </c>
      <c r="C130" s="12" t="s">
        <v>69</v>
      </c>
      <c r="D130" s="12" t="s">
        <v>357</v>
      </c>
      <c r="E130" s="18">
        <v>52.09</v>
      </c>
      <c r="F130" s="19">
        <v>0.2</v>
      </c>
      <c r="G130" s="18">
        <v>58.74</v>
      </c>
      <c r="H130" s="18">
        <v>14.5</v>
      </c>
      <c r="I130" s="18">
        <v>3.32</v>
      </c>
      <c r="J130" s="18">
        <v>21.73</v>
      </c>
      <c r="K130" s="18">
        <v>80.459999999999994</v>
      </c>
      <c r="L130" s="18">
        <v>11.11</v>
      </c>
      <c r="M130" s="18">
        <v>189.85</v>
      </c>
      <c r="N130" s="23">
        <f t="shared" si="3"/>
        <v>9533.2999999999975</v>
      </c>
      <c r="O130" s="24">
        <f t="shared" si="2"/>
        <v>0.2</v>
      </c>
    </row>
    <row r="131" spans="1:15" ht="58" x14ac:dyDescent="0.35">
      <c r="A131" s="12" t="s">
        <v>358</v>
      </c>
      <c r="B131" s="12" t="s">
        <v>359</v>
      </c>
      <c r="C131" s="12" t="s">
        <v>360</v>
      </c>
      <c r="D131" s="12" t="s">
        <v>361</v>
      </c>
      <c r="E131" s="18">
        <v>52.09</v>
      </c>
      <c r="F131" s="19">
        <v>14</v>
      </c>
      <c r="G131" s="18">
        <v>18.690000000000001</v>
      </c>
      <c r="H131" s="18">
        <v>37.25</v>
      </c>
      <c r="I131" s="18">
        <v>10.69</v>
      </c>
      <c r="J131" s="18">
        <v>78.959999999999994</v>
      </c>
      <c r="K131" s="18">
        <v>38.08</v>
      </c>
      <c r="L131" s="18">
        <v>6.46</v>
      </c>
      <c r="M131" s="18">
        <v>190.13</v>
      </c>
      <c r="N131" s="23">
        <f t="shared" si="3"/>
        <v>9547.2999999999975</v>
      </c>
      <c r="O131" s="24">
        <f t="shared" si="2"/>
        <v>14</v>
      </c>
    </row>
    <row r="132" spans="1:15" ht="43.5" x14ac:dyDescent="0.35">
      <c r="A132" s="12" t="s">
        <v>362</v>
      </c>
      <c r="B132" s="12" t="s">
        <v>363</v>
      </c>
      <c r="C132" s="12" t="s">
        <v>104</v>
      </c>
      <c r="D132" s="12" t="s">
        <v>364</v>
      </c>
      <c r="E132" s="18">
        <v>52.17</v>
      </c>
      <c r="F132" s="19">
        <v>4.4000000000000004</v>
      </c>
      <c r="G132" s="18">
        <v>54.01</v>
      </c>
      <c r="H132" s="18">
        <v>15.12</v>
      </c>
      <c r="I132" s="18">
        <v>9.77</v>
      </c>
      <c r="J132" s="18">
        <v>71.680000000000007</v>
      </c>
      <c r="K132" s="18">
        <v>29.17</v>
      </c>
      <c r="L132" s="18">
        <v>10.64</v>
      </c>
      <c r="M132" s="18">
        <v>190.4</v>
      </c>
      <c r="N132" s="23">
        <f t="shared" si="3"/>
        <v>9551.6999999999971</v>
      </c>
      <c r="O132" s="24">
        <f t="shared" si="2"/>
        <v>4.4000000000000004</v>
      </c>
    </row>
    <row r="133" spans="1:15" ht="58" x14ac:dyDescent="0.35">
      <c r="A133" s="12" t="s">
        <v>365</v>
      </c>
      <c r="B133" s="12" t="s">
        <v>366</v>
      </c>
      <c r="C133" s="12" t="s">
        <v>27</v>
      </c>
      <c r="D133" s="12" t="s">
        <v>367</v>
      </c>
      <c r="E133" s="18">
        <v>52.19</v>
      </c>
      <c r="F133" s="19">
        <v>220.1</v>
      </c>
      <c r="G133" s="18">
        <v>14.43</v>
      </c>
      <c r="H133" s="18">
        <v>62.5</v>
      </c>
      <c r="I133" s="18">
        <v>14.54</v>
      </c>
      <c r="J133" s="18">
        <v>59.09</v>
      </c>
      <c r="K133" s="18">
        <v>11.79</v>
      </c>
      <c r="L133" s="18">
        <v>28.26</v>
      </c>
      <c r="M133" s="18">
        <v>190.61</v>
      </c>
      <c r="N133" s="23">
        <f t="shared" si="3"/>
        <v>9771.7999999999975</v>
      </c>
      <c r="O133" s="24">
        <f t="shared" si="2"/>
        <v>220.1</v>
      </c>
    </row>
    <row r="134" spans="1:15" ht="29" x14ac:dyDescent="0.35">
      <c r="A134" s="12" t="s">
        <v>368</v>
      </c>
      <c r="B134" s="12" t="s">
        <v>369</v>
      </c>
      <c r="C134" s="12" t="s">
        <v>37</v>
      </c>
      <c r="D134" s="12" t="s">
        <v>127</v>
      </c>
      <c r="E134" s="18">
        <v>53.4</v>
      </c>
      <c r="F134" s="19">
        <v>11.2</v>
      </c>
      <c r="G134" s="18">
        <v>25.07</v>
      </c>
      <c r="H134" s="18">
        <v>31.78</v>
      </c>
      <c r="I134" s="18">
        <v>10.95</v>
      </c>
      <c r="J134" s="18">
        <v>60.03</v>
      </c>
      <c r="K134" s="18">
        <v>24.9</v>
      </c>
      <c r="L134" s="18">
        <v>38.11</v>
      </c>
      <c r="M134" s="18">
        <v>190.84</v>
      </c>
      <c r="N134" s="23">
        <f t="shared" si="3"/>
        <v>9782.9999999999982</v>
      </c>
      <c r="O134" s="24">
        <f t="shared" si="2"/>
        <v>11.2</v>
      </c>
    </row>
    <row r="135" spans="1:15" ht="29" x14ac:dyDescent="0.35">
      <c r="A135" s="12" t="s">
        <v>370</v>
      </c>
      <c r="B135" s="12" t="s">
        <v>371</v>
      </c>
      <c r="C135" s="12" t="s">
        <v>37</v>
      </c>
      <c r="D135" s="12" t="s">
        <v>91</v>
      </c>
      <c r="E135" s="18">
        <v>53.46</v>
      </c>
      <c r="F135" s="19">
        <v>107.3</v>
      </c>
      <c r="G135" s="18">
        <v>14.22</v>
      </c>
      <c r="H135" s="18">
        <v>51.5</v>
      </c>
      <c r="I135" s="18">
        <v>9.82</v>
      </c>
      <c r="J135" s="18">
        <v>68.75</v>
      </c>
      <c r="K135" s="18">
        <v>35.549999999999997</v>
      </c>
      <c r="L135" s="18">
        <v>11.48</v>
      </c>
      <c r="M135" s="18">
        <v>191.32</v>
      </c>
      <c r="N135" s="23">
        <f t="shared" si="3"/>
        <v>9890.2999999999975</v>
      </c>
      <c r="O135" s="24">
        <f t="shared" si="2"/>
        <v>107.3</v>
      </c>
    </row>
    <row r="136" spans="1:15" ht="43.5" x14ac:dyDescent="0.35">
      <c r="A136" s="12" t="s">
        <v>372</v>
      </c>
      <c r="B136" s="12" t="s">
        <v>373</v>
      </c>
      <c r="C136" s="12" t="s">
        <v>104</v>
      </c>
      <c r="D136" s="12" t="s">
        <v>374</v>
      </c>
      <c r="E136" s="18">
        <v>54.04</v>
      </c>
      <c r="F136" s="19">
        <v>11</v>
      </c>
      <c r="G136" s="18">
        <v>64.819999999999993</v>
      </c>
      <c r="H136" s="18">
        <v>18.68</v>
      </c>
      <c r="I136" s="18">
        <v>22.58</v>
      </c>
      <c r="J136" s="18">
        <v>80.459999999999994</v>
      </c>
      <c r="K136" s="18">
        <v>5.36</v>
      </c>
      <c r="L136" s="18">
        <v>0</v>
      </c>
      <c r="M136" s="18">
        <v>191.89</v>
      </c>
      <c r="N136" s="23">
        <f t="shared" si="3"/>
        <v>9901.2999999999975</v>
      </c>
      <c r="O136" s="24">
        <f t="shared" si="2"/>
        <v>11</v>
      </c>
    </row>
    <row r="137" spans="1:15" ht="29" x14ac:dyDescent="0.35">
      <c r="A137" s="12" t="s">
        <v>375</v>
      </c>
      <c r="B137" s="12" t="s">
        <v>376</v>
      </c>
      <c r="C137" s="12" t="s">
        <v>37</v>
      </c>
      <c r="D137" s="12" t="s">
        <v>101</v>
      </c>
      <c r="E137" s="18">
        <v>54.1</v>
      </c>
      <c r="F137" s="19">
        <v>0.3</v>
      </c>
      <c r="G137" s="18">
        <v>62.17</v>
      </c>
      <c r="H137" s="18">
        <v>18.82</v>
      </c>
      <c r="I137" s="18">
        <v>24.35</v>
      </c>
      <c r="J137" s="18">
        <v>37.57</v>
      </c>
      <c r="K137" s="18">
        <v>22.97</v>
      </c>
      <c r="L137" s="18">
        <v>26.82</v>
      </c>
      <c r="M137" s="18">
        <v>192.71</v>
      </c>
      <c r="N137" s="23">
        <f t="shared" si="3"/>
        <v>9901.5999999999967</v>
      </c>
      <c r="O137" s="24">
        <f t="shared" si="2"/>
        <v>0.3</v>
      </c>
    </row>
    <row r="138" spans="1:15" ht="29" x14ac:dyDescent="0.35">
      <c r="A138" s="12" t="s">
        <v>377</v>
      </c>
      <c r="B138" s="12" t="s">
        <v>378</v>
      </c>
      <c r="C138" s="12" t="s">
        <v>111</v>
      </c>
      <c r="D138" s="12" t="s">
        <v>108</v>
      </c>
      <c r="E138" s="18">
        <v>54.1</v>
      </c>
      <c r="F138" s="19">
        <v>13.6</v>
      </c>
      <c r="G138" s="18">
        <v>52.02</v>
      </c>
      <c r="H138" s="18">
        <v>15.37</v>
      </c>
      <c r="I138" s="18">
        <v>5.42</v>
      </c>
      <c r="J138" s="18">
        <v>72.38</v>
      </c>
      <c r="K138" s="18">
        <v>32.950000000000003</v>
      </c>
      <c r="L138" s="18">
        <v>14.74</v>
      </c>
      <c r="M138" s="18">
        <v>192.89</v>
      </c>
      <c r="N138" s="23">
        <f t="shared" si="3"/>
        <v>9915.1999999999971</v>
      </c>
      <c r="O138" s="24">
        <f t="shared" si="2"/>
        <v>13.6</v>
      </c>
    </row>
    <row r="139" spans="1:15" ht="29" x14ac:dyDescent="0.35">
      <c r="A139" s="12" t="s">
        <v>379</v>
      </c>
      <c r="B139" s="12" t="s">
        <v>380</v>
      </c>
      <c r="C139" s="12" t="s">
        <v>37</v>
      </c>
      <c r="D139" s="12" t="s">
        <v>127</v>
      </c>
      <c r="E139" s="18">
        <v>54.18</v>
      </c>
      <c r="F139" s="19">
        <v>158.1</v>
      </c>
      <c r="G139" s="18">
        <v>27.1</v>
      </c>
      <c r="H139" s="18">
        <v>44.44</v>
      </c>
      <c r="I139" s="18">
        <v>13.54</v>
      </c>
      <c r="J139" s="18">
        <v>50.83</v>
      </c>
      <c r="K139" s="18">
        <v>21.99</v>
      </c>
      <c r="L139" s="18">
        <v>35.24</v>
      </c>
      <c r="M139" s="18">
        <v>193.16</v>
      </c>
      <c r="N139" s="23">
        <f t="shared" si="3"/>
        <v>10073.299999999997</v>
      </c>
      <c r="O139" s="24">
        <f t="shared" si="2"/>
        <v>158.1</v>
      </c>
    </row>
    <row r="140" spans="1:15" ht="43.5" x14ac:dyDescent="0.35">
      <c r="A140" s="12" t="s">
        <v>381</v>
      </c>
      <c r="B140" s="12" t="s">
        <v>382</v>
      </c>
      <c r="C140" s="12" t="s">
        <v>37</v>
      </c>
      <c r="D140" s="12" t="s">
        <v>383</v>
      </c>
      <c r="E140" s="18">
        <v>55.04</v>
      </c>
      <c r="F140" s="19">
        <v>2.2000000000000002</v>
      </c>
      <c r="G140" s="18">
        <v>53.54</v>
      </c>
      <c r="H140" s="18">
        <v>25.04</v>
      </c>
      <c r="I140" s="18">
        <v>5.36</v>
      </c>
      <c r="J140" s="18">
        <v>46.33</v>
      </c>
      <c r="K140" s="18">
        <v>25.95</v>
      </c>
      <c r="L140" s="18">
        <v>37.380000000000003</v>
      </c>
      <c r="M140" s="18">
        <v>193.59</v>
      </c>
      <c r="N140" s="23">
        <f t="shared" si="3"/>
        <v>10075.499999999998</v>
      </c>
      <c r="O140" s="24">
        <f t="shared" si="2"/>
        <v>2.2000000000000002</v>
      </c>
    </row>
    <row r="141" spans="1:15" ht="87" x14ac:dyDescent="0.35">
      <c r="A141" s="12" t="s">
        <v>384</v>
      </c>
      <c r="B141" s="12" t="s">
        <v>385</v>
      </c>
      <c r="C141" s="12" t="s">
        <v>27</v>
      </c>
      <c r="D141" s="12" t="s">
        <v>386</v>
      </c>
      <c r="E141" s="18">
        <v>55.06</v>
      </c>
      <c r="F141" s="19">
        <v>30.4</v>
      </c>
      <c r="G141" s="18">
        <v>37.82</v>
      </c>
      <c r="H141" s="18">
        <v>36.83</v>
      </c>
      <c r="I141" s="18">
        <v>39.08</v>
      </c>
      <c r="J141" s="18">
        <v>18.22</v>
      </c>
      <c r="K141" s="18">
        <v>23.76</v>
      </c>
      <c r="L141" s="18">
        <v>38</v>
      </c>
      <c r="M141" s="18">
        <v>193.71</v>
      </c>
      <c r="N141" s="23">
        <f t="shared" si="3"/>
        <v>10105.899999999998</v>
      </c>
      <c r="O141" s="24">
        <f t="shared" si="2"/>
        <v>30.4</v>
      </c>
    </row>
    <row r="142" spans="1:15" ht="29" x14ac:dyDescent="0.35">
      <c r="A142" s="12" t="s">
        <v>387</v>
      </c>
      <c r="B142" s="12" t="s">
        <v>388</v>
      </c>
      <c r="C142" s="12" t="s">
        <v>37</v>
      </c>
      <c r="D142" s="12" t="s">
        <v>101</v>
      </c>
      <c r="E142" s="18">
        <v>55.22</v>
      </c>
      <c r="F142" s="19">
        <v>0.4</v>
      </c>
      <c r="G142" s="18">
        <v>38.22</v>
      </c>
      <c r="H142" s="18">
        <v>49.18</v>
      </c>
      <c r="I142" s="18">
        <v>7.2</v>
      </c>
      <c r="J142" s="18">
        <v>47.19</v>
      </c>
      <c r="K142" s="18">
        <v>19.489999999999998</v>
      </c>
      <c r="L142" s="18">
        <v>33.94</v>
      </c>
      <c r="M142" s="18">
        <v>195.23</v>
      </c>
      <c r="N142" s="23">
        <f t="shared" si="3"/>
        <v>10106.299999999997</v>
      </c>
      <c r="O142" s="24">
        <f t="shared" si="2"/>
        <v>0.4</v>
      </c>
    </row>
    <row r="143" spans="1:15" ht="29" x14ac:dyDescent="0.35">
      <c r="A143" s="12" t="s">
        <v>389</v>
      </c>
      <c r="B143" s="12" t="s">
        <v>390</v>
      </c>
      <c r="C143" s="12" t="s">
        <v>130</v>
      </c>
      <c r="D143" s="12" t="s">
        <v>391</v>
      </c>
      <c r="E143" s="18">
        <v>55.22</v>
      </c>
      <c r="F143" s="19">
        <v>55.4</v>
      </c>
      <c r="G143" s="18">
        <v>74.69</v>
      </c>
      <c r="H143" s="18">
        <v>10.4</v>
      </c>
      <c r="I143" s="18">
        <v>5.32</v>
      </c>
      <c r="J143" s="18">
        <v>67.540000000000006</v>
      </c>
      <c r="K143" s="18">
        <v>27.97</v>
      </c>
      <c r="L143" s="18">
        <v>9.43</v>
      </c>
      <c r="M143" s="18">
        <v>195.35</v>
      </c>
      <c r="N143" s="23">
        <f t="shared" si="3"/>
        <v>10161.699999999997</v>
      </c>
      <c r="O143" s="24">
        <f t="shared" si="2"/>
        <v>55.4</v>
      </c>
    </row>
    <row r="144" spans="1:15" ht="29" x14ac:dyDescent="0.35">
      <c r="A144" s="12" t="s">
        <v>392</v>
      </c>
      <c r="B144" s="12" t="s">
        <v>393</v>
      </c>
      <c r="C144" s="12" t="s">
        <v>33</v>
      </c>
      <c r="D144" s="12" t="s">
        <v>34</v>
      </c>
      <c r="E144" s="18">
        <v>55.53</v>
      </c>
      <c r="F144" s="19">
        <v>4.3</v>
      </c>
      <c r="G144" s="18">
        <v>49.19</v>
      </c>
      <c r="H144" s="18">
        <v>29.82</v>
      </c>
      <c r="I144" s="18">
        <v>9.85</v>
      </c>
      <c r="J144" s="18">
        <v>75.48</v>
      </c>
      <c r="K144" s="18">
        <v>31.48</v>
      </c>
      <c r="L144" s="18">
        <v>0</v>
      </c>
      <c r="M144" s="18">
        <v>195.81</v>
      </c>
      <c r="N144" s="23">
        <f t="shared" si="3"/>
        <v>10165.999999999996</v>
      </c>
      <c r="O144" s="24">
        <f t="shared" ref="O144:O207" si="4">F144</f>
        <v>4.3</v>
      </c>
    </row>
    <row r="145" spans="1:15" ht="29" x14ac:dyDescent="0.35">
      <c r="A145" s="12" t="s">
        <v>394</v>
      </c>
      <c r="B145" s="12" t="s">
        <v>395</v>
      </c>
      <c r="C145" s="12" t="s">
        <v>37</v>
      </c>
      <c r="D145" s="12" t="s">
        <v>101</v>
      </c>
      <c r="E145" s="18">
        <v>55.55</v>
      </c>
      <c r="F145" s="19">
        <v>4.0999999999999996</v>
      </c>
      <c r="G145" s="18">
        <v>44.02</v>
      </c>
      <c r="H145" s="18">
        <v>47.96</v>
      </c>
      <c r="I145" s="18">
        <v>12.67</v>
      </c>
      <c r="J145" s="18">
        <v>42.15</v>
      </c>
      <c r="K145" s="18">
        <v>20.58</v>
      </c>
      <c r="L145" s="18">
        <v>28.6</v>
      </c>
      <c r="M145" s="18">
        <v>195.97</v>
      </c>
      <c r="N145" s="23">
        <f t="shared" ref="N145:N208" si="5">F145+N144</f>
        <v>10170.099999999997</v>
      </c>
      <c r="O145" s="24">
        <f t="shared" si="4"/>
        <v>4.0999999999999996</v>
      </c>
    </row>
    <row r="146" spans="1:15" ht="29" x14ac:dyDescent="0.35">
      <c r="A146" s="12" t="s">
        <v>396</v>
      </c>
      <c r="B146" s="12" t="s">
        <v>397</v>
      </c>
      <c r="C146" s="12" t="s">
        <v>398</v>
      </c>
      <c r="D146" s="12" t="s">
        <v>399</v>
      </c>
      <c r="E146" s="18">
        <v>55.57</v>
      </c>
      <c r="F146" s="19">
        <v>8.4</v>
      </c>
      <c r="G146" s="18">
        <v>82.69</v>
      </c>
      <c r="H146" s="18">
        <v>45.03</v>
      </c>
      <c r="I146" s="18">
        <v>0.41</v>
      </c>
      <c r="J146" s="18">
        <v>39.14</v>
      </c>
      <c r="K146" s="18">
        <v>21.27</v>
      </c>
      <c r="L146" s="18">
        <v>8.57</v>
      </c>
      <c r="M146" s="18">
        <v>197.1</v>
      </c>
      <c r="N146" s="23">
        <f t="shared" si="5"/>
        <v>10178.499999999996</v>
      </c>
      <c r="O146" s="24">
        <f t="shared" si="4"/>
        <v>8.4</v>
      </c>
    </row>
    <row r="147" spans="1:15" ht="58" x14ac:dyDescent="0.35">
      <c r="A147" s="12" t="s">
        <v>400</v>
      </c>
      <c r="B147" s="12" t="s">
        <v>401</v>
      </c>
      <c r="C147" s="12" t="s">
        <v>402</v>
      </c>
      <c r="D147" s="12" t="s">
        <v>403</v>
      </c>
      <c r="E147" s="18">
        <v>55.62</v>
      </c>
      <c r="F147" s="19">
        <v>51</v>
      </c>
      <c r="G147" s="18">
        <v>35.520000000000003</v>
      </c>
      <c r="H147" s="18">
        <v>28.52</v>
      </c>
      <c r="I147" s="18">
        <v>6.87</v>
      </c>
      <c r="J147" s="18">
        <v>41.89</v>
      </c>
      <c r="K147" s="18">
        <v>33.51</v>
      </c>
      <c r="L147" s="18">
        <v>50.98</v>
      </c>
      <c r="M147" s="18">
        <v>197.28</v>
      </c>
      <c r="N147" s="23">
        <f t="shared" si="5"/>
        <v>10229.499999999996</v>
      </c>
      <c r="O147" s="24">
        <f t="shared" si="4"/>
        <v>51</v>
      </c>
    </row>
    <row r="148" spans="1:15" ht="101.5" x14ac:dyDescent="0.35">
      <c r="A148" s="12" t="s">
        <v>404</v>
      </c>
      <c r="B148" s="12" t="s">
        <v>405</v>
      </c>
      <c r="C148" s="12" t="s">
        <v>37</v>
      </c>
      <c r="D148" s="12" t="s">
        <v>406</v>
      </c>
      <c r="E148" s="18">
        <v>55.9</v>
      </c>
      <c r="F148" s="19">
        <v>11.6</v>
      </c>
      <c r="G148" s="18">
        <v>42.28</v>
      </c>
      <c r="H148" s="18">
        <v>40.450000000000003</v>
      </c>
      <c r="I148" s="18">
        <v>11.59</v>
      </c>
      <c r="J148" s="18">
        <v>50.98</v>
      </c>
      <c r="K148" s="18">
        <v>36.520000000000003</v>
      </c>
      <c r="L148" s="18">
        <v>15.79</v>
      </c>
      <c r="M148" s="18">
        <v>197.61</v>
      </c>
      <c r="N148" s="23">
        <f t="shared" si="5"/>
        <v>10241.099999999997</v>
      </c>
      <c r="O148" s="24">
        <f t="shared" si="4"/>
        <v>11.6</v>
      </c>
    </row>
    <row r="149" spans="1:15" ht="29" x14ac:dyDescent="0.35">
      <c r="A149" s="12" t="s">
        <v>407</v>
      </c>
      <c r="B149" s="12" t="s">
        <v>408</v>
      </c>
      <c r="C149" s="12" t="s">
        <v>37</v>
      </c>
      <c r="D149" s="12" t="s">
        <v>101</v>
      </c>
      <c r="E149" s="18">
        <v>55.96</v>
      </c>
      <c r="F149" s="19">
        <v>2.7</v>
      </c>
      <c r="G149" s="18">
        <v>29.35</v>
      </c>
      <c r="H149" s="18">
        <v>30.55</v>
      </c>
      <c r="I149" s="18">
        <v>15</v>
      </c>
      <c r="J149" s="18">
        <v>63.4</v>
      </c>
      <c r="K149" s="18">
        <v>26.43</v>
      </c>
      <c r="L149" s="18">
        <v>33.409999999999997</v>
      </c>
      <c r="M149" s="18">
        <v>198.13</v>
      </c>
      <c r="N149" s="23">
        <f t="shared" si="5"/>
        <v>10243.799999999997</v>
      </c>
      <c r="O149" s="24">
        <f t="shared" si="4"/>
        <v>2.7</v>
      </c>
    </row>
    <row r="150" spans="1:15" ht="58" x14ac:dyDescent="0.35">
      <c r="A150" s="12" t="s">
        <v>409</v>
      </c>
      <c r="B150" s="12" t="s">
        <v>410</v>
      </c>
      <c r="C150" s="12" t="s">
        <v>37</v>
      </c>
      <c r="D150" s="12" t="s">
        <v>411</v>
      </c>
      <c r="E150" s="18">
        <v>55.98</v>
      </c>
      <c r="F150" s="19">
        <v>1</v>
      </c>
      <c r="G150" s="18">
        <v>57.79</v>
      </c>
      <c r="H150" s="18">
        <v>23.58</v>
      </c>
      <c r="I150" s="18">
        <v>5.77</v>
      </c>
      <c r="J150" s="18">
        <v>32.06</v>
      </c>
      <c r="K150" s="18">
        <v>27.77</v>
      </c>
      <c r="L150" s="18">
        <v>53.27</v>
      </c>
      <c r="M150" s="18">
        <v>200.25</v>
      </c>
      <c r="N150" s="23">
        <f t="shared" si="5"/>
        <v>10244.799999999997</v>
      </c>
      <c r="O150" s="24">
        <f t="shared" si="4"/>
        <v>1</v>
      </c>
    </row>
    <row r="151" spans="1:15" ht="29" x14ac:dyDescent="0.35">
      <c r="A151" s="12" t="s">
        <v>412</v>
      </c>
      <c r="B151" s="12" t="s">
        <v>413</v>
      </c>
      <c r="C151" s="12" t="s">
        <v>37</v>
      </c>
      <c r="D151" s="12" t="s">
        <v>414</v>
      </c>
      <c r="E151" s="18">
        <v>55.98</v>
      </c>
      <c r="F151" s="19">
        <v>12</v>
      </c>
      <c r="G151" s="18">
        <v>59.16</v>
      </c>
      <c r="H151" s="18">
        <v>17.54</v>
      </c>
      <c r="I151" s="18">
        <v>7.84</v>
      </c>
      <c r="J151" s="18">
        <v>52.77</v>
      </c>
      <c r="K151" s="18">
        <v>30.15</v>
      </c>
      <c r="L151" s="18">
        <v>32.92</v>
      </c>
      <c r="M151" s="18">
        <v>200.36</v>
      </c>
      <c r="N151" s="23">
        <f t="shared" si="5"/>
        <v>10256.799999999997</v>
      </c>
      <c r="O151" s="24">
        <f t="shared" si="4"/>
        <v>12</v>
      </c>
    </row>
    <row r="152" spans="1:15" x14ac:dyDescent="0.35">
      <c r="A152" s="12" t="s">
        <v>415</v>
      </c>
      <c r="B152" s="12" t="s">
        <v>416</v>
      </c>
      <c r="C152" s="12" t="s">
        <v>80</v>
      </c>
      <c r="D152" s="12" t="s">
        <v>81</v>
      </c>
      <c r="E152" s="18">
        <v>56.05</v>
      </c>
      <c r="F152" s="19">
        <v>2</v>
      </c>
      <c r="G152" s="18">
        <v>142.75</v>
      </c>
      <c r="H152" s="18">
        <v>13.9</v>
      </c>
      <c r="I152" s="18">
        <v>11.28</v>
      </c>
      <c r="J152" s="18">
        <v>18.84</v>
      </c>
      <c r="K152" s="18">
        <v>3.18</v>
      </c>
      <c r="L152" s="18">
        <v>11.82</v>
      </c>
      <c r="M152" s="18">
        <v>201.77</v>
      </c>
      <c r="N152" s="23">
        <f t="shared" si="5"/>
        <v>10258.799999999997</v>
      </c>
      <c r="O152" s="24">
        <f t="shared" si="4"/>
        <v>2</v>
      </c>
    </row>
    <row r="153" spans="1:15" ht="58" x14ac:dyDescent="0.35">
      <c r="A153" s="12" t="s">
        <v>417</v>
      </c>
      <c r="B153" s="12" t="s">
        <v>418</v>
      </c>
      <c r="C153" s="12" t="s">
        <v>152</v>
      </c>
      <c r="D153" s="12" t="s">
        <v>153</v>
      </c>
      <c r="E153" s="18">
        <v>56.06</v>
      </c>
      <c r="F153" s="19">
        <v>44.1</v>
      </c>
      <c r="G153" s="18">
        <v>130.53</v>
      </c>
      <c r="H153" s="18">
        <v>21.9</v>
      </c>
      <c r="I153" s="18">
        <v>1.98</v>
      </c>
      <c r="J153" s="18">
        <v>5.62</v>
      </c>
      <c r="K153" s="18">
        <v>20.97</v>
      </c>
      <c r="L153" s="18">
        <v>21.49</v>
      </c>
      <c r="M153" s="18">
        <v>202.48</v>
      </c>
      <c r="N153" s="23">
        <f t="shared" si="5"/>
        <v>10302.899999999998</v>
      </c>
      <c r="O153" s="24">
        <f t="shared" si="4"/>
        <v>44.1</v>
      </c>
    </row>
    <row r="154" spans="1:15" ht="43.5" x14ac:dyDescent="0.35">
      <c r="A154" s="12" t="s">
        <v>419</v>
      </c>
      <c r="B154" s="12" t="s">
        <v>420</v>
      </c>
      <c r="C154" s="12" t="s">
        <v>421</v>
      </c>
      <c r="D154" s="12" t="s">
        <v>422</v>
      </c>
      <c r="E154" s="18">
        <v>56.3</v>
      </c>
      <c r="F154" s="19">
        <v>3</v>
      </c>
      <c r="G154" s="18">
        <v>41.67</v>
      </c>
      <c r="H154" s="18">
        <v>73.31</v>
      </c>
      <c r="I154" s="18">
        <v>2.65</v>
      </c>
      <c r="J154" s="18">
        <v>25.17</v>
      </c>
      <c r="K154" s="18">
        <v>37.03</v>
      </c>
      <c r="L154" s="18">
        <v>23.2</v>
      </c>
      <c r="M154" s="18">
        <v>203.02</v>
      </c>
      <c r="N154" s="23">
        <f t="shared" si="5"/>
        <v>10305.899999999998</v>
      </c>
      <c r="O154" s="24">
        <f t="shared" si="4"/>
        <v>3</v>
      </c>
    </row>
    <row r="155" spans="1:15" ht="58" x14ac:dyDescent="0.35">
      <c r="A155" s="12" t="s">
        <v>423</v>
      </c>
      <c r="B155" s="12" t="s">
        <v>424</v>
      </c>
      <c r="C155" s="12" t="s">
        <v>37</v>
      </c>
      <c r="D155" s="12" t="s">
        <v>176</v>
      </c>
      <c r="E155" s="18">
        <v>56.31</v>
      </c>
      <c r="F155" s="19">
        <v>45.9</v>
      </c>
      <c r="G155" s="18">
        <v>33.909999999999997</v>
      </c>
      <c r="H155" s="18">
        <v>52.13</v>
      </c>
      <c r="I155" s="18">
        <v>8.4499999999999993</v>
      </c>
      <c r="J155" s="18">
        <v>52.85</v>
      </c>
      <c r="K155" s="18">
        <v>26.1</v>
      </c>
      <c r="L155" s="18">
        <v>30.11</v>
      </c>
      <c r="M155" s="18">
        <v>203.55</v>
      </c>
      <c r="N155" s="23">
        <f t="shared" si="5"/>
        <v>10351.799999999997</v>
      </c>
      <c r="O155" s="24">
        <f t="shared" si="4"/>
        <v>45.9</v>
      </c>
    </row>
    <row r="156" spans="1:15" ht="116" x14ac:dyDescent="0.35">
      <c r="A156" s="12" t="s">
        <v>425</v>
      </c>
      <c r="B156" s="12" t="s">
        <v>426</v>
      </c>
      <c r="C156" s="12" t="s">
        <v>152</v>
      </c>
      <c r="D156" s="12" t="s">
        <v>427</v>
      </c>
      <c r="E156" s="18">
        <v>56.57</v>
      </c>
      <c r="F156" s="19">
        <v>0.2</v>
      </c>
      <c r="G156" s="18">
        <v>17.52</v>
      </c>
      <c r="H156" s="18">
        <v>41.25</v>
      </c>
      <c r="I156" s="18">
        <v>4.95</v>
      </c>
      <c r="J156" s="18">
        <v>46.13</v>
      </c>
      <c r="K156" s="18">
        <v>74.510000000000005</v>
      </c>
      <c r="L156" s="18">
        <v>20.21</v>
      </c>
      <c r="M156" s="18">
        <v>204.58</v>
      </c>
      <c r="N156" s="23">
        <f t="shared" si="5"/>
        <v>10351.999999999998</v>
      </c>
      <c r="O156" s="24">
        <f t="shared" si="4"/>
        <v>0.2</v>
      </c>
    </row>
    <row r="157" spans="1:15" ht="29" x14ac:dyDescent="0.35">
      <c r="A157" s="12" t="s">
        <v>428</v>
      </c>
      <c r="B157" s="12" t="s">
        <v>429</v>
      </c>
      <c r="C157" s="12" t="s">
        <v>41</v>
      </c>
      <c r="D157" s="12" t="s">
        <v>430</v>
      </c>
      <c r="E157" s="18">
        <v>56.57</v>
      </c>
      <c r="F157" s="19">
        <v>86.7</v>
      </c>
      <c r="G157" s="18">
        <v>39.61</v>
      </c>
      <c r="H157" s="18">
        <v>64.53</v>
      </c>
      <c r="I157" s="18">
        <v>18.43</v>
      </c>
      <c r="J157" s="18">
        <v>41.62</v>
      </c>
      <c r="K157" s="18">
        <v>38.49</v>
      </c>
      <c r="L157" s="18">
        <v>2.23</v>
      </c>
      <c r="M157" s="18">
        <v>204.91</v>
      </c>
      <c r="N157" s="23">
        <f t="shared" si="5"/>
        <v>10438.699999999999</v>
      </c>
      <c r="O157" s="24">
        <f t="shared" si="4"/>
        <v>86.7</v>
      </c>
    </row>
    <row r="158" spans="1:15" ht="43.5" x14ac:dyDescent="0.35">
      <c r="A158" s="12" t="s">
        <v>431</v>
      </c>
      <c r="B158" s="12" t="s">
        <v>432</v>
      </c>
      <c r="C158" s="12" t="s">
        <v>152</v>
      </c>
      <c r="D158" s="12" t="s">
        <v>433</v>
      </c>
      <c r="E158" s="18">
        <v>57.04</v>
      </c>
      <c r="F158" s="19">
        <v>234</v>
      </c>
      <c r="G158" s="18">
        <v>18.37</v>
      </c>
      <c r="H158" s="18">
        <v>45.4</v>
      </c>
      <c r="I158" s="18">
        <v>13.91</v>
      </c>
      <c r="J158" s="18">
        <v>57.32</v>
      </c>
      <c r="K158" s="18">
        <v>33.71</v>
      </c>
      <c r="L158" s="18">
        <v>36.450000000000003</v>
      </c>
      <c r="M158" s="18">
        <v>205.16</v>
      </c>
      <c r="N158" s="23">
        <f t="shared" si="5"/>
        <v>10672.699999999999</v>
      </c>
      <c r="O158" s="24">
        <f t="shared" si="4"/>
        <v>234</v>
      </c>
    </row>
    <row r="159" spans="1:15" ht="58" x14ac:dyDescent="0.35">
      <c r="A159" s="12" t="s">
        <v>434</v>
      </c>
      <c r="B159" s="12" t="s">
        <v>435</v>
      </c>
      <c r="C159" s="12" t="s">
        <v>37</v>
      </c>
      <c r="D159" s="12" t="s">
        <v>436</v>
      </c>
      <c r="E159" s="18">
        <v>58.32</v>
      </c>
      <c r="F159" s="19">
        <v>1.4</v>
      </c>
      <c r="G159" s="18">
        <v>33.42</v>
      </c>
      <c r="H159" s="18">
        <v>42.04</v>
      </c>
      <c r="I159" s="18">
        <v>8.2799999999999994</v>
      </c>
      <c r="J159" s="18">
        <v>52.71</v>
      </c>
      <c r="K159" s="18">
        <v>34.49</v>
      </c>
      <c r="L159" s="18">
        <v>34.229999999999997</v>
      </c>
      <c r="M159" s="18">
        <v>205.17</v>
      </c>
      <c r="N159" s="23">
        <f t="shared" si="5"/>
        <v>10674.099999999999</v>
      </c>
      <c r="O159" s="24">
        <f t="shared" si="4"/>
        <v>1.4</v>
      </c>
    </row>
    <row r="160" spans="1:15" ht="58" x14ac:dyDescent="0.35">
      <c r="A160" s="12" t="s">
        <v>437</v>
      </c>
      <c r="B160" s="12" t="s">
        <v>438</v>
      </c>
      <c r="C160" s="12" t="s">
        <v>41</v>
      </c>
      <c r="D160" s="12" t="s">
        <v>439</v>
      </c>
      <c r="E160" s="18">
        <v>58.33</v>
      </c>
      <c r="F160" s="19">
        <v>25.4</v>
      </c>
      <c r="G160" s="18">
        <v>63.44</v>
      </c>
      <c r="H160" s="18">
        <v>43.17</v>
      </c>
      <c r="I160" s="18">
        <v>14.13</v>
      </c>
      <c r="J160" s="18">
        <v>55.08</v>
      </c>
      <c r="K160" s="18">
        <v>24.29</v>
      </c>
      <c r="L160" s="18">
        <v>5.24</v>
      </c>
      <c r="M160" s="18">
        <v>205.35</v>
      </c>
      <c r="N160" s="23">
        <f t="shared" si="5"/>
        <v>10699.499999999998</v>
      </c>
      <c r="O160" s="24">
        <f t="shared" si="4"/>
        <v>25.4</v>
      </c>
    </row>
    <row r="161" spans="1:15" ht="116" x14ac:dyDescent="0.35">
      <c r="A161" s="12" t="s">
        <v>440</v>
      </c>
      <c r="B161" s="12" t="s">
        <v>441</v>
      </c>
      <c r="C161" s="12" t="s">
        <v>37</v>
      </c>
      <c r="D161" s="12" t="s">
        <v>442</v>
      </c>
      <c r="E161" s="18">
        <v>58.47</v>
      </c>
      <c r="F161" s="19">
        <v>10.1</v>
      </c>
      <c r="G161" s="18">
        <v>42.14</v>
      </c>
      <c r="H161" s="18">
        <v>31.19</v>
      </c>
      <c r="I161" s="18">
        <v>18.22</v>
      </c>
      <c r="J161" s="18">
        <v>46.08</v>
      </c>
      <c r="K161" s="18">
        <v>27.51</v>
      </c>
      <c r="L161" s="18">
        <v>40.369999999999997</v>
      </c>
      <c r="M161" s="18">
        <v>205.51</v>
      </c>
      <c r="N161" s="23">
        <f t="shared" si="5"/>
        <v>10709.599999999999</v>
      </c>
      <c r="O161" s="24">
        <f t="shared" si="4"/>
        <v>10.1</v>
      </c>
    </row>
    <row r="162" spans="1:15" ht="43.5" x14ac:dyDescent="0.35">
      <c r="A162" s="12" t="s">
        <v>443</v>
      </c>
      <c r="B162" s="12" t="s">
        <v>444</v>
      </c>
      <c r="C162" s="12" t="s">
        <v>37</v>
      </c>
      <c r="D162" s="12" t="s">
        <v>445</v>
      </c>
      <c r="E162" s="18">
        <v>58.52</v>
      </c>
      <c r="F162" s="19">
        <v>2.1</v>
      </c>
      <c r="G162" s="18">
        <v>60.59</v>
      </c>
      <c r="H162" s="18">
        <v>41.98</v>
      </c>
      <c r="I162" s="18">
        <v>4.41</v>
      </c>
      <c r="J162" s="18">
        <v>46.78</v>
      </c>
      <c r="K162" s="18">
        <v>23.02</v>
      </c>
      <c r="L162" s="18">
        <v>28.95</v>
      </c>
      <c r="M162" s="18">
        <v>205.72</v>
      </c>
      <c r="N162" s="23">
        <f t="shared" si="5"/>
        <v>10711.699999999999</v>
      </c>
      <c r="O162" s="24">
        <f t="shared" si="4"/>
        <v>2.1</v>
      </c>
    </row>
    <row r="163" spans="1:15" x14ac:dyDescent="0.35">
      <c r="A163" s="12" t="s">
        <v>446</v>
      </c>
      <c r="B163" s="12" t="s">
        <v>447</v>
      </c>
      <c r="C163" s="12" t="s">
        <v>80</v>
      </c>
      <c r="D163" s="12" t="s">
        <v>81</v>
      </c>
      <c r="E163" s="18">
        <v>58.53</v>
      </c>
      <c r="F163" s="19">
        <v>340.2</v>
      </c>
      <c r="G163" s="18">
        <v>83.28</v>
      </c>
      <c r="H163" s="18">
        <v>42.51</v>
      </c>
      <c r="I163" s="18">
        <v>11.84</v>
      </c>
      <c r="J163" s="18">
        <v>35.96</v>
      </c>
      <c r="K163" s="18">
        <v>26.67</v>
      </c>
      <c r="L163" s="18">
        <v>5.84</v>
      </c>
      <c r="M163" s="18">
        <v>206.09</v>
      </c>
      <c r="N163" s="23">
        <f t="shared" si="5"/>
        <v>11051.9</v>
      </c>
      <c r="O163" s="24">
        <f t="shared" si="4"/>
        <v>340.2</v>
      </c>
    </row>
    <row r="164" spans="1:15" ht="43.5" x14ac:dyDescent="0.35">
      <c r="A164" s="12" t="s">
        <v>448</v>
      </c>
      <c r="B164" s="12" t="s">
        <v>449</v>
      </c>
      <c r="C164" s="12" t="s">
        <v>41</v>
      </c>
      <c r="D164" s="12" t="s">
        <v>450</v>
      </c>
      <c r="E164" s="18">
        <v>60.39</v>
      </c>
      <c r="F164" s="19">
        <v>2.6</v>
      </c>
      <c r="G164" s="18">
        <v>94.79</v>
      </c>
      <c r="H164" s="18">
        <v>34.69</v>
      </c>
      <c r="I164" s="18">
        <v>13.39</v>
      </c>
      <c r="J164" s="18">
        <v>38.28</v>
      </c>
      <c r="K164" s="18">
        <v>22.3</v>
      </c>
      <c r="L164" s="18">
        <v>5.04</v>
      </c>
      <c r="M164" s="18">
        <v>208.49</v>
      </c>
      <c r="N164" s="23">
        <f t="shared" si="5"/>
        <v>11054.5</v>
      </c>
      <c r="O164" s="24">
        <f t="shared" si="4"/>
        <v>2.6</v>
      </c>
    </row>
    <row r="165" spans="1:15" ht="72.5" x14ac:dyDescent="0.35">
      <c r="A165" s="12" t="s">
        <v>451</v>
      </c>
      <c r="B165" s="12" t="s">
        <v>452</v>
      </c>
      <c r="C165" s="12" t="s">
        <v>453</v>
      </c>
      <c r="D165" s="12" t="s">
        <v>454</v>
      </c>
      <c r="E165" s="18">
        <v>60.41</v>
      </c>
      <c r="F165" s="19">
        <v>16.3</v>
      </c>
      <c r="G165" s="18">
        <v>50</v>
      </c>
      <c r="H165" s="18">
        <v>32.04</v>
      </c>
      <c r="I165" s="18">
        <v>8.98</v>
      </c>
      <c r="J165" s="18">
        <v>30.41</v>
      </c>
      <c r="K165" s="18">
        <v>68.010000000000005</v>
      </c>
      <c r="L165" s="18">
        <v>19.48</v>
      </c>
      <c r="M165" s="18">
        <v>208.92</v>
      </c>
      <c r="N165" s="23">
        <f t="shared" si="5"/>
        <v>11070.8</v>
      </c>
      <c r="O165" s="24">
        <f t="shared" si="4"/>
        <v>16.3</v>
      </c>
    </row>
    <row r="166" spans="1:15" ht="43.5" x14ac:dyDescent="0.35">
      <c r="A166" s="12" t="s">
        <v>455</v>
      </c>
      <c r="B166" s="12" t="s">
        <v>456</v>
      </c>
      <c r="C166" s="12" t="s">
        <v>69</v>
      </c>
      <c r="D166" s="12" t="s">
        <v>124</v>
      </c>
      <c r="E166" s="18">
        <v>60.49</v>
      </c>
      <c r="F166" s="19">
        <v>1.1000000000000001</v>
      </c>
      <c r="G166" s="18">
        <v>68.900000000000006</v>
      </c>
      <c r="H166" s="18">
        <v>87.21</v>
      </c>
      <c r="I166" s="18">
        <v>3.21</v>
      </c>
      <c r="J166" s="18">
        <v>17.079999999999998</v>
      </c>
      <c r="K166" s="18">
        <v>23.16</v>
      </c>
      <c r="L166" s="18">
        <v>9.4499999999999993</v>
      </c>
      <c r="M166" s="18">
        <v>209.01</v>
      </c>
      <c r="N166" s="23">
        <f t="shared" si="5"/>
        <v>11071.9</v>
      </c>
      <c r="O166" s="24">
        <f t="shared" si="4"/>
        <v>1.1000000000000001</v>
      </c>
    </row>
    <row r="167" spans="1:15" ht="58" x14ac:dyDescent="0.35">
      <c r="A167" s="12" t="s">
        <v>457</v>
      </c>
      <c r="B167" s="12" t="s">
        <v>458</v>
      </c>
      <c r="C167" s="12" t="s">
        <v>80</v>
      </c>
      <c r="D167" s="12" t="s">
        <v>459</v>
      </c>
      <c r="E167" s="18">
        <v>60.5</v>
      </c>
      <c r="F167" s="19">
        <v>98.2</v>
      </c>
      <c r="G167" s="18">
        <v>70.63</v>
      </c>
      <c r="H167" s="18">
        <v>72.599999999999994</v>
      </c>
      <c r="I167" s="18">
        <v>14.42</v>
      </c>
      <c r="J167" s="18">
        <v>43.69</v>
      </c>
      <c r="K167" s="18">
        <v>6.27</v>
      </c>
      <c r="L167" s="18">
        <v>1.5</v>
      </c>
      <c r="M167" s="18">
        <v>209.12</v>
      </c>
      <c r="N167" s="23">
        <f t="shared" si="5"/>
        <v>11170.1</v>
      </c>
      <c r="O167" s="24">
        <f t="shared" si="4"/>
        <v>98.2</v>
      </c>
    </row>
    <row r="168" spans="1:15" ht="58" x14ac:dyDescent="0.35">
      <c r="A168" s="12" t="s">
        <v>460</v>
      </c>
      <c r="B168" s="12" t="s">
        <v>461</v>
      </c>
      <c r="C168" s="12" t="s">
        <v>37</v>
      </c>
      <c r="D168" s="12" t="s">
        <v>462</v>
      </c>
      <c r="E168" s="18">
        <v>61.04</v>
      </c>
      <c r="F168" s="19">
        <v>0.9</v>
      </c>
      <c r="G168" s="18">
        <v>61.69</v>
      </c>
      <c r="H168" s="18">
        <v>35.08</v>
      </c>
      <c r="I168" s="18">
        <v>7.85</v>
      </c>
      <c r="J168" s="18">
        <v>49.98</v>
      </c>
      <c r="K168" s="18">
        <v>23.1</v>
      </c>
      <c r="L168" s="18">
        <v>32.06</v>
      </c>
      <c r="M168" s="18">
        <v>209.74</v>
      </c>
      <c r="N168" s="23">
        <f t="shared" si="5"/>
        <v>11171</v>
      </c>
      <c r="O168" s="24">
        <f t="shared" si="4"/>
        <v>0.9</v>
      </c>
    </row>
    <row r="169" spans="1:15" ht="29" x14ac:dyDescent="0.35">
      <c r="A169" s="12" t="s">
        <v>463</v>
      </c>
      <c r="B169" s="12" t="s">
        <v>464</v>
      </c>
      <c r="C169" s="12" t="s">
        <v>56</v>
      </c>
      <c r="D169" s="12" t="s">
        <v>42</v>
      </c>
      <c r="E169" s="18">
        <v>61.04</v>
      </c>
      <c r="F169" s="19">
        <v>1.9</v>
      </c>
      <c r="G169" s="18">
        <v>74.239999999999995</v>
      </c>
      <c r="H169" s="18">
        <v>40.76</v>
      </c>
      <c r="I169" s="18">
        <v>13.64</v>
      </c>
      <c r="J169" s="18">
        <v>51.63</v>
      </c>
      <c r="K169" s="18">
        <v>14.42</v>
      </c>
      <c r="L169" s="18">
        <v>15.69</v>
      </c>
      <c r="M169" s="18">
        <v>210.39</v>
      </c>
      <c r="N169" s="23">
        <f t="shared" si="5"/>
        <v>11172.9</v>
      </c>
      <c r="O169" s="24">
        <f t="shared" si="4"/>
        <v>1.9</v>
      </c>
    </row>
    <row r="170" spans="1:15" ht="58" x14ac:dyDescent="0.35">
      <c r="A170" s="12" t="s">
        <v>465</v>
      </c>
      <c r="B170" s="12" t="s">
        <v>466</v>
      </c>
      <c r="C170" s="12" t="s">
        <v>37</v>
      </c>
      <c r="D170" s="12" t="s">
        <v>467</v>
      </c>
      <c r="E170" s="18">
        <v>61.05</v>
      </c>
      <c r="F170" s="19">
        <v>83.4</v>
      </c>
      <c r="G170" s="18">
        <v>37.409999999999997</v>
      </c>
      <c r="H170" s="18">
        <v>80.209999999999994</v>
      </c>
      <c r="I170" s="18">
        <v>10.95</v>
      </c>
      <c r="J170" s="18">
        <v>54.5</v>
      </c>
      <c r="K170" s="18">
        <v>13.76</v>
      </c>
      <c r="L170" s="18">
        <v>14.05</v>
      </c>
      <c r="M170" s="18">
        <v>210.87</v>
      </c>
      <c r="N170" s="23">
        <f t="shared" si="5"/>
        <v>11256.3</v>
      </c>
      <c r="O170" s="24">
        <f t="shared" si="4"/>
        <v>83.4</v>
      </c>
    </row>
    <row r="171" spans="1:15" ht="43.5" x14ac:dyDescent="0.35">
      <c r="A171" s="12" t="s">
        <v>468</v>
      </c>
      <c r="B171" s="12" t="s">
        <v>469</v>
      </c>
      <c r="C171" s="12" t="s">
        <v>37</v>
      </c>
      <c r="D171" s="12" t="s">
        <v>470</v>
      </c>
      <c r="E171" s="18">
        <v>61.51</v>
      </c>
      <c r="F171" s="19">
        <v>0.3</v>
      </c>
      <c r="G171" s="18">
        <v>56.95</v>
      </c>
      <c r="H171" s="18">
        <v>37.869999999999997</v>
      </c>
      <c r="I171" s="18">
        <v>8.52</v>
      </c>
      <c r="J171" s="18">
        <v>57.92</v>
      </c>
      <c r="K171" s="18">
        <v>22.54</v>
      </c>
      <c r="L171" s="18">
        <v>27.71</v>
      </c>
      <c r="M171" s="18">
        <v>211.52</v>
      </c>
      <c r="N171" s="23">
        <f t="shared" si="5"/>
        <v>11256.599999999999</v>
      </c>
      <c r="O171" s="24">
        <f t="shared" si="4"/>
        <v>0.3</v>
      </c>
    </row>
    <row r="172" spans="1:15" ht="29" x14ac:dyDescent="0.35">
      <c r="A172" s="12" t="s">
        <v>471</v>
      </c>
      <c r="B172" s="12" t="s">
        <v>472</v>
      </c>
      <c r="C172" s="12" t="s">
        <v>130</v>
      </c>
      <c r="D172" s="12" t="s">
        <v>473</v>
      </c>
      <c r="E172" s="18">
        <v>61.51</v>
      </c>
      <c r="F172" s="19">
        <v>203.9</v>
      </c>
      <c r="G172" s="18">
        <v>74.61</v>
      </c>
      <c r="H172" s="18">
        <v>15.78</v>
      </c>
      <c r="I172" s="18">
        <v>13.15</v>
      </c>
      <c r="J172" s="18">
        <v>56.98</v>
      </c>
      <c r="K172" s="18">
        <v>26.28</v>
      </c>
      <c r="L172" s="18">
        <v>24.77</v>
      </c>
      <c r="M172" s="18">
        <v>211.57</v>
      </c>
      <c r="N172" s="23">
        <f t="shared" si="5"/>
        <v>11460.499999999998</v>
      </c>
      <c r="O172" s="24">
        <f t="shared" si="4"/>
        <v>203.9</v>
      </c>
    </row>
    <row r="173" spans="1:15" ht="58" x14ac:dyDescent="0.35">
      <c r="A173" s="12" t="s">
        <v>474</v>
      </c>
      <c r="B173" s="12" t="s">
        <v>475</v>
      </c>
      <c r="C173" s="12" t="s">
        <v>41</v>
      </c>
      <c r="D173" s="12" t="s">
        <v>476</v>
      </c>
      <c r="E173" s="18">
        <v>62.62</v>
      </c>
      <c r="F173" s="19">
        <v>247.2</v>
      </c>
      <c r="G173" s="18">
        <v>11.33</v>
      </c>
      <c r="H173" s="18">
        <v>54.38</v>
      </c>
      <c r="I173" s="18">
        <v>20.079999999999998</v>
      </c>
      <c r="J173" s="18">
        <v>87.1</v>
      </c>
      <c r="K173" s="18">
        <v>29.39</v>
      </c>
      <c r="L173" s="18">
        <v>9.6300000000000008</v>
      </c>
      <c r="M173" s="18">
        <v>211.91</v>
      </c>
      <c r="N173" s="23">
        <f t="shared" si="5"/>
        <v>11707.699999999999</v>
      </c>
      <c r="O173" s="24">
        <f t="shared" si="4"/>
        <v>247.2</v>
      </c>
    </row>
    <row r="174" spans="1:15" ht="101.5" x14ac:dyDescent="0.35">
      <c r="A174" s="12" t="s">
        <v>477</v>
      </c>
      <c r="B174" s="12" t="s">
        <v>478</v>
      </c>
      <c r="C174" s="12" t="s">
        <v>80</v>
      </c>
      <c r="D174" s="12" t="s">
        <v>479</v>
      </c>
      <c r="E174" s="18">
        <v>63.97</v>
      </c>
      <c r="F174" s="19">
        <v>146.69999999999999</v>
      </c>
      <c r="G174" s="18">
        <v>54.09</v>
      </c>
      <c r="H174" s="18">
        <v>63.78</v>
      </c>
      <c r="I174" s="18">
        <v>24.35</v>
      </c>
      <c r="J174" s="18">
        <v>43.58</v>
      </c>
      <c r="K174" s="18">
        <v>21.09</v>
      </c>
      <c r="L174" s="18">
        <v>5.38</v>
      </c>
      <c r="M174" s="18">
        <v>212.27</v>
      </c>
      <c r="N174" s="23">
        <f t="shared" si="5"/>
        <v>11854.4</v>
      </c>
      <c r="O174" s="24">
        <f t="shared" si="4"/>
        <v>146.69999999999999</v>
      </c>
    </row>
    <row r="175" spans="1:15" ht="174" x14ac:dyDescent="0.35">
      <c r="A175" s="12" t="s">
        <v>480</v>
      </c>
      <c r="B175" s="12" t="s">
        <v>481</v>
      </c>
      <c r="C175" s="12" t="s">
        <v>482</v>
      </c>
      <c r="D175" s="12" t="s">
        <v>483</v>
      </c>
      <c r="E175" s="18">
        <v>64.78</v>
      </c>
      <c r="F175" s="19">
        <v>34.5</v>
      </c>
      <c r="G175" s="18">
        <v>35.9</v>
      </c>
      <c r="H175" s="18">
        <v>120.87</v>
      </c>
      <c r="I175" s="18">
        <v>6.24</v>
      </c>
      <c r="J175" s="18">
        <v>21.34</v>
      </c>
      <c r="K175" s="18">
        <v>16.32</v>
      </c>
      <c r="L175" s="18">
        <v>11.91</v>
      </c>
      <c r="M175" s="18">
        <v>212.57</v>
      </c>
      <c r="N175" s="23">
        <f t="shared" si="5"/>
        <v>11888.9</v>
      </c>
      <c r="O175" s="24">
        <f t="shared" si="4"/>
        <v>34.5</v>
      </c>
    </row>
    <row r="176" spans="1:15" ht="58" x14ac:dyDescent="0.35">
      <c r="A176" s="12" t="s">
        <v>484</v>
      </c>
      <c r="B176" s="12" t="s">
        <v>485</v>
      </c>
      <c r="C176" s="12" t="s">
        <v>80</v>
      </c>
      <c r="D176" s="12" t="s">
        <v>459</v>
      </c>
      <c r="E176" s="18">
        <v>64.959999999999994</v>
      </c>
      <c r="F176" s="19">
        <v>149.30000000000001</v>
      </c>
      <c r="G176" s="18">
        <v>50.7</v>
      </c>
      <c r="H176" s="18">
        <v>68.900000000000006</v>
      </c>
      <c r="I176" s="18">
        <v>33.229999999999997</v>
      </c>
      <c r="J176" s="18">
        <v>24.26</v>
      </c>
      <c r="K176" s="18">
        <v>32.35</v>
      </c>
      <c r="L176" s="18">
        <v>3.4</v>
      </c>
      <c r="M176" s="18">
        <v>212.85</v>
      </c>
      <c r="N176" s="23">
        <f t="shared" si="5"/>
        <v>12038.199999999999</v>
      </c>
      <c r="O176" s="24">
        <f t="shared" si="4"/>
        <v>149.30000000000001</v>
      </c>
    </row>
    <row r="177" spans="1:15" ht="43.5" x14ac:dyDescent="0.35">
      <c r="A177" s="12" t="s">
        <v>486</v>
      </c>
      <c r="B177" s="12" t="s">
        <v>487</v>
      </c>
      <c r="C177" s="12" t="s">
        <v>37</v>
      </c>
      <c r="D177" s="12" t="s">
        <v>488</v>
      </c>
      <c r="E177" s="18">
        <v>65.78</v>
      </c>
      <c r="F177" s="19">
        <v>4.2</v>
      </c>
      <c r="G177" s="18">
        <v>21.51</v>
      </c>
      <c r="H177" s="18">
        <v>63.51</v>
      </c>
      <c r="I177" s="18">
        <v>6.2</v>
      </c>
      <c r="J177" s="18">
        <v>76.13</v>
      </c>
      <c r="K177" s="18">
        <v>21.34</v>
      </c>
      <c r="L177" s="18">
        <v>24.2</v>
      </c>
      <c r="M177" s="18">
        <v>212.89</v>
      </c>
      <c r="N177" s="23">
        <f t="shared" si="5"/>
        <v>12042.4</v>
      </c>
      <c r="O177" s="24">
        <f t="shared" si="4"/>
        <v>4.2</v>
      </c>
    </row>
    <row r="178" spans="1:15" ht="43.5" x14ac:dyDescent="0.35">
      <c r="A178" s="12" t="s">
        <v>489</v>
      </c>
      <c r="B178" s="12" t="s">
        <v>490</v>
      </c>
      <c r="C178" s="12" t="s">
        <v>37</v>
      </c>
      <c r="D178" s="12" t="s">
        <v>491</v>
      </c>
      <c r="E178" s="18">
        <v>65.8</v>
      </c>
      <c r="F178" s="19">
        <v>0.5</v>
      </c>
      <c r="G178" s="18">
        <v>56.12</v>
      </c>
      <c r="H178" s="18">
        <v>10.29</v>
      </c>
      <c r="I178" s="18">
        <v>1.19</v>
      </c>
      <c r="J178" s="18">
        <v>126.7</v>
      </c>
      <c r="K178" s="18">
        <v>2.58</v>
      </c>
      <c r="L178" s="18">
        <v>16.260000000000002</v>
      </c>
      <c r="M178" s="18">
        <v>213.14</v>
      </c>
      <c r="N178" s="23">
        <f t="shared" si="5"/>
        <v>12042.9</v>
      </c>
      <c r="O178" s="24">
        <f t="shared" si="4"/>
        <v>0.5</v>
      </c>
    </row>
    <row r="179" spans="1:15" ht="43.5" x14ac:dyDescent="0.35">
      <c r="A179" s="12" t="s">
        <v>492</v>
      </c>
      <c r="B179" s="12" t="s">
        <v>493</v>
      </c>
      <c r="C179" s="12" t="s">
        <v>104</v>
      </c>
      <c r="D179" s="12" t="s">
        <v>374</v>
      </c>
      <c r="E179" s="18">
        <v>65.81</v>
      </c>
      <c r="F179" s="19">
        <v>21.5</v>
      </c>
      <c r="G179" s="18">
        <v>55.18</v>
      </c>
      <c r="H179" s="18">
        <v>42.79</v>
      </c>
      <c r="I179" s="18">
        <v>31.91</v>
      </c>
      <c r="J179" s="18">
        <v>71.430000000000007</v>
      </c>
      <c r="K179" s="18">
        <v>2.72</v>
      </c>
      <c r="L179" s="18">
        <v>10.07</v>
      </c>
      <c r="M179" s="18">
        <v>214.1</v>
      </c>
      <c r="N179" s="23">
        <f t="shared" si="5"/>
        <v>12064.4</v>
      </c>
      <c r="O179" s="24">
        <f t="shared" si="4"/>
        <v>21.5</v>
      </c>
    </row>
    <row r="180" spans="1:15" ht="29" x14ac:dyDescent="0.35">
      <c r="A180" s="12" t="s">
        <v>494</v>
      </c>
      <c r="B180" s="12" t="s">
        <v>495</v>
      </c>
      <c r="C180" s="12" t="s">
        <v>23</v>
      </c>
      <c r="D180" s="12" t="s">
        <v>165</v>
      </c>
      <c r="E180" s="18">
        <v>65.92</v>
      </c>
      <c r="F180" s="19">
        <v>44.8</v>
      </c>
      <c r="G180" s="18">
        <v>76.09</v>
      </c>
      <c r="H180" s="18">
        <v>35.22</v>
      </c>
      <c r="I180" s="18">
        <v>6.74</v>
      </c>
      <c r="J180" s="18">
        <v>37.450000000000003</v>
      </c>
      <c r="K180" s="18">
        <v>46.32</v>
      </c>
      <c r="L180" s="18">
        <v>12.63</v>
      </c>
      <c r="M180" s="18">
        <v>214.45</v>
      </c>
      <c r="N180" s="23">
        <f t="shared" si="5"/>
        <v>12109.199999999999</v>
      </c>
      <c r="O180" s="24">
        <f t="shared" si="4"/>
        <v>44.8</v>
      </c>
    </row>
    <row r="181" spans="1:15" ht="145" x14ac:dyDescent="0.35">
      <c r="A181" s="12" t="s">
        <v>496</v>
      </c>
      <c r="B181" s="12" t="s">
        <v>497</v>
      </c>
      <c r="C181" s="12" t="s">
        <v>37</v>
      </c>
      <c r="D181" s="12" t="s">
        <v>498</v>
      </c>
      <c r="E181" s="18">
        <v>66.17</v>
      </c>
      <c r="F181" s="19">
        <v>38.799999999999997</v>
      </c>
      <c r="G181" s="18">
        <v>32.19</v>
      </c>
      <c r="H181" s="18">
        <v>70.59</v>
      </c>
      <c r="I181" s="18">
        <v>9.68</v>
      </c>
      <c r="J181" s="18">
        <v>56.89</v>
      </c>
      <c r="K181" s="18">
        <v>29.42</v>
      </c>
      <c r="L181" s="18">
        <v>15.9</v>
      </c>
      <c r="M181" s="18">
        <v>214.67</v>
      </c>
      <c r="N181" s="23">
        <f t="shared" si="5"/>
        <v>12147.999999999998</v>
      </c>
      <c r="O181" s="24">
        <f t="shared" si="4"/>
        <v>38.799999999999997</v>
      </c>
    </row>
    <row r="182" spans="1:15" ht="87" x14ac:dyDescent="0.35">
      <c r="A182" s="12" t="s">
        <v>499</v>
      </c>
      <c r="B182" s="12" t="s">
        <v>500</v>
      </c>
      <c r="C182" s="12" t="s">
        <v>37</v>
      </c>
      <c r="D182" s="12" t="s">
        <v>501</v>
      </c>
      <c r="E182" s="18">
        <v>66.38</v>
      </c>
      <c r="F182" s="19">
        <v>0.3</v>
      </c>
      <c r="G182" s="18">
        <v>39.29</v>
      </c>
      <c r="H182" s="18">
        <v>37.090000000000003</v>
      </c>
      <c r="I182" s="18">
        <v>14.33</v>
      </c>
      <c r="J182" s="18">
        <v>82.17</v>
      </c>
      <c r="K182" s="18">
        <v>21.81</v>
      </c>
      <c r="L182" s="18">
        <v>20.95</v>
      </c>
      <c r="M182" s="18">
        <v>215.64</v>
      </c>
      <c r="N182" s="23">
        <f t="shared" si="5"/>
        <v>12148.299999999997</v>
      </c>
      <c r="O182" s="24">
        <f t="shared" si="4"/>
        <v>0.3</v>
      </c>
    </row>
    <row r="183" spans="1:15" ht="43.5" x14ac:dyDescent="0.35">
      <c r="A183" s="12" t="s">
        <v>502</v>
      </c>
      <c r="B183" s="12" t="s">
        <v>503</v>
      </c>
      <c r="C183" s="12" t="s">
        <v>104</v>
      </c>
      <c r="D183" s="12" t="s">
        <v>504</v>
      </c>
      <c r="E183" s="18">
        <v>66.38</v>
      </c>
      <c r="F183" s="19">
        <v>50.4</v>
      </c>
      <c r="G183" s="18">
        <v>39.14</v>
      </c>
      <c r="H183" s="18">
        <v>56.17</v>
      </c>
      <c r="I183" s="18">
        <v>17.440000000000001</v>
      </c>
      <c r="J183" s="18">
        <v>60.15</v>
      </c>
      <c r="K183" s="18">
        <v>19.87</v>
      </c>
      <c r="L183" s="18">
        <v>24.74</v>
      </c>
      <c r="M183" s="18">
        <v>217.52</v>
      </c>
      <c r="N183" s="23">
        <f t="shared" si="5"/>
        <v>12198.699999999997</v>
      </c>
      <c r="O183" s="24">
        <f t="shared" si="4"/>
        <v>50.4</v>
      </c>
    </row>
    <row r="184" spans="1:15" ht="72.5" x14ac:dyDescent="0.35">
      <c r="A184" s="12" t="s">
        <v>505</v>
      </c>
      <c r="B184" s="12" t="s">
        <v>506</v>
      </c>
      <c r="C184" s="12" t="s">
        <v>56</v>
      </c>
      <c r="D184" s="12" t="s">
        <v>507</v>
      </c>
      <c r="E184" s="18">
        <v>66.66</v>
      </c>
      <c r="F184" s="19">
        <v>27</v>
      </c>
      <c r="G184" s="18">
        <v>33.56</v>
      </c>
      <c r="H184" s="18">
        <v>44.48</v>
      </c>
      <c r="I184" s="18">
        <v>7.13</v>
      </c>
      <c r="J184" s="18">
        <v>78.44</v>
      </c>
      <c r="K184" s="18">
        <v>27.6</v>
      </c>
      <c r="L184" s="18">
        <v>26.87</v>
      </c>
      <c r="M184" s="18">
        <v>218.08</v>
      </c>
      <c r="N184" s="23">
        <f t="shared" si="5"/>
        <v>12225.699999999997</v>
      </c>
      <c r="O184" s="24">
        <f t="shared" si="4"/>
        <v>27</v>
      </c>
    </row>
    <row r="185" spans="1:15" ht="101.5" x14ac:dyDescent="0.35">
      <c r="A185" s="12" t="s">
        <v>508</v>
      </c>
      <c r="B185" s="12" t="s">
        <v>509</v>
      </c>
      <c r="C185" s="12" t="s">
        <v>130</v>
      </c>
      <c r="D185" s="12" t="s">
        <v>510</v>
      </c>
      <c r="E185" s="18">
        <v>66.81</v>
      </c>
      <c r="F185" s="19">
        <v>27.5</v>
      </c>
      <c r="G185" s="18">
        <v>44.69</v>
      </c>
      <c r="H185" s="18">
        <v>41.8</v>
      </c>
      <c r="I185" s="18">
        <v>5.3</v>
      </c>
      <c r="J185" s="18">
        <v>76.25</v>
      </c>
      <c r="K185" s="18">
        <v>35.67</v>
      </c>
      <c r="L185" s="18">
        <v>14.76</v>
      </c>
      <c r="M185" s="18">
        <v>218.46</v>
      </c>
      <c r="N185" s="23">
        <f t="shared" si="5"/>
        <v>12253.199999999997</v>
      </c>
      <c r="O185" s="24">
        <f t="shared" si="4"/>
        <v>27.5</v>
      </c>
    </row>
    <row r="186" spans="1:15" x14ac:dyDescent="0.35">
      <c r="A186" s="12" t="s">
        <v>511</v>
      </c>
      <c r="B186" s="12" t="s">
        <v>512</v>
      </c>
      <c r="C186" s="12" t="s">
        <v>37</v>
      </c>
      <c r="D186" s="12" t="s">
        <v>254</v>
      </c>
      <c r="E186" s="18">
        <v>66.959999999999994</v>
      </c>
      <c r="F186" s="19">
        <v>1</v>
      </c>
      <c r="G186" s="18">
        <v>38.68</v>
      </c>
      <c r="H186" s="18">
        <v>41.98</v>
      </c>
      <c r="I186" s="18">
        <v>17.059999999999999</v>
      </c>
      <c r="J186" s="18">
        <v>62.27</v>
      </c>
      <c r="K186" s="18">
        <v>20.6</v>
      </c>
      <c r="L186" s="18">
        <v>37.869999999999997</v>
      </c>
      <c r="M186" s="18">
        <v>218.47</v>
      </c>
      <c r="N186" s="23">
        <f t="shared" si="5"/>
        <v>12254.199999999997</v>
      </c>
      <c r="O186" s="24">
        <f t="shared" si="4"/>
        <v>1</v>
      </c>
    </row>
    <row r="187" spans="1:15" ht="43.5" x14ac:dyDescent="0.35">
      <c r="A187" s="12" t="s">
        <v>513</v>
      </c>
      <c r="B187" s="12" t="s">
        <v>514</v>
      </c>
      <c r="C187" s="12" t="s">
        <v>37</v>
      </c>
      <c r="D187" s="12" t="s">
        <v>515</v>
      </c>
      <c r="E187" s="18">
        <v>66.959999999999994</v>
      </c>
      <c r="F187" s="19">
        <v>0.1</v>
      </c>
      <c r="G187" s="18">
        <v>48.59</v>
      </c>
      <c r="H187" s="18">
        <v>49.55</v>
      </c>
      <c r="I187" s="18">
        <v>5.86</v>
      </c>
      <c r="J187" s="18">
        <v>37.049999999999997</v>
      </c>
      <c r="K187" s="18">
        <v>60.79</v>
      </c>
      <c r="L187" s="18">
        <v>16.850000000000001</v>
      </c>
      <c r="M187" s="18">
        <v>218.7</v>
      </c>
      <c r="N187" s="23">
        <f t="shared" si="5"/>
        <v>12254.299999999997</v>
      </c>
      <c r="O187" s="24">
        <f t="shared" si="4"/>
        <v>0.1</v>
      </c>
    </row>
    <row r="188" spans="1:15" ht="43.5" x14ac:dyDescent="0.35">
      <c r="A188" s="12" t="s">
        <v>516</v>
      </c>
      <c r="B188" s="12" t="s">
        <v>517</v>
      </c>
      <c r="C188" s="12" t="s">
        <v>56</v>
      </c>
      <c r="D188" s="12" t="s">
        <v>518</v>
      </c>
      <c r="E188" s="18">
        <v>66.959999999999994</v>
      </c>
      <c r="F188" s="19">
        <v>2.2999999999999998</v>
      </c>
      <c r="G188" s="18">
        <v>60.88</v>
      </c>
      <c r="H188" s="18">
        <v>50.72</v>
      </c>
      <c r="I188" s="18">
        <v>7.42</v>
      </c>
      <c r="J188" s="18">
        <v>68.47</v>
      </c>
      <c r="K188" s="18">
        <v>27.22</v>
      </c>
      <c r="L188" s="18">
        <v>5.85</v>
      </c>
      <c r="M188" s="18">
        <v>220.56</v>
      </c>
      <c r="N188" s="23">
        <f t="shared" si="5"/>
        <v>12256.599999999997</v>
      </c>
      <c r="O188" s="24">
        <f t="shared" si="4"/>
        <v>2.2999999999999998</v>
      </c>
    </row>
    <row r="189" spans="1:15" ht="72.5" x14ac:dyDescent="0.35">
      <c r="A189" s="12" t="s">
        <v>519</v>
      </c>
      <c r="B189" s="12" t="s">
        <v>520</v>
      </c>
      <c r="C189" s="12" t="s">
        <v>37</v>
      </c>
      <c r="D189" s="12" t="s">
        <v>521</v>
      </c>
      <c r="E189" s="18">
        <v>66.97</v>
      </c>
      <c r="F189" s="19">
        <v>0.9</v>
      </c>
      <c r="G189" s="18">
        <v>52.97</v>
      </c>
      <c r="H189" s="18">
        <v>26.78</v>
      </c>
      <c r="I189" s="18">
        <v>7.71</v>
      </c>
      <c r="J189" s="18">
        <v>66.47</v>
      </c>
      <c r="K189" s="18">
        <v>24.88</v>
      </c>
      <c r="L189" s="18">
        <v>42.42</v>
      </c>
      <c r="M189" s="18">
        <v>221.22</v>
      </c>
      <c r="N189" s="23">
        <f t="shared" si="5"/>
        <v>12257.499999999996</v>
      </c>
      <c r="O189" s="24">
        <f t="shared" si="4"/>
        <v>0.9</v>
      </c>
    </row>
    <row r="190" spans="1:15" ht="29" x14ac:dyDescent="0.35">
      <c r="A190" s="12" t="s">
        <v>522</v>
      </c>
      <c r="B190" s="12" t="s">
        <v>523</v>
      </c>
      <c r="C190" s="12" t="s">
        <v>524</v>
      </c>
      <c r="D190" s="12" t="s">
        <v>525</v>
      </c>
      <c r="E190" s="18">
        <v>66.98</v>
      </c>
      <c r="F190" s="19">
        <v>187.8</v>
      </c>
      <c r="G190" s="18">
        <v>74.349999999999994</v>
      </c>
      <c r="H190" s="18">
        <v>89.75</v>
      </c>
      <c r="I190" s="18">
        <v>15.96</v>
      </c>
      <c r="J190" s="18">
        <v>24.08</v>
      </c>
      <c r="K190" s="18">
        <v>17.53</v>
      </c>
      <c r="L190" s="18">
        <v>0</v>
      </c>
      <c r="M190" s="18">
        <v>221.67</v>
      </c>
      <c r="N190" s="23">
        <f t="shared" si="5"/>
        <v>12445.299999999996</v>
      </c>
      <c r="O190" s="24">
        <f t="shared" si="4"/>
        <v>187.8</v>
      </c>
    </row>
    <row r="191" spans="1:15" ht="29" x14ac:dyDescent="0.35">
      <c r="A191" s="12" t="s">
        <v>526</v>
      </c>
      <c r="B191" s="12" t="s">
        <v>527</v>
      </c>
      <c r="C191" s="12" t="s">
        <v>528</v>
      </c>
      <c r="D191" s="12" t="s">
        <v>146</v>
      </c>
      <c r="E191" s="18">
        <v>68.010000000000005</v>
      </c>
      <c r="F191" s="19">
        <v>2.7</v>
      </c>
      <c r="G191" s="18">
        <v>35.369999999999997</v>
      </c>
      <c r="H191" s="18">
        <v>24.35</v>
      </c>
      <c r="I191" s="18">
        <v>4.22</v>
      </c>
      <c r="J191" s="18">
        <v>17.920000000000002</v>
      </c>
      <c r="K191" s="18">
        <v>119.06</v>
      </c>
      <c r="L191" s="18">
        <v>21.49</v>
      </c>
      <c r="M191" s="18">
        <v>222.42</v>
      </c>
      <c r="N191" s="23">
        <f t="shared" si="5"/>
        <v>12447.999999999996</v>
      </c>
      <c r="O191" s="24">
        <f t="shared" si="4"/>
        <v>2.7</v>
      </c>
    </row>
    <row r="192" spans="1:15" ht="58" x14ac:dyDescent="0.35">
      <c r="A192" s="12" t="s">
        <v>529</v>
      </c>
      <c r="B192" s="12" t="s">
        <v>530</v>
      </c>
      <c r="C192" s="12" t="s">
        <v>37</v>
      </c>
      <c r="D192" s="12" t="s">
        <v>531</v>
      </c>
      <c r="E192" s="18">
        <v>68.02</v>
      </c>
      <c r="F192" s="19">
        <v>1.9</v>
      </c>
      <c r="G192" s="18">
        <v>62.46</v>
      </c>
      <c r="H192" s="18">
        <v>35.700000000000003</v>
      </c>
      <c r="I192" s="18">
        <v>11.96</v>
      </c>
      <c r="J192" s="18">
        <v>46.23</v>
      </c>
      <c r="K192" s="18">
        <v>30.74</v>
      </c>
      <c r="L192" s="18">
        <v>35.42</v>
      </c>
      <c r="M192" s="18">
        <v>222.5</v>
      </c>
      <c r="N192" s="23">
        <f t="shared" si="5"/>
        <v>12449.899999999996</v>
      </c>
      <c r="O192" s="24">
        <f t="shared" si="4"/>
        <v>1.9</v>
      </c>
    </row>
    <row r="193" spans="1:15" ht="72.5" x14ac:dyDescent="0.35">
      <c r="A193" s="12" t="s">
        <v>532</v>
      </c>
      <c r="B193" s="12" t="s">
        <v>533</v>
      </c>
      <c r="C193" s="12" t="s">
        <v>27</v>
      </c>
      <c r="D193" s="12" t="s">
        <v>534</v>
      </c>
      <c r="E193" s="18">
        <v>68.03</v>
      </c>
      <c r="F193" s="19">
        <v>24.6</v>
      </c>
      <c r="G193" s="18">
        <v>53.06</v>
      </c>
      <c r="H193" s="18">
        <v>79</v>
      </c>
      <c r="I193" s="18">
        <v>46.47</v>
      </c>
      <c r="J193" s="18">
        <v>23.64</v>
      </c>
      <c r="K193" s="18">
        <v>11.07</v>
      </c>
      <c r="L193" s="18">
        <v>9.36</v>
      </c>
      <c r="M193" s="18">
        <v>222.6</v>
      </c>
      <c r="N193" s="23">
        <f t="shared" si="5"/>
        <v>12474.499999999996</v>
      </c>
      <c r="O193" s="24">
        <f t="shared" si="4"/>
        <v>24.6</v>
      </c>
    </row>
    <row r="194" spans="1:15" ht="43.5" x14ac:dyDescent="0.35">
      <c r="A194" s="12" t="s">
        <v>535</v>
      </c>
      <c r="B194" s="12" t="s">
        <v>536</v>
      </c>
      <c r="C194" s="12" t="s">
        <v>80</v>
      </c>
      <c r="D194" s="12" t="s">
        <v>537</v>
      </c>
      <c r="E194" s="18">
        <v>68.17</v>
      </c>
      <c r="F194" s="19">
        <v>105.4</v>
      </c>
      <c r="G194" s="18">
        <v>51.73</v>
      </c>
      <c r="H194" s="18">
        <v>57.64</v>
      </c>
      <c r="I194" s="18">
        <v>30.78</v>
      </c>
      <c r="J194" s="18">
        <v>44.73</v>
      </c>
      <c r="K194" s="18">
        <v>23.97</v>
      </c>
      <c r="L194" s="18">
        <v>13.9</v>
      </c>
      <c r="M194" s="18">
        <v>222.74</v>
      </c>
      <c r="N194" s="23">
        <f t="shared" si="5"/>
        <v>12579.899999999996</v>
      </c>
      <c r="O194" s="24">
        <f t="shared" si="4"/>
        <v>105.4</v>
      </c>
    </row>
    <row r="195" spans="1:15" ht="43.5" x14ac:dyDescent="0.35">
      <c r="A195" s="12" t="s">
        <v>538</v>
      </c>
      <c r="B195" s="12" t="s">
        <v>539</v>
      </c>
      <c r="C195" s="12" t="s">
        <v>130</v>
      </c>
      <c r="D195" s="12" t="s">
        <v>540</v>
      </c>
      <c r="E195" s="18">
        <v>68.739999999999995</v>
      </c>
      <c r="F195" s="19">
        <v>1</v>
      </c>
      <c r="G195" s="18">
        <v>68.45</v>
      </c>
      <c r="H195" s="18">
        <v>28.26</v>
      </c>
      <c r="I195" s="18">
        <v>4.03</v>
      </c>
      <c r="J195" s="18">
        <v>89.88</v>
      </c>
      <c r="K195" s="18">
        <v>19</v>
      </c>
      <c r="L195" s="18">
        <v>13.97</v>
      </c>
      <c r="M195" s="18">
        <v>223.59</v>
      </c>
      <c r="N195" s="23">
        <f t="shared" si="5"/>
        <v>12580.899999999996</v>
      </c>
      <c r="O195" s="24">
        <f t="shared" si="4"/>
        <v>1</v>
      </c>
    </row>
    <row r="196" spans="1:15" ht="29" x14ac:dyDescent="0.35">
      <c r="A196" s="12" t="s">
        <v>541</v>
      </c>
      <c r="B196" s="12" t="s">
        <v>542</v>
      </c>
      <c r="C196" s="12" t="s">
        <v>130</v>
      </c>
      <c r="D196" s="12" t="s">
        <v>543</v>
      </c>
      <c r="E196" s="18">
        <v>68.75</v>
      </c>
      <c r="F196" s="19">
        <v>1.1000000000000001</v>
      </c>
      <c r="G196" s="18">
        <v>96.07</v>
      </c>
      <c r="H196" s="18">
        <v>27.79</v>
      </c>
      <c r="I196" s="18">
        <v>6.12</v>
      </c>
      <c r="J196" s="18">
        <v>61.86</v>
      </c>
      <c r="K196" s="18">
        <v>12.6</v>
      </c>
      <c r="L196" s="18">
        <v>19.149999999999999</v>
      </c>
      <c r="M196" s="18">
        <v>223.6</v>
      </c>
      <c r="N196" s="23">
        <f t="shared" si="5"/>
        <v>12581.999999999996</v>
      </c>
      <c r="O196" s="24">
        <f t="shared" si="4"/>
        <v>1.1000000000000001</v>
      </c>
    </row>
    <row r="197" spans="1:15" ht="29" x14ac:dyDescent="0.35">
      <c r="A197" s="12" t="s">
        <v>544</v>
      </c>
      <c r="B197" s="12" t="s">
        <v>545</v>
      </c>
      <c r="C197" s="12" t="s">
        <v>546</v>
      </c>
      <c r="D197" s="12" t="s">
        <v>547</v>
      </c>
      <c r="E197" s="18">
        <v>68.75</v>
      </c>
      <c r="F197" s="19">
        <v>0.6</v>
      </c>
      <c r="G197" s="18">
        <v>47.04</v>
      </c>
      <c r="H197" s="18">
        <v>36.840000000000003</v>
      </c>
      <c r="I197" s="18">
        <v>46.18</v>
      </c>
      <c r="J197" s="18">
        <v>25.59</v>
      </c>
      <c r="K197" s="18">
        <v>43.5</v>
      </c>
      <c r="L197" s="18">
        <v>24.65</v>
      </c>
      <c r="M197" s="18">
        <v>223.81</v>
      </c>
      <c r="N197" s="23">
        <f t="shared" si="5"/>
        <v>12582.599999999997</v>
      </c>
      <c r="O197" s="24">
        <f t="shared" si="4"/>
        <v>0.6</v>
      </c>
    </row>
    <row r="198" spans="1:15" ht="29" x14ac:dyDescent="0.35">
      <c r="A198" s="12" t="s">
        <v>548</v>
      </c>
      <c r="B198" s="12" t="s">
        <v>549</v>
      </c>
      <c r="C198" s="12" t="s">
        <v>111</v>
      </c>
      <c r="D198" s="12" t="s">
        <v>430</v>
      </c>
      <c r="E198" s="18">
        <v>68.760000000000005</v>
      </c>
      <c r="F198" s="19">
        <v>9.6999999999999993</v>
      </c>
      <c r="G198" s="18">
        <v>62.34</v>
      </c>
      <c r="H198" s="18">
        <v>80.95</v>
      </c>
      <c r="I198" s="18">
        <v>13.56</v>
      </c>
      <c r="J198" s="18">
        <v>45.33</v>
      </c>
      <c r="K198" s="18">
        <v>17.920000000000002</v>
      </c>
      <c r="L198" s="18">
        <v>4.8899999999999997</v>
      </c>
      <c r="M198" s="18">
        <v>225</v>
      </c>
      <c r="N198" s="23">
        <f t="shared" si="5"/>
        <v>12592.299999999997</v>
      </c>
      <c r="O198" s="24">
        <f t="shared" si="4"/>
        <v>9.6999999999999993</v>
      </c>
    </row>
    <row r="199" spans="1:15" ht="72.5" x14ac:dyDescent="0.35">
      <c r="A199" s="12" t="s">
        <v>550</v>
      </c>
      <c r="B199" s="12" t="s">
        <v>551</v>
      </c>
      <c r="C199" s="12" t="s">
        <v>56</v>
      </c>
      <c r="D199" s="12" t="s">
        <v>552</v>
      </c>
      <c r="E199" s="18">
        <v>68.81</v>
      </c>
      <c r="F199" s="19">
        <v>2.9</v>
      </c>
      <c r="G199" s="18">
        <v>27.5</v>
      </c>
      <c r="H199" s="18">
        <v>45.9</v>
      </c>
      <c r="I199" s="18">
        <v>11.03</v>
      </c>
      <c r="J199" s="18">
        <v>93.22</v>
      </c>
      <c r="K199" s="18">
        <v>36.94</v>
      </c>
      <c r="L199" s="18">
        <v>10.59</v>
      </c>
      <c r="M199" s="18">
        <v>225.18</v>
      </c>
      <c r="N199" s="23">
        <f t="shared" si="5"/>
        <v>12595.199999999997</v>
      </c>
      <c r="O199" s="24">
        <f t="shared" si="4"/>
        <v>2.9</v>
      </c>
    </row>
    <row r="200" spans="1:15" ht="58" x14ac:dyDescent="0.35">
      <c r="A200" s="12" t="s">
        <v>553</v>
      </c>
      <c r="B200" s="12" t="s">
        <v>554</v>
      </c>
      <c r="C200" s="12" t="s">
        <v>69</v>
      </c>
      <c r="D200" s="12" t="s">
        <v>555</v>
      </c>
      <c r="E200" s="18">
        <v>68.819999999999993</v>
      </c>
      <c r="F200" s="19">
        <v>0.2</v>
      </c>
      <c r="G200" s="18">
        <v>34</v>
      </c>
      <c r="H200" s="18">
        <v>15.28</v>
      </c>
      <c r="I200" s="18">
        <v>9.17</v>
      </c>
      <c r="J200" s="18">
        <v>38.39</v>
      </c>
      <c r="K200" s="18">
        <v>116.08</v>
      </c>
      <c r="L200" s="18">
        <v>12.46</v>
      </c>
      <c r="M200" s="18">
        <v>225.38</v>
      </c>
      <c r="N200" s="23">
        <f t="shared" si="5"/>
        <v>12595.399999999998</v>
      </c>
      <c r="O200" s="24">
        <f t="shared" si="4"/>
        <v>0.2</v>
      </c>
    </row>
    <row r="201" spans="1:15" ht="116" x14ac:dyDescent="0.35">
      <c r="A201" s="12" t="s">
        <v>556</v>
      </c>
      <c r="B201" s="12" t="s">
        <v>557</v>
      </c>
      <c r="C201" s="12" t="s">
        <v>37</v>
      </c>
      <c r="D201" s="12" t="s">
        <v>558</v>
      </c>
      <c r="E201" s="18">
        <v>68.83</v>
      </c>
      <c r="F201" s="19">
        <v>9.4</v>
      </c>
      <c r="G201" s="18">
        <v>33.54</v>
      </c>
      <c r="H201" s="18">
        <v>58.46</v>
      </c>
      <c r="I201" s="18">
        <v>9.93</v>
      </c>
      <c r="J201" s="18">
        <v>56.63</v>
      </c>
      <c r="K201" s="18">
        <v>27.47</v>
      </c>
      <c r="L201" s="18">
        <v>39.619999999999997</v>
      </c>
      <c r="M201" s="18">
        <v>225.65</v>
      </c>
      <c r="N201" s="23">
        <f t="shared" si="5"/>
        <v>12604.799999999997</v>
      </c>
      <c r="O201" s="24">
        <f t="shared" si="4"/>
        <v>9.4</v>
      </c>
    </row>
    <row r="202" spans="1:15" ht="29" x14ac:dyDescent="0.35">
      <c r="A202" s="12" t="s">
        <v>559</v>
      </c>
      <c r="B202" s="12" t="s">
        <v>560</v>
      </c>
      <c r="C202" s="12" t="s">
        <v>111</v>
      </c>
      <c r="D202" s="12" t="s">
        <v>561</v>
      </c>
      <c r="E202" s="18">
        <v>68.88</v>
      </c>
      <c r="F202" s="19">
        <v>115.5</v>
      </c>
      <c r="G202" s="18">
        <v>65.83</v>
      </c>
      <c r="H202" s="18">
        <v>36.880000000000003</v>
      </c>
      <c r="I202" s="18">
        <v>17.27</v>
      </c>
      <c r="J202" s="18">
        <v>72.94</v>
      </c>
      <c r="K202" s="18">
        <v>29.58</v>
      </c>
      <c r="L202" s="18">
        <v>3.51</v>
      </c>
      <c r="M202" s="18">
        <v>226</v>
      </c>
      <c r="N202" s="23">
        <f t="shared" si="5"/>
        <v>12720.299999999997</v>
      </c>
      <c r="O202" s="24">
        <f t="shared" si="4"/>
        <v>115.5</v>
      </c>
    </row>
    <row r="203" spans="1:15" ht="29" x14ac:dyDescent="0.35">
      <c r="A203" s="12" t="s">
        <v>562</v>
      </c>
      <c r="B203" s="12" t="s">
        <v>563</v>
      </c>
      <c r="C203" s="12" t="s">
        <v>564</v>
      </c>
      <c r="D203" s="12" t="s">
        <v>565</v>
      </c>
      <c r="E203" s="18">
        <v>69.510000000000005</v>
      </c>
      <c r="F203" s="19">
        <v>12.3</v>
      </c>
      <c r="G203" s="18">
        <v>43.69</v>
      </c>
      <c r="H203" s="18">
        <v>27.57</v>
      </c>
      <c r="I203" s="18">
        <v>5.81</v>
      </c>
      <c r="J203" s="18">
        <v>19.579999999999998</v>
      </c>
      <c r="K203" s="18">
        <v>120.31</v>
      </c>
      <c r="L203" s="18">
        <v>10.87</v>
      </c>
      <c r="M203" s="18">
        <v>227.83</v>
      </c>
      <c r="N203" s="23">
        <f t="shared" si="5"/>
        <v>12732.599999999997</v>
      </c>
      <c r="O203" s="24">
        <f t="shared" si="4"/>
        <v>12.3</v>
      </c>
    </row>
    <row r="204" spans="1:15" ht="29" x14ac:dyDescent="0.35">
      <c r="A204" s="12" t="s">
        <v>566</v>
      </c>
      <c r="B204" s="12" t="s">
        <v>567</v>
      </c>
      <c r="C204" s="12" t="s">
        <v>528</v>
      </c>
      <c r="D204" s="12" t="s">
        <v>568</v>
      </c>
      <c r="E204" s="18">
        <v>69.58</v>
      </c>
      <c r="F204" s="19">
        <v>4.2</v>
      </c>
      <c r="G204" s="18">
        <v>32.4</v>
      </c>
      <c r="H204" s="18">
        <v>13.57</v>
      </c>
      <c r="I204" s="18">
        <v>1.38</v>
      </c>
      <c r="J204" s="18">
        <v>73.73</v>
      </c>
      <c r="K204" s="18">
        <v>96.47</v>
      </c>
      <c r="L204" s="18">
        <v>11.1</v>
      </c>
      <c r="M204" s="18">
        <v>228.65</v>
      </c>
      <c r="N204" s="23">
        <f t="shared" si="5"/>
        <v>12736.799999999997</v>
      </c>
      <c r="O204" s="24">
        <f t="shared" si="4"/>
        <v>4.2</v>
      </c>
    </row>
    <row r="205" spans="1:15" ht="29" x14ac:dyDescent="0.35">
      <c r="A205" s="12" t="s">
        <v>569</v>
      </c>
      <c r="B205" s="12" t="s">
        <v>570</v>
      </c>
      <c r="C205" s="12" t="s">
        <v>104</v>
      </c>
      <c r="D205" s="12" t="s">
        <v>571</v>
      </c>
      <c r="E205" s="18">
        <v>69.599999999999994</v>
      </c>
      <c r="F205" s="19">
        <v>171.6</v>
      </c>
      <c r="G205" s="18">
        <v>27.87</v>
      </c>
      <c r="H205" s="18">
        <v>61.19</v>
      </c>
      <c r="I205" s="18">
        <v>35.61</v>
      </c>
      <c r="J205" s="18">
        <v>87.76</v>
      </c>
      <c r="K205" s="18">
        <v>17.3</v>
      </c>
      <c r="L205" s="18">
        <v>0</v>
      </c>
      <c r="M205" s="18">
        <v>229.74</v>
      </c>
      <c r="N205" s="23">
        <f t="shared" si="5"/>
        <v>12908.399999999998</v>
      </c>
      <c r="O205" s="24">
        <f t="shared" si="4"/>
        <v>171.6</v>
      </c>
    </row>
    <row r="206" spans="1:15" ht="29" x14ac:dyDescent="0.35">
      <c r="A206" s="12" t="s">
        <v>572</v>
      </c>
      <c r="B206" s="12" t="s">
        <v>573</v>
      </c>
      <c r="C206" s="12" t="s">
        <v>80</v>
      </c>
      <c r="D206" s="12" t="s">
        <v>473</v>
      </c>
      <c r="E206" s="18">
        <v>70.540000000000006</v>
      </c>
      <c r="F206" s="19">
        <v>121.7</v>
      </c>
      <c r="G206" s="18">
        <v>68.989999999999995</v>
      </c>
      <c r="H206" s="18">
        <v>76.33</v>
      </c>
      <c r="I206" s="18">
        <v>21.37</v>
      </c>
      <c r="J206" s="18">
        <v>33.270000000000003</v>
      </c>
      <c r="K206" s="18">
        <v>28.75</v>
      </c>
      <c r="L206" s="18">
        <v>1.89</v>
      </c>
      <c r="M206" s="18">
        <v>230.59</v>
      </c>
      <c r="N206" s="23">
        <f t="shared" si="5"/>
        <v>13030.099999999999</v>
      </c>
      <c r="O206" s="24">
        <f t="shared" si="4"/>
        <v>121.7</v>
      </c>
    </row>
    <row r="207" spans="1:15" ht="29" x14ac:dyDescent="0.35">
      <c r="A207" s="12" t="s">
        <v>574</v>
      </c>
      <c r="B207" s="12" t="s">
        <v>575</v>
      </c>
      <c r="C207" s="12" t="s">
        <v>80</v>
      </c>
      <c r="D207" s="12" t="s">
        <v>473</v>
      </c>
      <c r="E207" s="18">
        <v>71.2</v>
      </c>
      <c r="F207" s="19">
        <v>119.7</v>
      </c>
      <c r="G207" s="18">
        <v>84.3</v>
      </c>
      <c r="H207" s="18">
        <v>60.49</v>
      </c>
      <c r="I207" s="18">
        <v>19.54</v>
      </c>
      <c r="J207" s="18">
        <v>56.2</v>
      </c>
      <c r="K207" s="18">
        <v>9.06</v>
      </c>
      <c r="L207" s="18">
        <v>1</v>
      </c>
      <c r="M207" s="18">
        <v>230.59</v>
      </c>
      <c r="N207" s="23">
        <f t="shared" si="5"/>
        <v>13149.8</v>
      </c>
      <c r="O207" s="24">
        <f t="shared" si="4"/>
        <v>119.7</v>
      </c>
    </row>
    <row r="208" spans="1:15" ht="29" x14ac:dyDescent="0.35">
      <c r="A208" s="12" t="s">
        <v>576</v>
      </c>
      <c r="B208" s="12" t="s">
        <v>577</v>
      </c>
      <c r="C208" s="12" t="s">
        <v>152</v>
      </c>
      <c r="D208" s="12" t="s">
        <v>48</v>
      </c>
      <c r="E208" s="18">
        <v>71.86</v>
      </c>
      <c r="F208" s="19">
        <v>3.6</v>
      </c>
      <c r="G208" s="18">
        <v>62.83</v>
      </c>
      <c r="H208" s="18">
        <v>37.79</v>
      </c>
      <c r="I208" s="18">
        <v>10.57</v>
      </c>
      <c r="J208" s="18">
        <v>78.38</v>
      </c>
      <c r="K208" s="18">
        <v>21.96</v>
      </c>
      <c r="L208" s="18">
        <v>19.13</v>
      </c>
      <c r="M208" s="18">
        <v>230.67</v>
      </c>
      <c r="N208" s="23">
        <f t="shared" si="5"/>
        <v>13153.4</v>
      </c>
      <c r="O208" s="24">
        <f t="shared" ref="O208:O271" si="6">F208</f>
        <v>3.6</v>
      </c>
    </row>
    <row r="209" spans="1:15" ht="29" x14ac:dyDescent="0.35">
      <c r="A209" s="12" t="s">
        <v>578</v>
      </c>
      <c r="B209" s="12" t="s">
        <v>579</v>
      </c>
      <c r="C209" s="12" t="s">
        <v>37</v>
      </c>
      <c r="D209" s="12" t="s">
        <v>101</v>
      </c>
      <c r="E209" s="18">
        <v>71.87</v>
      </c>
      <c r="F209" s="19">
        <v>0.5</v>
      </c>
      <c r="G209" s="18">
        <v>76.98</v>
      </c>
      <c r="H209" s="18">
        <v>40.46</v>
      </c>
      <c r="I209" s="18">
        <v>8.58</v>
      </c>
      <c r="J209" s="18">
        <v>34.85</v>
      </c>
      <c r="K209" s="18">
        <v>25.08</v>
      </c>
      <c r="L209" s="18">
        <v>44.73</v>
      </c>
      <c r="M209" s="18">
        <v>230.69</v>
      </c>
      <c r="N209" s="23">
        <f t="shared" ref="N209:N272" si="7">F209+N208</f>
        <v>13153.9</v>
      </c>
      <c r="O209" s="24">
        <f t="shared" si="6"/>
        <v>0.5</v>
      </c>
    </row>
    <row r="210" spans="1:15" ht="58" x14ac:dyDescent="0.35">
      <c r="A210" s="12" t="s">
        <v>580</v>
      </c>
      <c r="B210" s="12" t="s">
        <v>581</v>
      </c>
      <c r="C210" s="12" t="s">
        <v>104</v>
      </c>
      <c r="D210" s="12" t="s">
        <v>582</v>
      </c>
      <c r="E210" s="18">
        <v>71.88</v>
      </c>
      <c r="F210" s="19">
        <v>7.5</v>
      </c>
      <c r="G210" s="18">
        <v>59.16</v>
      </c>
      <c r="H210" s="18">
        <v>59.23</v>
      </c>
      <c r="I210" s="18">
        <v>6.47</v>
      </c>
      <c r="J210" s="18">
        <v>86.09</v>
      </c>
      <c r="K210" s="18">
        <v>13.59</v>
      </c>
      <c r="L210" s="18">
        <v>7.66</v>
      </c>
      <c r="M210" s="18">
        <v>232.2</v>
      </c>
      <c r="N210" s="23">
        <f t="shared" si="7"/>
        <v>13161.4</v>
      </c>
      <c r="O210" s="24">
        <f t="shared" si="6"/>
        <v>7.5</v>
      </c>
    </row>
    <row r="211" spans="1:15" ht="43.5" x14ac:dyDescent="0.35">
      <c r="A211" s="12" t="s">
        <v>583</v>
      </c>
      <c r="B211" s="12" t="s">
        <v>584</v>
      </c>
      <c r="C211" s="12" t="s">
        <v>69</v>
      </c>
      <c r="D211" s="12" t="s">
        <v>585</v>
      </c>
      <c r="E211" s="18">
        <v>71.92</v>
      </c>
      <c r="F211" s="19">
        <v>1.5</v>
      </c>
      <c r="G211" s="18">
        <v>101.11</v>
      </c>
      <c r="H211" s="18">
        <v>47.1</v>
      </c>
      <c r="I211" s="18">
        <v>3.58</v>
      </c>
      <c r="J211" s="18">
        <v>64.89</v>
      </c>
      <c r="K211" s="18">
        <v>0.25</v>
      </c>
      <c r="L211" s="18">
        <v>15.81</v>
      </c>
      <c r="M211" s="18">
        <v>232.73</v>
      </c>
      <c r="N211" s="23">
        <f t="shared" si="7"/>
        <v>13162.9</v>
      </c>
      <c r="O211" s="24">
        <f t="shared" si="6"/>
        <v>1.5</v>
      </c>
    </row>
    <row r="212" spans="1:15" ht="29" x14ac:dyDescent="0.35">
      <c r="A212" s="12" t="s">
        <v>586</v>
      </c>
      <c r="B212" s="12" t="s">
        <v>587</v>
      </c>
      <c r="C212" s="12" t="s">
        <v>41</v>
      </c>
      <c r="D212" s="12" t="s">
        <v>108</v>
      </c>
      <c r="E212" s="18">
        <v>71.930000000000007</v>
      </c>
      <c r="F212" s="19">
        <v>145.69999999999999</v>
      </c>
      <c r="G212" s="18">
        <v>23.73</v>
      </c>
      <c r="H212" s="18">
        <v>93.85</v>
      </c>
      <c r="I212" s="18">
        <v>12.49</v>
      </c>
      <c r="J212" s="18">
        <v>64.930000000000007</v>
      </c>
      <c r="K212" s="18">
        <v>33.58</v>
      </c>
      <c r="L212" s="18">
        <v>4.28</v>
      </c>
      <c r="M212" s="18">
        <v>232.85</v>
      </c>
      <c r="N212" s="23">
        <f t="shared" si="7"/>
        <v>13308.6</v>
      </c>
      <c r="O212" s="24">
        <f t="shared" si="6"/>
        <v>145.69999999999999</v>
      </c>
    </row>
    <row r="213" spans="1:15" ht="101.5" x14ac:dyDescent="0.35">
      <c r="A213" s="12" t="s">
        <v>588</v>
      </c>
      <c r="B213" s="12" t="s">
        <v>589</v>
      </c>
      <c r="C213" s="12" t="s">
        <v>37</v>
      </c>
      <c r="D213" s="12" t="s">
        <v>406</v>
      </c>
      <c r="E213" s="18">
        <v>72.72</v>
      </c>
      <c r="F213" s="19">
        <v>111.5</v>
      </c>
      <c r="G213" s="18">
        <v>30.41</v>
      </c>
      <c r="H213" s="18">
        <v>93.89</v>
      </c>
      <c r="I213" s="18">
        <v>10.35</v>
      </c>
      <c r="J213" s="18">
        <v>60.28</v>
      </c>
      <c r="K213" s="18">
        <v>22.22</v>
      </c>
      <c r="L213" s="18">
        <v>15.95</v>
      </c>
      <c r="M213" s="18">
        <v>233.11</v>
      </c>
      <c r="N213" s="23">
        <f t="shared" si="7"/>
        <v>13420.1</v>
      </c>
      <c r="O213" s="24">
        <f t="shared" si="6"/>
        <v>111.5</v>
      </c>
    </row>
    <row r="214" spans="1:15" ht="87" x14ac:dyDescent="0.35">
      <c r="A214" s="12" t="s">
        <v>590</v>
      </c>
      <c r="B214" s="12" t="s">
        <v>591</v>
      </c>
      <c r="C214" s="12" t="s">
        <v>37</v>
      </c>
      <c r="D214" s="12" t="s">
        <v>592</v>
      </c>
      <c r="E214" s="18">
        <v>73.33</v>
      </c>
      <c r="F214" s="19">
        <v>2.2999999999999998</v>
      </c>
      <c r="G214" s="18">
        <v>96.1</v>
      </c>
      <c r="H214" s="18">
        <v>29.12</v>
      </c>
      <c r="I214" s="18">
        <v>2.54</v>
      </c>
      <c r="J214" s="18">
        <v>75.849999999999994</v>
      </c>
      <c r="K214" s="18">
        <v>23.8</v>
      </c>
      <c r="L214" s="18">
        <v>6.74</v>
      </c>
      <c r="M214" s="18">
        <v>234.16</v>
      </c>
      <c r="N214" s="23">
        <f t="shared" si="7"/>
        <v>13422.4</v>
      </c>
      <c r="O214" s="24">
        <f t="shared" si="6"/>
        <v>2.2999999999999998</v>
      </c>
    </row>
    <row r="215" spans="1:15" ht="43.5" x14ac:dyDescent="0.35">
      <c r="A215" s="12" t="s">
        <v>593</v>
      </c>
      <c r="B215" s="12" t="s">
        <v>594</v>
      </c>
      <c r="C215" s="12" t="s">
        <v>23</v>
      </c>
      <c r="D215" s="12" t="s">
        <v>595</v>
      </c>
      <c r="E215" s="18">
        <v>73.349999999999994</v>
      </c>
      <c r="F215" s="19">
        <v>1.6</v>
      </c>
      <c r="G215" s="18">
        <v>25.72</v>
      </c>
      <c r="H215" s="18">
        <v>31.28</v>
      </c>
      <c r="I215" s="18">
        <v>1.65</v>
      </c>
      <c r="J215" s="18">
        <v>159.66999999999999</v>
      </c>
      <c r="K215" s="18">
        <v>11.37</v>
      </c>
      <c r="L215" s="18">
        <v>4.6399999999999997</v>
      </c>
      <c r="M215" s="18">
        <v>234.32</v>
      </c>
      <c r="N215" s="23">
        <f t="shared" si="7"/>
        <v>13424</v>
      </c>
      <c r="O215" s="24">
        <f t="shared" si="6"/>
        <v>1.6</v>
      </c>
    </row>
    <row r="216" spans="1:15" ht="58" x14ac:dyDescent="0.35">
      <c r="A216" s="12" t="s">
        <v>596</v>
      </c>
      <c r="B216" s="12" t="s">
        <v>597</v>
      </c>
      <c r="C216" s="12" t="s">
        <v>37</v>
      </c>
      <c r="D216" s="12" t="s">
        <v>176</v>
      </c>
      <c r="E216" s="18">
        <v>73.349999999999994</v>
      </c>
      <c r="F216" s="19">
        <v>2.2000000000000002</v>
      </c>
      <c r="G216" s="18">
        <v>60.5</v>
      </c>
      <c r="H216" s="18">
        <v>41.16</v>
      </c>
      <c r="I216" s="18">
        <v>11.12</v>
      </c>
      <c r="J216" s="18">
        <v>69.260000000000005</v>
      </c>
      <c r="K216" s="18">
        <v>27.19</v>
      </c>
      <c r="L216" s="18">
        <v>25.67</v>
      </c>
      <c r="M216" s="18">
        <v>234.91</v>
      </c>
      <c r="N216" s="23">
        <f t="shared" si="7"/>
        <v>13426.2</v>
      </c>
      <c r="O216" s="24">
        <f t="shared" si="6"/>
        <v>2.2000000000000002</v>
      </c>
    </row>
    <row r="217" spans="1:15" ht="43.5" x14ac:dyDescent="0.35">
      <c r="A217" s="12" t="s">
        <v>598</v>
      </c>
      <c r="B217" s="12" t="s">
        <v>599</v>
      </c>
      <c r="C217" s="12" t="s">
        <v>37</v>
      </c>
      <c r="D217" s="12" t="s">
        <v>600</v>
      </c>
      <c r="E217" s="18">
        <v>73.37</v>
      </c>
      <c r="F217" s="19">
        <v>4.0999999999999996</v>
      </c>
      <c r="G217" s="18">
        <v>61.18</v>
      </c>
      <c r="H217" s="18">
        <v>64.89</v>
      </c>
      <c r="I217" s="18">
        <v>11.43</v>
      </c>
      <c r="J217" s="18">
        <v>72.45</v>
      </c>
      <c r="K217" s="18">
        <v>17.29</v>
      </c>
      <c r="L217" s="18">
        <v>7.84</v>
      </c>
      <c r="M217" s="18">
        <v>235.08</v>
      </c>
      <c r="N217" s="23">
        <f t="shared" si="7"/>
        <v>13430.300000000001</v>
      </c>
      <c r="O217" s="24">
        <f t="shared" si="6"/>
        <v>4.0999999999999996</v>
      </c>
    </row>
    <row r="218" spans="1:15" ht="58" x14ac:dyDescent="0.35">
      <c r="A218" s="12" t="s">
        <v>601</v>
      </c>
      <c r="B218" s="12" t="s">
        <v>602</v>
      </c>
      <c r="C218" s="12" t="s">
        <v>80</v>
      </c>
      <c r="D218" s="12" t="s">
        <v>603</v>
      </c>
      <c r="E218" s="18">
        <v>73.39</v>
      </c>
      <c r="F218" s="19">
        <v>91.6</v>
      </c>
      <c r="G218" s="18">
        <v>116.84</v>
      </c>
      <c r="H218" s="18">
        <v>62.32</v>
      </c>
      <c r="I218" s="18">
        <v>8.98</v>
      </c>
      <c r="J218" s="18">
        <v>33.99</v>
      </c>
      <c r="K218" s="18">
        <v>10.95</v>
      </c>
      <c r="L218" s="18">
        <v>2.35</v>
      </c>
      <c r="M218" s="18">
        <v>235.44</v>
      </c>
      <c r="N218" s="23">
        <f t="shared" si="7"/>
        <v>13521.900000000001</v>
      </c>
      <c r="O218" s="24">
        <f t="shared" si="6"/>
        <v>91.6</v>
      </c>
    </row>
    <row r="219" spans="1:15" ht="29" x14ac:dyDescent="0.35">
      <c r="A219" s="12" t="s">
        <v>604</v>
      </c>
      <c r="B219" s="12" t="s">
        <v>605</v>
      </c>
      <c r="C219" s="12" t="s">
        <v>56</v>
      </c>
      <c r="D219" s="12" t="s">
        <v>42</v>
      </c>
      <c r="E219" s="18">
        <v>73.89</v>
      </c>
      <c r="F219" s="19">
        <v>4.5999999999999996</v>
      </c>
      <c r="G219" s="18">
        <v>65.959999999999994</v>
      </c>
      <c r="H219" s="18">
        <v>45.72</v>
      </c>
      <c r="I219" s="18">
        <v>26.24</v>
      </c>
      <c r="J219" s="18">
        <v>63.18</v>
      </c>
      <c r="K219" s="18">
        <v>21.14</v>
      </c>
      <c r="L219" s="18">
        <v>13.44</v>
      </c>
      <c r="M219" s="18">
        <v>235.68</v>
      </c>
      <c r="N219" s="23">
        <f t="shared" si="7"/>
        <v>13526.500000000002</v>
      </c>
      <c r="O219" s="24">
        <f t="shared" si="6"/>
        <v>4.5999999999999996</v>
      </c>
    </row>
    <row r="220" spans="1:15" ht="29" x14ac:dyDescent="0.35">
      <c r="A220" s="12" t="s">
        <v>606</v>
      </c>
      <c r="B220" s="12" t="s">
        <v>607</v>
      </c>
      <c r="C220" s="12" t="s">
        <v>130</v>
      </c>
      <c r="D220" s="12" t="s">
        <v>391</v>
      </c>
      <c r="E220" s="18">
        <v>73.91</v>
      </c>
      <c r="F220" s="19">
        <v>53.6</v>
      </c>
      <c r="G220" s="18">
        <v>90.58</v>
      </c>
      <c r="H220" s="18">
        <v>22.41</v>
      </c>
      <c r="I220" s="18">
        <v>9.99</v>
      </c>
      <c r="J220" s="18">
        <v>58.33</v>
      </c>
      <c r="K220" s="18">
        <v>34.78</v>
      </c>
      <c r="L220" s="18">
        <v>19.86</v>
      </c>
      <c r="M220" s="18">
        <v>235.95</v>
      </c>
      <c r="N220" s="23">
        <f t="shared" si="7"/>
        <v>13580.100000000002</v>
      </c>
      <c r="O220" s="24">
        <f t="shared" si="6"/>
        <v>53.6</v>
      </c>
    </row>
    <row r="221" spans="1:15" ht="29" x14ac:dyDescent="0.35">
      <c r="A221" s="12" t="s">
        <v>608</v>
      </c>
      <c r="B221" s="12" t="s">
        <v>609</v>
      </c>
      <c r="C221" s="12" t="s">
        <v>69</v>
      </c>
      <c r="D221" s="12" t="s">
        <v>610</v>
      </c>
      <c r="E221" s="18">
        <v>74.209999999999994</v>
      </c>
      <c r="F221" s="19">
        <v>1.2</v>
      </c>
      <c r="G221" s="18">
        <v>48.79</v>
      </c>
      <c r="H221" s="18">
        <v>21.35</v>
      </c>
      <c r="I221" s="18">
        <v>2</v>
      </c>
      <c r="J221" s="18">
        <v>35.6</v>
      </c>
      <c r="K221" s="18">
        <v>119.74</v>
      </c>
      <c r="L221" s="18">
        <v>11.28</v>
      </c>
      <c r="M221" s="18">
        <v>238.76</v>
      </c>
      <c r="N221" s="23">
        <f t="shared" si="7"/>
        <v>13581.300000000003</v>
      </c>
      <c r="O221" s="24">
        <f t="shared" si="6"/>
        <v>1.2</v>
      </c>
    </row>
    <row r="222" spans="1:15" x14ac:dyDescent="0.35">
      <c r="A222" s="12" t="s">
        <v>611</v>
      </c>
      <c r="B222" s="12" t="s">
        <v>612</v>
      </c>
      <c r="C222" s="12" t="s">
        <v>76</v>
      </c>
      <c r="D222" s="12" t="s">
        <v>613</v>
      </c>
      <c r="E222" s="18">
        <v>74.209999999999994</v>
      </c>
      <c r="F222" s="19">
        <v>123.6</v>
      </c>
      <c r="G222" s="18">
        <v>24.1</v>
      </c>
      <c r="H222" s="18">
        <v>67.11</v>
      </c>
      <c r="I222" s="18">
        <v>9.83</v>
      </c>
      <c r="J222" s="18">
        <v>107.84</v>
      </c>
      <c r="K222" s="18">
        <v>23.1</v>
      </c>
      <c r="L222" s="18">
        <v>6.78</v>
      </c>
      <c r="M222" s="18">
        <v>238.76</v>
      </c>
      <c r="N222" s="23">
        <f t="shared" si="7"/>
        <v>13704.900000000003</v>
      </c>
      <c r="O222" s="24">
        <f t="shared" si="6"/>
        <v>123.6</v>
      </c>
    </row>
    <row r="223" spans="1:15" ht="29" x14ac:dyDescent="0.35">
      <c r="A223" s="12" t="s">
        <v>614</v>
      </c>
      <c r="B223" s="12" t="s">
        <v>615</v>
      </c>
      <c r="C223" s="12" t="s">
        <v>69</v>
      </c>
      <c r="D223" s="12" t="s">
        <v>610</v>
      </c>
      <c r="E223" s="18">
        <v>74.89</v>
      </c>
      <c r="F223" s="19">
        <v>0.3</v>
      </c>
      <c r="G223" s="18">
        <v>25.81</v>
      </c>
      <c r="H223" s="18">
        <v>25.06</v>
      </c>
      <c r="I223" s="18">
        <v>8.0399999999999991</v>
      </c>
      <c r="J223" s="18">
        <v>41.1</v>
      </c>
      <c r="K223" s="18">
        <v>126.64</v>
      </c>
      <c r="L223" s="18">
        <v>12.51</v>
      </c>
      <c r="M223" s="18">
        <v>239.17</v>
      </c>
      <c r="N223" s="23">
        <f t="shared" si="7"/>
        <v>13705.200000000003</v>
      </c>
      <c r="O223" s="24">
        <f t="shared" si="6"/>
        <v>0.3</v>
      </c>
    </row>
    <row r="224" spans="1:15" ht="58" x14ac:dyDescent="0.35">
      <c r="A224" s="12" t="s">
        <v>616</v>
      </c>
      <c r="B224" s="12" t="s">
        <v>617</v>
      </c>
      <c r="C224" s="12" t="s">
        <v>80</v>
      </c>
      <c r="D224" s="12" t="s">
        <v>618</v>
      </c>
      <c r="E224" s="18">
        <v>74.89</v>
      </c>
      <c r="F224" s="19">
        <v>88.9</v>
      </c>
      <c r="G224" s="18">
        <v>69.36</v>
      </c>
      <c r="H224" s="18">
        <v>110.11</v>
      </c>
      <c r="I224" s="18">
        <v>6.26</v>
      </c>
      <c r="J224" s="18">
        <v>47.35</v>
      </c>
      <c r="K224" s="18">
        <v>2.64</v>
      </c>
      <c r="L224" s="18">
        <v>3.81</v>
      </c>
      <c r="M224" s="18">
        <v>239.52</v>
      </c>
      <c r="N224" s="23">
        <f t="shared" si="7"/>
        <v>13794.100000000002</v>
      </c>
      <c r="O224" s="24">
        <f t="shared" si="6"/>
        <v>88.9</v>
      </c>
    </row>
    <row r="225" spans="1:15" ht="58" x14ac:dyDescent="0.35">
      <c r="A225" s="12" t="s">
        <v>619</v>
      </c>
      <c r="B225" s="12" t="s">
        <v>620</v>
      </c>
      <c r="C225" s="12" t="s">
        <v>37</v>
      </c>
      <c r="D225" s="12" t="s">
        <v>621</v>
      </c>
      <c r="E225" s="18">
        <v>75.38</v>
      </c>
      <c r="F225" s="19">
        <v>30.8</v>
      </c>
      <c r="G225" s="18">
        <v>53.53</v>
      </c>
      <c r="H225" s="18">
        <v>47.38</v>
      </c>
      <c r="I225" s="18">
        <v>10.31</v>
      </c>
      <c r="J225" s="18">
        <v>61.25</v>
      </c>
      <c r="K225" s="18">
        <v>22.62</v>
      </c>
      <c r="L225" s="18">
        <v>44.91</v>
      </c>
      <c r="M225" s="18">
        <v>240.02</v>
      </c>
      <c r="N225" s="23">
        <f t="shared" si="7"/>
        <v>13824.900000000001</v>
      </c>
      <c r="O225" s="24">
        <f t="shared" si="6"/>
        <v>30.8</v>
      </c>
    </row>
    <row r="226" spans="1:15" ht="58" x14ac:dyDescent="0.35">
      <c r="A226" s="12" t="s">
        <v>622</v>
      </c>
      <c r="B226" s="12" t="s">
        <v>623</v>
      </c>
      <c r="C226" s="12" t="s">
        <v>41</v>
      </c>
      <c r="D226" s="12" t="s">
        <v>624</v>
      </c>
      <c r="E226" s="18">
        <v>75.540000000000006</v>
      </c>
      <c r="F226" s="19">
        <v>1.2</v>
      </c>
      <c r="G226" s="18">
        <v>171.78</v>
      </c>
      <c r="H226" s="18">
        <v>18.64</v>
      </c>
      <c r="I226" s="18">
        <v>2.99</v>
      </c>
      <c r="J226" s="18">
        <v>21.25</v>
      </c>
      <c r="K226" s="18">
        <v>17.32</v>
      </c>
      <c r="L226" s="18">
        <v>8.16</v>
      </c>
      <c r="M226" s="18">
        <v>240.14</v>
      </c>
      <c r="N226" s="23">
        <f t="shared" si="7"/>
        <v>13826.100000000002</v>
      </c>
      <c r="O226" s="24">
        <f t="shared" si="6"/>
        <v>1.2</v>
      </c>
    </row>
    <row r="227" spans="1:15" ht="29" x14ac:dyDescent="0.35">
      <c r="A227" s="12" t="s">
        <v>625</v>
      </c>
      <c r="B227" s="12" t="s">
        <v>626</v>
      </c>
      <c r="C227" s="12" t="s">
        <v>104</v>
      </c>
      <c r="D227" s="12" t="s">
        <v>352</v>
      </c>
      <c r="E227" s="18">
        <v>75.55</v>
      </c>
      <c r="F227" s="19">
        <v>46.8</v>
      </c>
      <c r="G227" s="18">
        <v>45.17</v>
      </c>
      <c r="H227" s="18">
        <v>37.090000000000003</v>
      </c>
      <c r="I227" s="18">
        <v>22.1</v>
      </c>
      <c r="J227" s="18">
        <v>73.66</v>
      </c>
      <c r="K227" s="18">
        <v>51.5</v>
      </c>
      <c r="L227" s="18">
        <v>11.2</v>
      </c>
      <c r="M227" s="18">
        <v>240.72</v>
      </c>
      <c r="N227" s="23">
        <f t="shared" si="7"/>
        <v>13872.900000000001</v>
      </c>
      <c r="O227" s="24">
        <f t="shared" si="6"/>
        <v>46.8</v>
      </c>
    </row>
    <row r="228" spans="1:15" ht="29" x14ac:dyDescent="0.35">
      <c r="A228" s="12" t="s">
        <v>627</v>
      </c>
      <c r="B228" s="12" t="s">
        <v>628</v>
      </c>
      <c r="C228" s="12" t="s">
        <v>152</v>
      </c>
      <c r="D228" s="12" t="s">
        <v>629</v>
      </c>
      <c r="E228" s="18">
        <v>75.81</v>
      </c>
      <c r="F228" s="19">
        <v>116.9</v>
      </c>
      <c r="G228" s="18">
        <v>53.92</v>
      </c>
      <c r="H228" s="18">
        <v>27.53</v>
      </c>
      <c r="I228" s="18">
        <v>17.27</v>
      </c>
      <c r="J228" s="18">
        <v>24.62</v>
      </c>
      <c r="K228" s="18">
        <v>78.09</v>
      </c>
      <c r="L228" s="18">
        <v>39.979999999999997</v>
      </c>
      <c r="M228" s="18">
        <v>241.4</v>
      </c>
      <c r="N228" s="23">
        <f t="shared" si="7"/>
        <v>13989.800000000001</v>
      </c>
      <c r="O228" s="24">
        <f t="shared" si="6"/>
        <v>116.9</v>
      </c>
    </row>
    <row r="229" spans="1:15" ht="101.5" x14ac:dyDescent="0.35">
      <c r="A229" s="12" t="s">
        <v>630</v>
      </c>
      <c r="B229" s="12" t="s">
        <v>631</v>
      </c>
      <c r="C229" s="12" t="s">
        <v>80</v>
      </c>
      <c r="D229" s="12" t="s">
        <v>168</v>
      </c>
      <c r="E229" s="18">
        <v>76.45</v>
      </c>
      <c r="F229" s="19">
        <v>224.6</v>
      </c>
      <c r="G229" s="18">
        <v>45.18</v>
      </c>
      <c r="H229" s="18">
        <v>81.61</v>
      </c>
      <c r="I229" s="18">
        <v>38.049999999999997</v>
      </c>
      <c r="J229" s="18">
        <v>36.33</v>
      </c>
      <c r="K229" s="18">
        <v>34.43</v>
      </c>
      <c r="L229" s="18">
        <v>5.84</v>
      </c>
      <c r="M229" s="18">
        <v>241.44</v>
      </c>
      <c r="N229" s="23">
        <f t="shared" si="7"/>
        <v>14214.400000000001</v>
      </c>
      <c r="O229" s="24">
        <f t="shared" si="6"/>
        <v>224.6</v>
      </c>
    </row>
    <row r="230" spans="1:15" ht="72.5" x14ac:dyDescent="0.35">
      <c r="A230" s="12" t="s">
        <v>632</v>
      </c>
      <c r="B230" s="12" t="s">
        <v>633</v>
      </c>
      <c r="C230" s="12" t="s">
        <v>37</v>
      </c>
      <c r="D230" s="12" t="s">
        <v>634</v>
      </c>
      <c r="E230" s="18">
        <v>77.67</v>
      </c>
      <c r="F230" s="19">
        <v>65.7</v>
      </c>
      <c r="G230" s="18">
        <v>16.28</v>
      </c>
      <c r="H230" s="18">
        <v>53.41</v>
      </c>
      <c r="I230" s="18">
        <v>15.06</v>
      </c>
      <c r="J230" s="18">
        <v>97.57</v>
      </c>
      <c r="K230" s="18">
        <v>29.43</v>
      </c>
      <c r="L230" s="18">
        <v>29.8</v>
      </c>
      <c r="M230" s="18">
        <v>241.55</v>
      </c>
      <c r="N230" s="23">
        <f t="shared" si="7"/>
        <v>14280.100000000002</v>
      </c>
      <c r="O230" s="24">
        <f t="shared" si="6"/>
        <v>65.7</v>
      </c>
    </row>
    <row r="231" spans="1:15" ht="29" x14ac:dyDescent="0.35">
      <c r="A231" s="12" t="s">
        <v>635</v>
      </c>
      <c r="B231" s="12" t="s">
        <v>636</v>
      </c>
      <c r="C231" s="12" t="s">
        <v>130</v>
      </c>
      <c r="D231" s="12" t="s">
        <v>637</v>
      </c>
      <c r="E231" s="18">
        <v>78.03</v>
      </c>
      <c r="F231" s="19">
        <v>10.7</v>
      </c>
      <c r="G231" s="18">
        <v>80.55</v>
      </c>
      <c r="H231" s="18">
        <v>51.45</v>
      </c>
      <c r="I231" s="18">
        <v>13.52</v>
      </c>
      <c r="J231" s="18">
        <v>42.84</v>
      </c>
      <c r="K231" s="18">
        <v>39.18</v>
      </c>
      <c r="L231" s="18">
        <v>14.11</v>
      </c>
      <c r="M231" s="18">
        <v>241.64</v>
      </c>
      <c r="N231" s="23">
        <f t="shared" si="7"/>
        <v>14290.800000000003</v>
      </c>
      <c r="O231" s="24">
        <f t="shared" si="6"/>
        <v>10.7</v>
      </c>
    </row>
    <row r="232" spans="1:15" ht="43.5" x14ac:dyDescent="0.35">
      <c r="A232" s="12" t="s">
        <v>638</v>
      </c>
      <c r="B232" s="12" t="s">
        <v>639</v>
      </c>
      <c r="C232" s="12" t="s">
        <v>69</v>
      </c>
      <c r="D232" s="12" t="s">
        <v>124</v>
      </c>
      <c r="E232" s="18">
        <v>78.09</v>
      </c>
      <c r="F232" s="19">
        <v>0</v>
      </c>
      <c r="G232" s="18">
        <v>113.52</v>
      </c>
      <c r="H232" s="18">
        <v>73.680000000000007</v>
      </c>
      <c r="I232" s="18">
        <v>6.51</v>
      </c>
      <c r="J232" s="18">
        <v>25.47</v>
      </c>
      <c r="K232" s="18">
        <v>22.23</v>
      </c>
      <c r="L232" s="18">
        <v>0.44</v>
      </c>
      <c r="M232" s="18">
        <v>241.85</v>
      </c>
      <c r="N232" s="23">
        <f t="shared" si="7"/>
        <v>14290.800000000003</v>
      </c>
      <c r="O232" s="24">
        <f t="shared" si="6"/>
        <v>0</v>
      </c>
    </row>
    <row r="233" spans="1:15" ht="58" x14ac:dyDescent="0.35">
      <c r="A233" s="12" t="s">
        <v>640</v>
      </c>
      <c r="B233" s="12" t="s">
        <v>641</v>
      </c>
      <c r="C233" s="12" t="s">
        <v>56</v>
      </c>
      <c r="D233" s="12" t="s">
        <v>642</v>
      </c>
      <c r="E233" s="18">
        <v>78.09</v>
      </c>
      <c r="F233" s="19">
        <v>2</v>
      </c>
      <c r="G233" s="18">
        <v>68.930000000000007</v>
      </c>
      <c r="H233" s="18">
        <v>28.02</v>
      </c>
      <c r="I233" s="18">
        <v>13.5</v>
      </c>
      <c r="J233" s="18">
        <v>66.03</v>
      </c>
      <c r="K233" s="18">
        <v>58.21</v>
      </c>
      <c r="L233" s="18">
        <v>7.46</v>
      </c>
      <c r="M233" s="18">
        <v>242.14</v>
      </c>
      <c r="N233" s="23">
        <f t="shared" si="7"/>
        <v>14292.800000000003</v>
      </c>
      <c r="O233" s="24">
        <f t="shared" si="6"/>
        <v>2</v>
      </c>
    </row>
    <row r="234" spans="1:15" ht="43.5" x14ac:dyDescent="0.35">
      <c r="A234" s="12" t="s">
        <v>643</v>
      </c>
      <c r="B234" s="12" t="s">
        <v>644</v>
      </c>
      <c r="C234" s="12" t="s">
        <v>104</v>
      </c>
      <c r="D234" s="12" t="s">
        <v>645</v>
      </c>
      <c r="E234" s="18">
        <v>78.099999999999994</v>
      </c>
      <c r="F234" s="19">
        <v>13.1</v>
      </c>
      <c r="G234" s="18">
        <v>92.03</v>
      </c>
      <c r="H234" s="18">
        <v>35.79</v>
      </c>
      <c r="I234" s="18">
        <v>15.8</v>
      </c>
      <c r="J234" s="18">
        <v>93.46</v>
      </c>
      <c r="K234" s="18">
        <v>3.63</v>
      </c>
      <c r="L234" s="18">
        <v>2.04</v>
      </c>
      <c r="M234" s="18">
        <v>242.74</v>
      </c>
      <c r="N234" s="23">
        <f t="shared" si="7"/>
        <v>14305.900000000003</v>
      </c>
      <c r="O234" s="24">
        <f t="shared" si="6"/>
        <v>13.1</v>
      </c>
    </row>
    <row r="235" spans="1:15" x14ac:dyDescent="0.35">
      <c r="A235" s="12" t="s">
        <v>646</v>
      </c>
      <c r="B235" s="12" t="s">
        <v>647</v>
      </c>
      <c r="C235" s="12" t="s">
        <v>80</v>
      </c>
      <c r="D235" s="12" t="s">
        <v>81</v>
      </c>
      <c r="E235" s="18">
        <v>78.17</v>
      </c>
      <c r="F235" s="19">
        <v>31.1</v>
      </c>
      <c r="G235" s="18">
        <v>139.47999999999999</v>
      </c>
      <c r="H235" s="18">
        <v>35.58</v>
      </c>
      <c r="I235" s="18">
        <v>13.73</v>
      </c>
      <c r="J235" s="18">
        <v>22.45</v>
      </c>
      <c r="K235" s="18">
        <v>29.78</v>
      </c>
      <c r="L235" s="18">
        <v>1.75</v>
      </c>
      <c r="M235" s="18">
        <v>242.77</v>
      </c>
      <c r="N235" s="23">
        <f t="shared" si="7"/>
        <v>14337.000000000004</v>
      </c>
      <c r="O235" s="24">
        <f t="shared" si="6"/>
        <v>31.1</v>
      </c>
    </row>
    <row r="236" spans="1:15" ht="43.5" x14ac:dyDescent="0.35">
      <c r="A236" s="12" t="s">
        <v>648</v>
      </c>
      <c r="B236" s="12" t="s">
        <v>649</v>
      </c>
      <c r="C236" s="12" t="s">
        <v>104</v>
      </c>
      <c r="D236" s="12" t="s">
        <v>645</v>
      </c>
      <c r="E236" s="18">
        <v>78.34</v>
      </c>
      <c r="F236" s="19">
        <v>26.8</v>
      </c>
      <c r="G236" s="18">
        <v>90.6</v>
      </c>
      <c r="H236" s="18">
        <v>32.49</v>
      </c>
      <c r="I236" s="18">
        <v>0</v>
      </c>
      <c r="J236" s="18">
        <v>117.65</v>
      </c>
      <c r="K236" s="18">
        <v>0</v>
      </c>
      <c r="L236" s="18">
        <v>2.04</v>
      </c>
      <c r="M236" s="18">
        <v>242.78</v>
      </c>
      <c r="N236" s="23">
        <f t="shared" si="7"/>
        <v>14363.800000000003</v>
      </c>
      <c r="O236" s="24">
        <f t="shared" si="6"/>
        <v>26.8</v>
      </c>
    </row>
    <row r="237" spans="1:15" ht="29" x14ac:dyDescent="0.35">
      <c r="A237" s="12" t="s">
        <v>650</v>
      </c>
      <c r="B237" s="12" t="s">
        <v>651</v>
      </c>
      <c r="C237" s="12" t="s">
        <v>37</v>
      </c>
      <c r="D237" s="12" t="s">
        <v>101</v>
      </c>
      <c r="E237" s="18">
        <v>78.489999999999995</v>
      </c>
      <c r="F237" s="19">
        <v>1</v>
      </c>
      <c r="G237" s="18">
        <v>73.22</v>
      </c>
      <c r="H237" s="18">
        <v>46.72</v>
      </c>
      <c r="I237" s="18">
        <v>11.09</v>
      </c>
      <c r="J237" s="18">
        <v>45.42</v>
      </c>
      <c r="K237" s="18">
        <v>31.81</v>
      </c>
      <c r="L237" s="18">
        <v>36.06</v>
      </c>
      <c r="M237" s="18">
        <v>244.32</v>
      </c>
      <c r="N237" s="23">
        <f t="shared" si="7"/>
        <v>14364.800000000003</v>
      </c>
      <c r="O237" s="24">
        <f t="shared" si="6"/>
        <v>1</v>
      </c>
    </row>
    <row r="238" spans="1:15" ht="58" x14ac:dyDescent="0.35">
      <c r="A238" s="12" t="s">
        <v>652</v>
      </c>
      <c r="B238" s="12" t="s">
        <v>653</v>
      </c>
      <c r="C238" s="12" t="s">
        <v>56</v>
      </c>
      <c r="D238" s="12" t="s">
        <v>57</v>
      </c>
      <c r="E238" s="18">
        <v>78.489999999999995</v>
      </c>
      <c r="F238" s="19">
        <v>85.8</v>
      </c>
      <c r="G238" s="18">
        <v>64.23</v>
      </c>
      <c r="H238" s="18">
        <v>57.87</v>
      </c>
      <c r="I238" s="18">
        <v>22.76</v>
      </c>
      <c r="J238" s="18">
        <v>53.94</v>
      </c>
      <c r="K238" s="18">
        <v>33.409999999999997</v>
      </c>
      <c r="L238" s="18">
        <v>12.24</v>
      </c>
      <c r="M238" s="18">
        <v>244.45</v>
      </c>
      <c r="N238" s="23">
        <f t="shared" si="7"/>
        <v>14450.600000000002</v>
      </c>
      <c r="O238" s="24">
        <f t="shared" si="6"/>
        <v>85.8</v>
      </c>
    </row>
    <row r="239" spans="1:15" ht="101.5" x14ac:dyDescent="0.35">
      <c r="A239" s="12" t="s">
        <v>654</v>
      </c>
      <c r="B239" s="12" t="s">
        <v>655</v>
      </c>
      <c r="C239" s="12" t="s">
        <v>152</v>
      </c>
      <c r="D239" s="12" t="s">
        <v>656</v>
      </c>
      <c r="E239" s="18">
        <v>78.959999999999994</v>
      </c>
      <c r="F239" s="19">
        <v>121.9</v>
      </c>
      <c r="G239" s="18">
        <v>15.6</v>
      </c>
      <c r="H239" s="18">
        <v>41.95</v>
      </c>
      <c r="I239" s="18">
        <v>11.41</v>
      </c>
      <c r="J239" s="18">
        <v>103.22</v>
      </c>
      <c r="K239" s="18">
        <v>41.21</v>
      </c>
      <c r="L239" s="18">
        <v>33.4</v>
      </c>
      <c r="M239" s="18">
        <v>246.79</v>
      </c>
      <c r="N239" s="23">
        <f t="shared" si="7"/>
        <v>14572.500000000002</v>
      </c>
      <c r="O239" s="24">
        <f t="shared" si="6"/>
        <v>121.9</v>
      </c>
    </row>
    <row r="240" spans="1:15" ht="29" x14ac:dyDescent="0.35">
      <c r="A240" s="12" t="s">
        <v>657</v>
      </c>
      <c r="B240" s="12" t="s">
        <v>658</v>
      </c>
      <c r="C240" s="12" t="s">
        <v>37</v>
      </c>
      <c r="D240" s="12" t="s">
        <v>101</v>
      </c>
      <c r="E240" s="18">
        <v>79.63</v>
      </c>
      <c r="F240" s="19">
        <v>0.8</v>
      </c>
      <c r="G240" s="18">
        <v>42.94</v>
      </c>
      <c r="H240" s="18">
        <v>66.37</v>
      </c>
      <c r="I240" s="18">
        <v>9.7799999999999994</v>
      </c>
      <c r="J240" s="18">
        <v>78.69</v>
      </c>
      <c r="K240" s="18">
        <v>18.46</v>
      </c>
      <c r="L240" s="18">
        <v>31.58</v>
      </c>
      <c r="M240" s="18">
        <v>247.81</v>
      </c>
      <c r="N240" s="23">
        <f t="shared" si="7"/>
        <v>14573.300000000001</v>
      </c>
      <c r="O240" s="24">
        <f t="shared" si="6"/>
        <v>0.8</v>
      </c>
    </row>
    <row r="241" spans="1:15" ht="174" x14ac:dyDescent="0.35">
      <c r="A241" s="12" t="s">
        <v>659</v>
      </c>
      <c r="B241" s="12" t="s">
        <v>660</v>
      </c>
      <c r="C241" s="12" t="s">
        <v>41</v>
      </c>
      <c r="D241" s="12" t="s">
        <v>661</v>
      </c>
      <c r="E241" s="18">
        <v>79.63</v>
      </c>
      <c r="F241" s="19">
        <v>44.4</v>
      </c>
      <c r="G241" s="18">
        <v>9.7200000000000006</v>
      </c>
      <c r="H241" s="18">
        <v>91.12</v>
      </c>
      <c r="I241" s="18">
        <v>31.12</v>
      </c>
      <c r="J241" s="18">
        <v>84.39</v>
      </c>
      <c r="K241" s="18">
        <v>16.649999999999999</v>
      </c>
      <c r="L241" s="18">
        <v>14.96</v>
      </c>
      <c r="M241" s="18">
        <v>247.96</v>
      </c>
      <c r="N241" s="23">
        <f t="shared" si="7"/>
        <v>14617.7</v>
      </c>
      <c r="O241" s="24">
        <f t="shared" si="6"/>
        <v>44.4</v>
      </c>
    </row>
    <row r="242" spans="1:15" ht="101.5" x14ac:dyDescent="0.35">
      <c r="A242" s="12" t="s">
        <v>662</v>
      </c>
      <c r="B242" s="12" t="s">
        <v>663</v>
      </c>
      <c r="C242" s="12" t="s">
        <v>114</v>
      </c>
      <c r="D242" s="12" t="s">
        <v>664</v>
      </c>
      <c r="E242" s="18">
        <v>79.88</v>
      </c>
      <c r="F242" s="19">
        <v>2.2000000000000002</v>
      </c>
      <c r="G242" s="18">
        <v>180.3</v>
      </c>
      <c r="H242" s="18">
        <v>3.73</v>
      </c>
      <c r="I242" s="18">
        <v>0.23</v>
      </c>
      <c r="J242" s="18">
        <v>5.83</v>
      </c>
      <c r="K242" s="18">
        <v>22.87</v>
      </c>
      <c r="L242" s="18">
        <v>35.85</v>
      </c>
      <c r="M242" s="18">
        <v>248.8</v>
      </c>
      <c r="N242" s="23">
        <f t="shared" si="7"/>
        <v>14619.900000000001</v>
      </c>
      <c r="O242" s="24">
        <f t="shared" si="6"/>
        <v>2.2000000000000002</v>
      </c>
    </row>
    <row r="243" spans="1:15" ht="43.5" x14ac:dyDescent="0.35">
      <c r="A243" s="12" t="s">
        <v>665</v>
      </c>
      <c r="B243" s="12" t="s">
        <v>666</v>
      </c>
      <c r="C243" s="12" t="s">
        <v>114</v>
      </c>
      <c r="D243" s="12" t="s">
        <v>143</v>
      </c>
      <c r="E243" s="18">
        <v>79.89</v>
      </c>
      <c r="F243" s="19">
        <v>50.5</v>
      </c>
      <c r="G243" s="18">
        <v>44.62</v>
      </c>
      <c r="H243" s="18">
        <v>53.3</v>
      </c>
      <c r="I243" s="18">
        <v>10.07</v>
      </c>
      <c r="J243" s="18">
        <v>91.8</v>
      </c>
      <c r="K243" s="18">
        <v>25.35</v>
      </c>
      <c r="L243" s="18">
        <v>24.68</v>
      </c>
      <c r="M243" s="18">
        <v>249.83</v>
      </c>
      <c r="N243" s="23">
        <f t="shared" si="7"/>
        <v>14670.400000000001</v>
      </c>
      <c r="O243" s="24">
        <f t="shared" si="6"/>
        <v>50.5</v>
      </c>
    </row>
    <row r="244" spans="1:15" ht="58" x14ac:dyDescent="0.35">
      <c r="A244" s="12" t="s">
        <v>667</v>
      </c>
      <c r="B244" s="12" t="s">
        <v>668</v>
      </c>
      <c r="C244" s="12" t="s">
        <v>37</v>
      </c>
      <c r="D244" s="12" t="s">
        <v>176</v>
      </c>
      <c r="E244" s="18">
        <v>80.16</v>
      </c>
      <c r="F244" s="19">
        <v>0.9</v>
      </c>
      <c r="G244" s="18">
        <v>60.86</v>
      </c>
      <c r="H244" s="18">
        <v>46.87</v>
      </c>
      <c r="I244" s="18">
        <v>11.61</v>
      </c>
      <c r="J244" s="18">
        <v>57.63</v>
      </c>
      <c r="K244" s="18">
        <v>26.11</v>
      </c>
      <c r="L244" s="18">
        <v>47.02</v>
      </c>
      <c r="M244" s="18">
        <v>250.1</v>
      </c>
      <c r="N244" s="23">
        <f t="shared" si="7"/>
        <v>14671.300000000001</v>
      </c>
      <c r="O244" s="24">
        <f t="shared" si="6"/>
        <v>0.9</v>
      </c>
    </row>
    <row r="245" spans="1:15" ht="43.5" x14ac:dyDescent="0.35">
      <c r="A245" s="12" t="s">
        <v>669</v>
      </c>
      <c r="B245" s="12" t="s">
        <v>670</v>
      </c>
      <c r="C245" s="12" t="s">
        <v>37</v>
      </c>
      <c r="D245" s="12" t="s">
        <v>671</v>
      </c>
      <c r="E245" s="18">
        <v>80.17</v>
      </c>
      <c r="F245" s="19">
        <v>0.2</v>
      </c>
      <c r="G245" s="18">
        <v>54.2</v>
      </c>
      <c r="H245" s="18">
        <v>53.46</v>
      </c>
      <c r="I245" s="18">
        <v>10.52</v>
      </c>
      <c r="J245" s="18">
        <v>78.62</v>
      </c>
      <c r="K245" s="18">
        <v>19.75</v>
      </c>
      <c r="L245" s="18">
        <v>33.659999999999997</v>
      </c>
      <c r="M245" s="18">
        <v>250.2</v>
      </c>
      <c r="N245" s="23">
        <f t="shared" si="7"/>
        <v>14671.500000000002</v>
      </c>
      <c r="O245" s="24">
        <f t="shared" si="6"/>
        <v>0.2</v>
      </c>
    </row>
    <row r="246" spans="1:15" ht="43.5" x14ac:dyDescent="0.35">
      <c r="A246" s="12" t="s">
        <v>672</v>
      </c>
      <c r="B246" s="12" t="s">
        <v>673</v>
      </c>
      <c r="C246" s="12" t="s">
        <v>104</v>
      </c>
      <c r="D246" s="12" t="s">
        <v>645</v>
      </c>
      <c r="E246" s="18">
        <v>80.17</v>
      </c>
      <c r="F246" s="19">
        <v>21.9</v>
      </c>
      <c r="G246" s="18">
        <v>63.12</v>
      </c>
      <c r="H246" s="18">
        <v>40.880000000000003</v>
      </c>
      <c r="I246" s="18">
        <v>70.7</v>
      </c>
      <c r="J246" s="18">
        <v>56.76</v>
      </c>
      <c r="K246" s="18">
        <v>9.3000000000000007</v>
      </c>
      <c r="L246" s="18">
        <v>9.6999999999999993</v>
      </c>
      <c r="M246" s="18">
        <v>250.46</v>
      </c>
      <c r="N246" s="23">
        <f t="shared" si="7"/>
        <v>14693.400000000001</v>
      </c>
      <c r="O246" s="24">
        <f t="shared" si="6"/>
        <v>21.9</v>
      </c>
    </row>
    <row r="247" spans="1:15" ht="72.5" x14ac:dyDescent="0.35">
      <c r="A247" s="12" t="s">
        <v>674</v>
      </c>
      <c r="B247" s="12" t="s">
        <v>675</v>
      </c>
      <c r="C247" s="12" t="s">
        <v>528</v>
      </c>
      <c r="D247" s="12" t="s">
        <v>676</v>
      </c>
      <c r="E247" s="18">
        <v>80.290000000000006</v>
      </c>
      <c r="F247" s="19">
        <v>2.4</v>
      </c>
      <c r="G247" s="18">
        <v>46.07</v>
      </c>
      <c r="H247" s="18">
        <v>51.21</v>
      </c>
      <c r="I247" s="18">
        <v>3.25</v>
      </c>
      <c r="J247" s="18">
        <v>38.47</v>
      </c>
      <c r="K247" s="18">
        <v>103.11</v>
      </c>
      <c r="L247" s="18">
        <v>8.3800000000000008</v>
      </c>
      <c r="M247" s="18">
        <v>250.5</v>
      </c>
      <c r="N247" s="23">
        <f t="shared" si="7"/>
        <v>14695.800000000001</v>
      </c>
      <c r="O247" s="24">
        <f t="shared" si="6"/>
        <v>2.4</v>
      </c>
    </row>
    <row r="248" spans="1:15" ht="43.5" x14ac:dyDescent="0.35">
      <c r="A248" s="12" t="s">
        <v>677</v>
      </c>
      <c r="B248" s="12" t="s">
        <v>678</v>
      </c>
      <c r="C248" s="12" t="s">
        <v>104</v>
      </c>
      <c r="D248" s="12" t="s">
        <v>645</v>
      </c>
      <c r="E248" s="18">
        <v>80.3</v>
      </c>
      <c r="F248" s="19">
        <v>5</v>
      </c>
      <c r="G248" s="18">
        <v>114.42</v>
      </c>
      <c r="H248" s="18">
        <v>35.11</v>
      </c>
      <c r="I248" s="18">
        <v>20.93</v>
      </c>
      <c r="J248" s="18">
        <v>66.63</v>
      </c>
      <c r="K248" s="18">
        <v>3.63</v>
      </c>
      <c r="L248" s="18">
        <v>10.199999999999999</v>
      </c>
      <c r="M248" s="18">
        <v>250.93</v>
      </c>
      <c r="N248" s="23">
        <f t="shared" si="7"/>
        <v>14700.800000000001</v>
      </c>
      <c r="O248" s="24">
        <f t="shared" si="6"/>
        <v>5</v>
      </c>
    </row>
    <row r="249" spans="1:15" ht="43.5" x14ac:dyDescent="0.35">
      <c r="A249" s="12" t="s">
        <v>679</v>
      </c>
      <c r="B249" s="12" t="s">
        <v>680</v>
      </c>
      <c r="C249" s="12" t="s">
        <v>104</v>
      </c>
      <c r="D249" s="12" t="s">
        <v>645</v>
      </c>
      <c r="E249" s="18">
        <v>80.33</v>
      </c>
      <c r="F249" s="19">
        <v>129.30000000000001</v>
      </c>
      <c r="G249" s="18">
        <v>73.61</v>
      </c>
      <c r="H249" s="18">
        <v>57.84</v>
      </c>
      <c r="I249" s="18">
        <v>0.73</v>
      </c>
      <c r="J249" s="18">
        <v>104.94</v>
      </c>
      <c r="K249" s="18">
        <v>3.63</v>
      </c>
      <c r="L249" s="18">
        <v>10.199999999999999</v>
      </c>
      <c r="M249" s="18">
        <v>250.94</v>
      </c>
      <c r="N249" s="23">
        <f t="shared" si="7"/>
        <v>14830.1</v>
      </c>
      <c r="O249" s="24">
        <f t="shared" si="6"/>
        <v>129.30000000000001</v>
      </c>
    </row>
    <row r="250" spans="1:15" ht="43.5" x14ac:dyDescent="0.35">
      <c r="A250" s="12" t="s">
        <v>681</v>
      </c>
      <c r="B250" s="12" t="s">
        <v>682</v>
      </c>
      <c r="C250" s="12" t="s">
        <v>37</v>
      </c>
      <c r="D250" s="12" t="s">
        <v>683</v>
      </c>
      <c r="E250" s="18">
        <v>81.040000000000006</v>
      </c>
      <c r="F250" s="19">
        <v>0.1</v>
      </c>
      <c r="G250" s="18">
        <v>53.39</v>
      </c>
      <c r="H250" s="18">
        <v>29.77</v>
      </c>
      <c r="I250" s="18">
        <v>0.44</v>
      </c>
      <c r="J250" s="18">
        <v>87.68</v>
      </c>
      <c r="K250" s="18">
        <v>32.81</v>
      </c>
      <c r="L250" s="18">
        <v>48.26</v>
      </c>
      <c r="M250" s="18">
        <v>252.34</v>
      </c>
      <c r="N250" s="23">
        <f t="shared" si="7"/>
        <v>14830.2</v>
      </c>
      <c r="O250" s="24">
        <f t="shared" si="6"/>
        <v>0.1</v>
      </c>
    </row>
    <row r="251" spans="1:15" ht="116" x14ac:dyDescent="0.35">
      <c r="A251" s="12" t="s">
        <v>684</v>
      </c>
      <c r="B251" s="12" t="s">
        <v>685</v>
      </c>
      <c r="C251" s="12" t="s">
        <v>104</v>
      </c>
      <c r="D251" s="12" t="s">
        <v>686</v>
      </c>
      <c r="E251" s="18">
        <v>81.040000000000006</v>
      </c>
      <c r="F251" s="19">
        <v>264.39999999999998</v>
      </c>
      <c r="G251" s="18">
        <v>37.9</v>
      </c>
      <c r="H251" s="18">
        <v>45.14</v>
      </c>
      <c r="I251" s="18">
        <v>48.3</v>
      </c>
      <c r="J251" s="18">
        <v>102.33</v>
      </c>
      <c r="K251" s="18">
        <v>8.7799999999999994</v>
      </c>
      <c r="L251" s="18">
        <v>10.199999999999999</v>
      </c>
      <c r="M251" s="18">
        <v>252.65</v>
      </c>
      <c r="N251" s="23">
        <f t="shared" si="7"/>
        <v>15094.6</v>
      </c>
      <c r="O251" s="24">
        <f t="shared" si="6"/>
        <v>264.39999999999998</v>
      </c>
    </row>
    <row r="252" spans="1:15" ht="43.5" x14ac:dyDescent="0.35">
      <c r="A252" s="12" t="s">
        <v>687</v>
      </c>
      <c r="B252" s="12" t="s">
        <v>688</v>
      </c>
      <c r="C252" s="12" t="s">
        <v>104</v>
      </c>
      <c r="D252" s="12" t="s">
        <v>645</v>
      </c>
      <c r="E252" s="18">
        <v>82.48</v>
      </c>
      <c r="F252" s="19">
        <v>43.9</v>
      </c>
      <c r="G252" s="18">
        <v>62.33</v>
      </c>
      <c r="H252" s="18">
        <v>56.43</v>
      </c>
      <c r="I252" s="18">
        <v>24.65</v>
      </c>
      <c r="J252" s="18">
        <v>89.46</v>
      </c>
      <c r="K252" s="18">
        <v>17.850000000000001</v>
      </c>
      <c r="L252" s="18">
        <v>2.04</v>
      </c>
      <c r="M252" s="18">
        <v>252.76</v>
      </c>
      <c r="N252" s="23">
        <f t="shared" si="7"/>
        <v>15138.5</v>
      </c>
      <c r="O252" s="24">
        <f t="shared" si="6"/>
        <v>43.9</v>
      </c>
    </row>
    <row r="253" spans="1:15" ht="58" x14ac:dyDescent="0.35">
      <c r="A253" s="12" t="s">
        <v>689</v>
      </c>
      <c r="B253" s="12" t="s">
        <v>690</v>
      </c>
      <c r="C253" s="12" t="s">
        <v>80</v>
      </c>
      <c r="D253" s="12" t="s">
        <v>459</v>
      </c>
      <c r="E253" s="18">
        <v>82.72</v>
      </c>
      <c r="F253" s="19">
        <v>79.2</v>
      </c>
      <c r="G253" s="18">
        <v>75.84</v>
      </c>
      <c r="H253" s="18">
        <v>97.64</v>
      </c>
      <c r="I253" s="18">
        <v>19.190000000000001</v>
      </c>
      <c r="J253" s="18">
        <v>49.48</v>
      </c>
      <c r="K253" s="18">
        <v>7.59</v>
      </c>
      <c r="L253" s="18">
        <v>3.87</v>
      </c>
      <c r="M253" s="18">
        <v>253.62</v>
      </c>
      <c r="N253" s="23">
        <f t="shared" si="7"/>
        <v>15217.7</v>
      </c>
      <c r="O253" s="24">
        <f t="shared" si="6"/>
        <v>79.2</v>
      </c>
    </row>
    <row r="254" spans="1:15" ht="29" x14ac:dyDescent="0.35">
      <c r="A254" s="12" t="s">
        <v>691</v>
      </c>
      <c r="B254" s="12" t="s">
        <v>692</v>
      </c>
      <c r="C254" s="12" t="s">
        <v>360</v>
      </c>
      <c r="D254" s="12" t="s">
        <v>693</v>
      </c>
      <c r="E254" s="18">
        <v>83.16</v>
      </c>
      <c r="F254" s="19">
        <v>11</v>
      </c>
      <c r="G254" s="18">
        <v>39.4</v>
      </c>
      <c r="H254" s="18">
        <v>52.67</v>
      </c>
      <c r="I254" s="18">
        <v>15.73</v>
      </c>
      <c r="J254" s="18">
        <v>81.73</v>
      </c>
      <c r="K254" s="18">
        <v>41.3</v>
      </c>
      <c r="L254" s="18">
        <v>23.31</v>
      </c>
      <c r="M254" s="18">
        <v>254.13</v>
      </c>
      <c r="N254" s="23">
        <f t="shared" si="7"/>
        <v>15228.7</v>
      </c>
      <c r="O254" s="24">
        <f t="shared" si="6"/>
        <v>11</v>
      </c>
    </row>
    <row r="255" spans="1:15" ht="43.5" x14ac:dyDescent="0.35">
      <c r="A255" s="12" t="s">
        <v>694</v>
      </c>
      <c r="B255" s="12" t="s">
        <v>695</v>
      </c>
      <c r="C255" s="12" t="s">
        <v>41</v>
      </c>
      <c r="D255" s="12" t="s">
        <v>450</v>
      </c>
      <c r="E255" s="18">
        <v>83.22</v>
      </c>
      <c r="F255" s="19">
        <v>1.3</v>
      </c>
      <c r="G255" s="18">
        <v>83.1</v>
      </c>
      <c r="H255" s="18">
        <v>79.680000000000007</v>
      </c>
      <c r="I255" s="18">
        <v>18.47</v>
      </c>
      <c r="J255" s="18">
        <v>55.87</v>
      </c>
      <c r="K255" s="18">
        <v>13.13</v>
      </c>
      <c r="L255" s="18">
        <v>4.63</v>
      </c>
      <c r="M255" s="18">
        <v>254.88</v>
      </c>
      <c r="N255" s="23">
        <f t="shared" si="7"/>
        <v>15230</v>
      </c>
      <c r="O255" s="24">
        <f t="shared" si="6"/>
        <v>1.3</v>
      </c>
    </row>
    <row r="256" spans="1:15" ht="58" x14ac:dyDescent="0.35">
      <c r="A256" s="12" t="s">
        <v>696</v>
      </c>
      <c r="B256" s="12" t="s">
        <v>697</v>
      </c>
      <c r="C256" s="12" t="s">
        <v>698</v>
      </c>
      <c r="D256" s="12" t="s">
        <v>699</v>
      </c>
      <c r="E256" s="18">
        <v>83.22</v>
      </c>
      <c r="F256" s="19">
        <v>144.4</v>
      </c>
      <c r="G256" s="18">
        <v>26.39</v>
      </c>
      <c r="H256" s="18">
        <v>41.67</v>
      </c>
      <c r="I256" s="18">
        <v>8.49</v>
      </c>
      <c r="J256" s="18">
        <v>52.92</v>
      </c>
      <c r="K256" s="18">
        <v>62.65</v>
      </c>
      <c r="L256" s="18">
        <v>63.61</v>
      </c>
      <c r="M256" s="18">
        <v>255.74</v>
      </c>
      <c r="N256" s="23">
        <f t="shared" si="7"/>
        <v>15374.4</v>
      </c>
      <c r="O256" s="24">
        <f t="shared" si="6"/>
        <v>144.4</v>
      </c>
    </row>
    <row r="257" spans="1:15" ht="29" x14ac:dyDescent="0.35">
      <c r="A257" s="12" t="s">
        <v>700</v>
      </c>
      <c r="B257" s="12" t="s">
        <v>701</v>
      </c>
      <c r="C257" s="12" t="s">
        <v>80</v>
      </c>
      <c r="D257" s="12" t="s">
        <v>243</v>
      </c>
      <c r="E257" s="18">
        <v>84.01</v>
      </c>
      <c r="F257" s="19">
        <v>34.4</v>
      </c>
      <c r="G257" s="18">
        <v>87.38</v>
      </c>
      <c r="H257" s="18">
        <v>72.84</v>
      </c>
      <c r="I257" s="18">
        <v>11.91</v>
      </c>
      <c r="J257" s="18">
        <v>28.87</v>
      </c>
      <c r="K257" s="18">
        <v>48.77</v>
      </c>
      <c r="L257" s="18">
        <v>6.84</v>
      </c>
      <c r="M257" s="18">
        <v>256.61</v>
      </c>
      <c r="N257" s="23">
        <f t="shared" si="7"/>
        <v>15408.8</v>
      </c>
      <c r="O257" s="24">
        <f t="shared" si="6"/>
        <v>34.4</v>
      </c>
    </row>
    <row r="258" spans="1:15" ht="29" x14ac:dyDescent="0.35">
      <c r="A258" s="12" t="s">
        <v>702</v>
      </c>
      <c r="B258" s="12" t="s">
        <v>703</v>
      </c>
      <c r="C258" s="12" t="s">
        <v>704</v>
      </c>
      <c r="D258" s="12" t="s">
        <v>165</v>
      </c>
      <c r="E258" s="18">
        <v>84.2</v>
      </c>
      <c r="F258" s="19">
        <v>6.1</v>
      </c>
      <c r="G258" s="18">
        <v>35.56</v>
      </c>
      <c r="H258" s="18">
        <v>91.54</v>
      </c>
      <c r="I258" s="18">
        <v>7.8</v>
      </c>
      <c r="J258" s="18">
        <v>72.819999999999993</v>
      </c>
      <c r="K258" s="18">
        <v>19.23</v>
      </c>
      <c r="L258" s="18">
        <v>30.93</v>
      </c>
      <c r="M258" s="18">
        <v>257.89</v>
      </c>
      <c r="N258" s="23">
        <f t="shared" si="7"/>
        <v>15414.9</v>
      </c>
      <c r="O258" s="24">
        <f t="shared" si="6"/>
        <v>6.1</v>
      </c>
    </row>
    <row r="259" spans="1:15" ht="43.5" x14ac:dyDescent="0.35">
      <c r="A259" s="12" t="s">
        <v>705</v>
      </c>
      <c r="B259" s="12" t="s">
        <v>706</v>
      </c>
      <c r="C259" s="12" t="s">
        <v>37</v>
      </c>
      <c r="D259" s="12" t="s">
        <v>707</v>
      </c>
      <c r="E259" s="18">
        <v>84.23</v>
      </c>
      <c r="F259" s="19">
        <v>1.3</v>
      </c>
      <c r="G259" s="18">
        <v>98.14</v>
      </c>
      <c r="H259" s="18">
        <v>26.67</v>
      </c>
      <c r="I259" s="18">
        <v>3.86</v>
      </c>
      <c r="J259" s="18">
        <v>52.52</v>
      </c>
      <c r="K259" s="18">
        <v>27.34</v>
      </c>
      <c r="L259" s="18">
        <v>51.09</v>
      </c>
      <c r="M259" s="18">
        <v>259.61</v>
      </c>
      <c r="N259" s="23">
        <f t="shared" si="7"/>
        <v>15416.199999999999</v>
      </c>
      <c r="O259" s="24">
        <f t="shared" si="6"/>
        <v>1.3</v>
      </c>
    </row>
    <row r="260" spans="1:15" ht="29" x14ac:dyDescent="0.35">
      <c r="A260" s="12" t="s">
        <v>708</v>
      </c>
      <c r="B260" s="12" t="s">
        <v>709</v>
      </c>
      <c r="C260" s="12" t="s">
        <v>76</v>
      </c>
      <c r="D260" s="12" t="s">
        <v>391</v>
      </c>
      <c r="E260" s="18">
        <v>84.24</v>
      </c>
      <c r="F260" s="19">
        <v>11</v>
      </c>
      <c r="G260" s="18">
        <v>71.14</v>
      </c>
      <c r="H260" s="18">
        <v>66.61</v>
      </c>
      <c r="I260" s="18">
        <v>10.08</v>
      </c>
      <c r="J260" s="18">
        <v>45.08</v>
      </c>
      <c r="K260" s="18">
        <v>37.06</v>
      </c>
      <c r="L260" s="18">
        <v>29.86</v>
      </c>
      <c r="M260" s="18">
        <v>259.83</v>
      </c>
      <c r="N260" s="23">
        <f t="shared" si="7"/>
        <v>15427.199999999999</v>
      </c>
      <c r="O260" s="24">
        <f t="shared" si="6"/>
        <v>11</v>
      </c>
    </row>
    <row r="261" spans="1:15" ht="43.5" x14ac:dyDescent="0.35">
      <c r="A261" s="12" t="s">
        <v>710</v>
      </c>
      <c r="B261" s="12" t="s">
        <v>711</v>
      </c>
      <c r="C261" s="12" t="s">
        <v>712</v>
      </c>
      <c r="D261" s="12" t="s">
        <v>713</v>
      </c>
      <c r="E261" s="18">
        <v>84.3</v>
      </c>
      <c r="F261" s="19">
        <v>51.1</v>
      </c>
      <c r="G261" s="18">
        <v>50.95</v>
      </c>
      <c r="H261" s="18">
        <v>105.7</v>
      </c>
      <c r="I261" s="18">
        <v>7.24</v>
      </c>
      <c r="J261" s="18">
        <v>14.57</v>
      </c>
      <c r="K261" s="18">
        <v>81.62</v>
      </c>
      <c r="L261" s="18">
        <v>0</v>
      </c>
      <c r="M261" s="18">
        <v>260.08</v>
      </c>
      <c r="N261" s="23">
        <f t="shared" si="7"/>
        <v>15478.3</v>
      </c>
      <c r="O261" s="24">
        <f t="shared" si="6"/>
        <v>51.1</v>
      </c>
    </row>
    <row r="262" spans="1:15" ht="58" x14ac:dyDescent="0.35">
      <c r="A262" s="12" t="s">
        <v>714</v>
      </c>
      <c r="B262" s="12" t="s">
        <v>715</v>
      </c>
      <c r="C262" s="12" t="s">
        <v>37</v>
      </c>
      <c r="D262" s="12" t="s">
        <v>716</v>
      </c>
      <c r="E262" s="18">
        <v>84.58</v>
      </c>
      <c r="F262" s="19">
        <v>1.5</v>
      </c>
      <c r="G262" s="18">
        <v>56.22</v>
      </c>
      <c r="H262" s="18">
        <v>84.67</v>
      </c>
      <c r="I262" s="18">
        <v>10.39</v>
      </c>
      <c r="J262" s="18">
        <v>57.52</v>
      </c>
      <c r="K262" s="18">
        <v>18.34</v>
      </c>
      <c r="L262" s="18">
        <v>33.9</v>
      </c>
      <c r="M262" s="18">
        <v>261.04000000000002</v>
      </c>
      <c r="N262" s="23">
        <f t="shared" si="7"/>
        <v>15479.8</v>
      </c>
      <c r="O262" s="24">
        <f t="shared" si="6"/>
        <v>1.5</v>
      </c>
    </row>
    <row r="263" spans="1:15" x14ac:dyDescent="0.35">
      <c r="A263" s="12" t="s">
        <v>717</v>
      </c>
      <c r="B263" s="12" t="s">
        <v>718</v>
      </c>
      <c r="C263" s="12" t="s">
        <v>111</v>
      </c>
      <c r="D263" s="12" t="s">
        <v>613</v>
      </c>
      <c r="E263" s="18">
        <v>84.59</v>
      </c>
      <c r="F263" s="19">
        <v>57.4</v>
      </c>
      <c r="G263" s="18">
        <v>68.34</v>
      </c>
      <c r="H263" s="18">
        <v>32.950000000000003</v>
      </c>
      <c r="I263" s="18">
        <v>9.67</v>
      </c>
      <c r="J263" s="18">
        <v>127.79</v>
      </c>
      <c r="K263" s="18">
        <v>22.34</v>
      </c>
      <c r="L263" s="18">
        <v>0</v>
      </c>
      <c r="M263" s="18">
        <v>261.10000000000002</v>
      </c>
      <c r="N263" s="23">
        <f t="shared" si="7"/>
        <v>15537.199999999999</v>
      </c>
      <c r="O263" s="24">
        <f t="shared" si="6"/>
        <v>57.4</v>
      </c>
    </row>
    <row r="264" spans="1:15" ht="43.5" x14ac:dyDescent="0.35">
      <c r="A264" s="12" t="s">
        <v>719</v>
      </c>
      <c r="B264" s="12" t="s">
        <v>720</v>
      </c>
      <c r="C264" s="12" t="s">
        <v>104</v>
      </c>
      <c r="D264" s="12" t="s">
        <v>645</v>
      </c>
      <c r="E264" s="18">
        <v>84.9</v>
      </c>
      <c r="F264" s="19">
        <v>56</v>
      </c>
      <c r="G264" s="18">
        <v>52.28</v>
      </c>
      <c r="H264" s="18">
        <v>49.09</v>
      </c>
      <c r="I264" s="18">
        <v>48.77</v>
      </c>
      <c r="J264" s="18">
        <v>82.99</v>
      </c>
      <c r="K264" s="18">
        <v>17.95</v>
      </c>
      <c r="L264" s="18">
        <v>10.039999999999999</v>
      </c>
      <c r="M264" s="18">
        <v>261.12</v>
      </c>
      <c r="N264" s="23">
        <f t="shared" si="7"/>
        <v>15593.199999999999</v>
      </c>
      <c r="O264" s="24">
        <f t="shared" si="6"/>
        <v>56</v>
      </c>
    </row>
    <row r="265" spans="1:15" ht="58" x14ac:dyDescent="0.35">
      <c r="A265" s="12" t="s">
        <v>721</v>
      </c>
      <c r="B265" s="12" t="s">
        <v>722</v>
      </c>
      <c r="C265" s="12" t="s">
        <v>37</v>
      </c>
      <c r="D265" s="12" t="s">
        <v>723</v>
      </c>
      <c r="E265" s="18">
        <v>85.21</v>
      </c>
      <c r="F265" s="19">
        <v>0.5</v>
      </c>
      <c r="G265" s="18">
        <v>79.28</v>
      </c>
      <c r="H265" s="18">
        <v>30.49</v>
      </c>
      <c r="I265" s="18">
        <v>16.510000000000002</v>
      </c>
      <c r="J265" s="18">
        <v>76.42</v>
      </c>
      <c r="K265" s="18">
        <v>31.42</v>
      </c>
      <c r="L265" s="18">
        <v>27.33</v>
      </c>
      <c r="M265" s="18">
        <v>261.45</v>
      </c>
      <c r="N265" s="23">
        <f t="shared" si="7"/>
        <v>15593.699999999999</v>
      </c>
      <c r="O265" s="24">
        <f t="shared" si="6"/>
        <v>0.5</v>
      </c>
    </row>
    <row r="266" spans="1:15" ht="43.5" x14ac:dyDescent="0.35">
      <c r="A266" s="12" t="s">
        <v>724</v>
      </c>
      <c r="B266" s="12" t="s">
        <v>725</v>
      </c>
      <c r="C266" s="12" t="s">
        <v>104</v>
      </c>
      <c r="D266" s="12" t="s">
        <v>645</v>
      </c>
      <c r="E266" s="18">
        <v>85.21</v>
      </c>
      <c r="F266" s="19">
        <v>72.599999999999994</v>
      </c>
      <c r="G266" s="18">
        <v>51.07</v>
      </c>
      <c r="H266" s="18">
        <v>58.93</v>
      </c>
      <c r="I266" s="18">
        <v>45.45</v>
      </c>
      <c r="J266" s="18">
        <v>71</v>
      </c>
      <c r="K266" s="18">
        <v>25.09</v>
      </c>
      <c r="L266" s="18">
        <v>10.1</v>
      </c>
      <c r="M266" s="18">
        <v>261.63</v>
      </c>
      <c r="N266" s="23">
        <f t="shared" si="7"/>
        <v>15666.3</v>
      </c>
      <c r="O266" s="24">
        <f t="shared" si="6"/>
        <v>72.599999999999994</v>
      </c>
    </row>
    <row r="267" spans="1:15" ht="29" x14ac:dyDescent="0.35">
      <c r="A267" s="12" t="s">
        <v>726</v>
      </c>
      <c r="B267" s="12" t="s">
        <v>727</v>
      </c>
      <c r="C267" s="12" t="s">
        <v>37</v>
      </c>
      <c r="D267" s="12" t="s">
        <v>101</v>
      </c>
      <c r="E267" s="18">
        <v>85.61</v>
      </c>
      <c r="F267" s="19">
        <v>0.2</v>
      </c>
      <c r="G267" s="18">
        <v>64.209999999999994</v>
      </c>
      <c r="H267" s="18">
        <v>40.21</v>
      </c>
      <c r="I267" s="18">
        <v>0.46</v>
      </c>
      <c r="J267" s="18">
        <v>88.51</v>
      </c>
      <c r="K267" s="18">
        <v>23.6</v>
      </c>
      <c r="L267" s="18">
        <v>45.37</v>
      </c>
      <c r="M267" s="18">
        <v>262.35000000000002</v>
      </c>
      <c r="N267" s="23">
        <f t="shared" si="7"/>
        <v>15666.5</v>
      </c>
      <c r="O267" s="24">
        <f t="shared" si="6"/>
        <v>0.2</v>
      </c>
    </row>
    <row r="268" spans="1:15" ht="116" x14ac:dyDescent="0.35">
      <c r="A268" s="12" t="s">
        <v>728</v>
      </c>
      <c r="B268" s="12" t="s">
        <v>729</v>
      </c>
      <c r="C268" s="12" t="s">
        <v>104</v>
      </c>
      <c r="D268" s="12" t="s">
        <v>686</v>
      </c>
      <c r="E268" s="18">
        <v>85.61</v>
      </c>
      <c r="F268" s="19">
        <v>132.19999999999999</v>
      </c>
      <c r="G268" s="18">
        <v>66.28</v>
      </c>
      <c r="H268" s="18">
        <v>51.97</v>
      </c>
      <c r="I268" s="18">
        <v>34.15</v>
      </c>
      <c r="J268" s="18">
        <v>82.73</v>
      </c>
      <c r="K268" s="18">
        <v>17.420000000000002</v>
      </c>
      <c r="L268" s="18">
        <v>10.17</v>
      </c>
      <c r="M268" s="18">
        <v>262.72000000000003</v>
      </c>
      <c r="N268" s="23">
        <f t="shared" si="7"/>
        <v>15798.7</v>
      </c>
      <c r="O268" s="24">
        <f t="shared" si="6"/>
        <v>132.19999999999999</v>
      </c>
    </row>
    <row r="269" spans="1:15" ht="203" x14ac:dyDescent="0.35">
      <c r="A269" s="12" t="s">
        <v>730</v>
      </c>
      <c r="B269" s="12" t="s">
        <v>731</v>
      </c>
      <c r="C269" s="12" t="s">
        <v>41</v>
      </c>
      <c r="D269" s="12" t="s">
        <v>732</v>
      </c>
      <c r="E269" s="18">
        <v>86.33</v>
      </c>
      <c r="F269" s="19">
        <v>396.4</v>
      </c>
      <c r="G269" s="18">
        <v>5.0999999999999996</v>
      </c>
      <c r="H269" s="18">
        <v>101.76</v>
      </c>
      <c r="I269" s="18">
        <v>43.43</v>
      </c>
      <c r="J269" s="18">
        <v>60.87</v>
      </c>
      <c r="K269" s="18">
        <v>35.71</v>
      </c>
      <c r="L269" s="18">
        <v>15.86</v>
      </c>
      <c r="M269" s="18">
        <v>262.73</v>
      </c>
      <c r="N269" s="23">
        <f t="shared" si="7"/>
        <v>16195.1</v>
      </c>
      <c r="O269" s="24">
        <f t="shared" si="6"/>
        <v>396.4</v>
      </c>
    </row>
    <row r="270" spans="1:15" ht="101.5" x14ac:dyDescent="0.35">
      <c r="A270" s="12" t="s">
        <v>733</v>
      </c>
      <c r="B270" s="12" t="s">
        <v>734</v>
      </c>
      <c r="C270" s="12" t="s">
        <v>27</v>
      </c>
      <c r="D270" s="12" t="s">
        <v>735</v>
      </c>
      <c r="E270" s="18">
        <v>88.5</v>
      </c>
      <c r="F270" s="19">
        <v>38.1</v>
      </c>
      <c r="G270" s="18">
        <v>55.02</v>
      </c>
      <c r="H270" s="18">
        <v>97.58</v>
      </c>
      <c r="I270" s="18">
        <v>71.16</v>
      </c>
      <c r="J270" s="18">
        <v>24.64</v>
      </c>
      <c r="K270" s="18">
        <v>6.06</v>
      </c>
      <c r="L270" s="18">
        <v>8.92</v>
      </c>
      <c r="M270" s="18">
        <v>263.39</v>
      </c>
      <c r="N270" s="23">
        <f t="shared" si="7"/>
        <v>16233.2</v>
      </c>
      <c r="O270" s="24">
        <f t="shared" si="6"/>
        <v>38.1</v>
      </c>
    </row>
    <row r="271" spans="1:15" ht="101.5" x14ac:dyDescent="0.35">
      <c r="A271" s="12" t="s">
        <v>736</v>
      </c>
      <c r="B271" s="12" t="s">
        <v>737</v>
      </c>
      <c r="C271" s="12" t="s">
        <v>80</v>
      </c>
      <c r="D271" s="12" t="s">
        <v>168</v>
      </c>
      <c r="E271" s="18">
        <v>88.7</v>
      </c>
      <c r="F271" s="19">
        <v>39</v>
      </c>
      <c r="G271" s="18">
        <v>74.48</v>
      </c>
      <c r="H271" s="18">
        <v>78.17</v>
      </c>
      <c r="I271" s="18">
        <v>38.03</v>
      </c>
      <c r="J271" s="18">
        <v>47.88</v>
      </c>
      <c r="K271" s="18">
        <v>27.07</v>
      </c>
      <c r="L271" s="18">
        <v>0.97</v>
      </c>
      <c r="M271" s="18">
        <v>266.60000000000002</v>
      </c>
      <c r="N271" s="23">
        <f t="shared" si="7"/>
        <v>16272.2</v>
      </c>
      <c r="O271" s="24">
        <f t="shared" si="6"/>
        <v>39</v>
      </c>
    </row>
    <row r="272" spans="1:15" ht="29" x14ac:dyDescent="0.35">
      <c r="A272" s="12" t="s">
        <v>738</v>
      </c>
      <c r="B272" s="12" t="s">
        <v>739</v>
      </c>
      <c r="C272" s="12" t="s">
        <v>111</v>
      </c>
      <c r="D272" s="12" t="s">
        <v>740</v>
      </c>
      <c r="E272" s="18">
        <v>88.92</v>
      </c>
      <c r="F272" s="19">
        <v>2</v>
      </c>
      <c r="G272" s="18">
        <v>135.38</v>
      </c>
      <c r="H272" s="18">
        <v>14.61</v>
      </c>
      <c r="I272" s="18">
        <v>4.92</v>
      </c>
      <c r="J272" s="18">
        <v>68.040000000000006</v>
      </c>
      <c r="K272" s="18">
        <v>35.93</v>
      </c>
      <c r="L272" s="18">
        <v>8.85</v>
      </c>
      <c r="M272" s="18">
        <v>267.74</v>
      </c>
      <c r="N272" s="23">
        <f t="shared" si="7"/>
        <v>16274.2</v>
      </c>
      <c r="O272" s="24">
        <f t="shared" ref="O272:O335" si="8">F272</f>
        <v>2</v>
      </c>
    </row>
    <row r="273" spans="1:15" ht="101.5" x14ac:dyDescent="0.35">
      <c r="A273" s="12" t="s">
        <v>741</v>
      </c>
      <c r="B273" s="12" t="s">
        <v>742</v>
      </c>
      <c r="C273" s="12" t="s">
        <v>152</v>
      </c>
      <c r="D273" s="12" t="s">
        <v>656</v>
      </c>
      <c r="E273" s="18">
        <v>88.93</v>
      </c>
      <c r="F273" s="19">
        <v>20.6</v>
      </c>
      <c r="G273" s="18">
        <v>64.099999999999994</v>
      </c>
      <c r="H273" s="18">
        <v>12.64</v>
      </c>
      <c r="I273" s="18">
        <v>85.67</v>
      </c>
      <c r="J273" s="18">
        <v>71.3</v>
      </c>
      <c r="K273" s="18">
        <v>1.1299999999999999</v>
      </c>
      <c r="L273" s="18">
        <v>33.51</v>
      </c>
      <c r="M273" s="18">
        <v>268.36</v>
      </c>
      <c r="N273" s="23">
        <f t="shared" ref="N273:N336" si="9">F273+N272</f>
        <v>16294.800000000001</v>
      </c>
      <c r="O273" s="24">
        <f t="shared" si="8"/>
        <v>20.6</v>
      </c>
    </row>
    <row r="274" spans="1:15" ht="43.5" x14ac:dyDescent="0.35">
      <c r="A274" s="12" t="s">
        <v>743</v>
      </c>
      <c r="B274" s="12" t="s">
        <v>744</v>
      </c>
      <c r="C274" s="12" t="s">
        <v>528</v>
      </c>
      <c r="D274" s="12" t="s">
        <v>745</v>
      </c>
      <c r="E274" s="18">
        <v>89.04</v>
      </c>
      <c r="F274" s="19">
        <v>0.2</v>
      </c>
      <c r="G274" s="18">
        <v>91.18</v>
      </c>
      <c r="H274" s="18">
        <v>57</v>
      </c>
      <c r="I274" s="18">
        <v>3.27</v>
      </c>
      <c r="J274" s="18">
        <v>62.8</v>
      </c>
      <c r="K274" s="18">
        <v>49.27</v>
      </c>
      <c r="L274" s="18">
        <v>6.74</v>
      </c>
      <c r="M274" s="18">
        <v>270.26</v>
      </c>
      <c r="N274" s="23">
        <f t="shared" si="9"/>
        <v>16295.000000000002</v>
      </c>
      <c r="O274" s="24">
        <f t="shared" si="8"/>
        <v>0.2</v>
      </c>
    </row>
    <row r="275" spans="1:15" ht="43.5" x14ac:dyDescent="0.35">
      <c r="A275" s="12" t="s">
        <v>746</v>
      </c>
      <c r="B275" s="12" t="s">
        <v>747</v>
      </c>
      <c r="C275" s="12" t="s">
        <v>41</v>
      </c>
      <c r="D275" s="12" t="s">
        <v>748</v>
      </c>
      <c r="E275" s="18">
        <v>89.04</v>
      </c>
      <c r="F275" s="19">
        <v>4.2</v>
      </c>
      <c r="G275" s="18">
        <v>123.67</v>
      </c>
      <c r="H275" s="18">
        <v>55.75</v>
      </c>
      <c r="I275" s="18">
        <v>3.34</v>
      </c>
      <c r="J275" s="18">
        <v>58.1</v>
      </c>
      <c r="K275" s="18">
        <v>24.2</v>
      </c>
      <c r="L275" s="18">
        <v>5.27</v>
      </c>
      <c r="M275" s="18">
        <v>270.33999999999997</v>
      </c>
      <c r="N275" s="23">
        <f t="shared" si="9"/>
        <v>16299.200000000003</v>
      </c>
      <c r="O275" s="24">
        <f t="shared" si="8"/>
        <v>4.2</v>
      </c>
    </row>
    <row r="276" spans="1:15" ht="29" x14ac:dyDescent="0.35">
      <c r="A276" s="12" t="s">
        <v>749</v>
      </c>
      <c r="B276" s="12" t="s">
        <v>750</v>
      </c>
      <c r="C276" s="12" t="s">
        <v>76</v>
      </c>
      <c r="D276" s="12" t="s">
        <v>105</v>
      </c>
      <c r="E276" s="18">
        <v>89.06</v>
      </c>
      <c r="F276" s="19">
        <v>43.9</v>
      </c>
      <c r="G276" s="18">
        <v>78.41</v>
      </c>
      <c r="H276" s="18">
        <v>64.36</v>
      </c>
      <c r="I276" s="18">
        <v>40.76</v>
      </c>
      <c r="J276" s="18">
        <v>47.78</v>
      </c>
      <c r="K276" s="18">
        <v>29.83</v>
      </c>
      <c r="L276" s="18">
        <v>9.69</v>
      </c>
      <c r="M276" s="18">
        <v>270.83999999999997</v>
      </c>
      <c r="N276" s="23">
        <f t="shared" si="9"/>
        <v>16343.100000000002</v>
      </c>
      <c r="O276" s="24">
        <f t="shared" si="8"/>
        <v>43.9</v>
      </c>
    </row>
    <row r="277" spans="1:15" ht="29" x14ac:dyDescent="0.35">
      <c r="A277" s="12" t="s">
        <v>751</v>
      </c>
      <c r="B277" s="12" t="s">
        <v>752</v>
      </c>
      <c r="C277" s="12" t="s">
        <v>104</v>
      </c>
      <c r="D277" s="12" t="s">
        <v>610</v>
      </c>
      <c r="E277" s="18">
        <v>89.3</v>
      </c>
      <c r="F277" s="19">
        <v>0.4</v>
      </c>
      <c r="G277" s="18">
        <v>79.48</v>
      </c>
      <c r="H277" s="18">
        <v>19.66</v>
      </c>
      <c r="I277" s="18">
        <v>7.87</v>
      </c>
      <c r="J277" s="18">
        <v>43.96</v>
      </c>
      <c r="K277" s="18">
        <v>120.07</v>
      </c>
      <c r="L277" s="18">
        <v>0</v>
      </c>
      <c r="M277" s="18">
        <v>271.04000000000002</v>
      </c>
      <c r="N277" s="23">
        <f t="shared" si="9"/>
        <v>16343.500000000002</v>
      </c>
      <c r="O277" s="24">
        <f t="shared" si="8"/>
        <v>0.4</v>
      </c>
    </row>
    <row r="278" spans="1:15" ht="29" x14ac:dyDescent="0.35">
      <c r="A278" s="12" t="s">
        <v>753</v>
      </c>
      <c r="B278" s="12" t="s">
        <v>754</v>
      </c>
      <c r="C278" s="12" t="s">
        <v>56</v>
      </c>
      <c r="D278" s="12" t="s">
        <v>349</v>
      </c>
      <c r="E278" s="18">
        <v>89.31</v>
      </c>
      <c r="F278" s="19">
        <v>1.1000000000000001</v>
      </c>
      <c r="G278" s="18">
        <v>40.61</v>
      </c>
      <c r="H278" s="18">
        <v>48.25</v>
      </c>
      <c r="I278" s="18">
        <v>59.67</v>
      </c>
      <c r="J278" s="18">
        <v>102.59</v>
      </c>
      <c r="K278" s="18">
        <v>9.48</v>
      </c>
      <c r="L278" s="18">
        <v>10.45</v>
      </c>
      <c r="M278" s="18">
        <v>271.04000000000002</v>
      </c>
      <c r="N278" s="23">
        <f t="shared" si="9"/>
        <v>16344.600000000002</v>
      </c>
      <c r="O278" s="24">
        <f t="shared" si="8"/>
        <v>1.1000000000000001</v>
      </c>
    </row>
    <row r="279" spans="1:15" ht="29" x14ac:dyDescent="0.35">
      <c r="A279" s="12" t="s">
        <v>755</v>
      </c>
      <c r="B279" s="12" t="s">
        <v>756</v>
      </c>
      <c r="C279" s="12" t="s">
        <v>41</v>
      </c>
      <c r="D279" s="12" t="s">
        <v>757</v>
      </c>
      <c r="E279" s="18">
        <v>89.31</v>
      </c>
      <c r="F279" s="19">
        <v>0.3</v>
      </c>
      <c r="G279" s="18">
        <v>32.94</v>
      </c>
      <c r="H279" s="18">
        <v>107.41</v>
      </c>
      <c r="I279" s="18">
        <v>6.54</v>
      </c>
      <c r="J279" s="18">
        <v>100.66</v>
      </c>
      <c r="K279" s="18">
        <v>17.78</v>
      </c>
      <c r="L279" s="18">
        <v>5.73</v>
      </c>
      <c r="M279" s="18">
        <v>271.04000000000002</v>
      </c>
      <c r="N279" s="23">
        <f t="shared" si="9"/>
        <v>16344.900000000001</v>
      </c>
      <c r="O279" s="24">
        <f t="shared" si="8"/>
        <v>0.3</v>
      </c>
    </row>
    <row r="280" spans="1:15" ht="87" x14ac:dyDescent="0.35">
      <c r="A280" s="12" t="s">
        <v>758</v>
      </c>
      <c r="B280" s="12" t="s">
        <v>759</v>
      </c>
      <c r="C280" s="12" t="s">
        <v>221</v>
      </c>
      <c r="D280" s="12" t="s">
        <v>760</v>
      </c>
      <c r="E280" s="18">
        <v>89.31</v>
      </c>
      <c r="F280" s="19">
        <v>19.600000000000001</v>
      </c>
      <c r="G280" s="18">
        <v>74.099999999999994</v>
      </c>
      <c r="H280" s="18">
        <v>91.03</v>
      </c>
      <c r="I280" s="18">
        <v>7.19</v>
      </c>
      <c r="J280" s="18">
        <v>91.68</v>
      </c>
      <c r="K280" s="18">
        <v>0</v>
      </c>
      <c r="L280" s="18">
        <v>7.97</v>
      </c>
      <c r="M280" s="18">
        <v>271.97000000000003</v>
      </c>
      <c r="N280" s="23">
        <f t="shared" si="9"/>
        <v>16364.500000000002</v>
      </c>
      <c r="O280" s="24">
        <f t="shared" si="8"/>
        <v>19.600000000000001</v>
      </c>
    </row>
    <row r="281" spans="1:15" ht="101.5" x14ac:dyDescent="0.35">
      <c r="A281" s="12" t="s">
        <v>761</v>
      </c>
      <c r="B281" s="12" t="s">
        <v>762</v>
      </c>
      <c r="C281" s="12" t="s">
        <v>80</v>
      </c>
      <c r="D281" s="12" t="s">
        <v>763</v>
      </c>
      <c r="E281" s="18">
        <v>89.42</v>
      </c>
      <c r="F281" s="19">
        <v>47.4</v>
      </c>
      <c r="G281" s="18">
        <v>105.08</v>
      </c>
      <c r="H281" s="18">
        <v>89.26</v>
      </c>
      <c r="I281" s="18">
        <v>40.5</v>
      </c>
      <c r="J281" s="18">
        <v>37.119999999999997</v>
      </c>
      <c r="K281" s="18">
        <v>1.59</v>
      </c>
      <c r="L281" s="18">
        <v>0</v>
      </c>
      <c r="M281" s="18">
        <v>273.55</v>
      </c>
      <c r="N281" s="23">
        <f t="shared" si="9"/>
        <v>16411.900000000001</v>
      </c>
      <c r="O281" s="24">
        <f t="shared" si="8"/>
        <v>47.4</v>
      </c>
    </row>
    <row r="282" spans="1:15" ht="29" x14ac:dyDescent="0.35">
      <c r="A282" s="12" t="s">
        <v>764</v>
      </c>
      <c r="B282" s="12" t="s">
        <v>765</v>
      </c>
      <c r="C282" s="12" t="s">
        <v>130</v>
      </c>
      <c r="D282" s="12" t="s">
        <v>766</v>
      </c>
      <c r="E282" s="18">
        <v>89.68</v>
      </c>
      <c r="F282" s="19">
        <v>3.4</v>
      </c>
      <c r="G282" s="18">
        <v>141.56</v>
      </c>
      <c r="H282" s="18">
        <v>15.1</v>
      </c>
      <c r="I282" s="18">
        <v>4.6900000000000004</v>
      </c>
      <c r="J282" s="18">
        <v>78.150000000000006</v>
      </c>
      <c r="K282" s="18">
        <v>23.04</v>
      </c>
      <c r="L282" s="18">
        <v>11.82</v>
      </c>
      <c r="M282" s="18">
        <v>274.35000000000002</v>
      </c>
      <c r="N282" s="23">
        <f t="shared" si="9"/>
        <v>16415.300000000003</v>
      </c>
      <c r="O282" s="24">
        <f t="shared" si="8"/>
        <v>3.4</v>
      </c>
    </row>
    <row r="283" spans="1:15" ht="29" x14ac:dyDescent="0.35">
      <c r="A283" s="12" t="s">
        <v>767</v>
      </c>
      <c r="B283" s="12" t="s">
        <v>768</v>
      </c>
      <c r="C283" s="12" t="s">
        <v>56</v>
      </c>
      <c r="D283" s="12" t="s">
        <v>42</v>
      </c>
      <c r="E283" s="18">
        <v>89.7</v>
      </c>
      <c r="F283" s="19">
        <v>2.4</v>
      </c>
      <c r="G283" s="18">
        <v>137.97</v>
      </c>
      <c r="H283" s="18">
        <v>27.99</v>
      </c>
      <c r="I283" s="18">
        <v>24.21</v>
      </c>
      <c r="J283" s="18">
        <v>55.7</v>
      </c>
      <c r="K283" s="18">
        <v>20.010000000000002</v>
      </c>
      <c r="L283" s="18">
        <v>10.3</v>
      </c>
      <c r="M283" s="18">
        <v>276.18</v>
      </c>
      <c r="N283" s="23">
        <f t="shared" si="9"/>
        <v>16417.700000000004</v>
      </c>
      <c r="O283" s="24">
        <f t="shared" si="8"/>
        <v>2.4</v>
      </c>
    </row>
    <row r="284" spans="1:15" ht="29" x14ac:dyDescent="0.35">
      <c r="A284" s="12" t="s">
        <v>769</v>
      </c>
      <c r="B284" s="12" t="s">
        <v>770</v>
      </c>
      <c r="C284" s="12" t="s">
        <v>104</v>
      </c>
      <c r="D284" s="12" t="s">
        <v>243</v>
      </c>
      <c r="E284" s="18">
        <v>89.71</v>
      </c>
      <c r="F284" s="19">
        <v>52.3</v>
      </c>
      <c r="G284" s="18">
        <v>42.86</v>
      </c>
      <c r="H284" s="18">
        <v>38.22</v>
      </c>
      <c r="I284" s="18">
        <v>43.01</v>
      </c>
      <c r="J284" s="18">
        <v>77.989999999999995</v>
      </c>
      <c r="K284" s="18">
        <v>72.78</v>
      </c>
      <c r="L284" s="18">
        <v>1.96</v>
      </c>
      <c r="M284" s="18">
        <v>276.83</v>
      </c>
      <c r="N284" s="23">
        <f t="shared" si="9"/>
        <v>16470.000000000004</v>
      </c>
      <c r="O284" s="24">
        <f t="shared" si="8"/>
        <v>52.3</v>
      </c>
    </row>
    <row r="285" spans="1:15" ht="29" x14ac:dyDescent="0.35">
      <c r="A285" s="12" t="s">
        <v>771</v>
      </c>
      <c r="B285" s="12" t="s">
        <v>772</v>
      </c>
      <c r="C285" s="12" t="s">
        <v>200</v>
      </c>
      <c r="D285" s="12" t="s">
        <v>773</v>
      </c>
      <c r="E285" s="18">
        <v>90</v>
      </c>
      <c r="F285" s="19">
        <v>69.5</v>
      </c>
      <c r="G285" s="18">
        <v>37.090000000000003</v>
      </c>
      <c r="H285" s="18">
        <v>47.38</v>
      </c>
      <c r="I285" s="18">
        <v>15.18</v>
      </c>
      <c r="J285" s="18">
        <v>147.47</v>
      </c>
      <c r="K285" s="18">
        <v>21.91</v>
      </c>
      <c r="L285" s="18">
        <v>7.84</v>
      </c>
      <c r="M285" s="18">
        <v>276.88</v>
      </c>
      <c r="N285" s="23">
        <f t="shared" si="9"/>
        <v>16539.500000000004</v>
      </c>
      <c r="O285" s="24">
        <f t="shared" si="8"/>
        <v>69.5</v>
      </c>
    </row>
    <row r="286" spans="1:15" ht="29" x14ac:dyDescent="0.35">
      <c r="A286" s="12" t="s">
        <v>774</v>
      </c>
      <c r="B286" s="12" t="s">
        <v>775</v>
      </c>
      <c r="C286" s="12" t="s">
        <v>37</v>
      </c>
      <c r="D286" s="12" t="s">
        <v>101</v>
      </c>
      <c r="E286" s="18">
        <v>90.38</v>
      </c>
      <c r="F286" s="19">
        <v>0.3</v>
      </c>
      <c r="G286" s="18">
        <v>43.26</v>
      </c>
      <c r="H286" s="18">
        <v>61.2</v>
      </c>
      <c r="I286" s="18">
        <v>27.25</v>
      </c>
      <c r="J286" s="18">
        <v>75.61</v>
      </c>
      <c r="K286" s="18">
        <v>21.49</v>
      </c>
      <c r="L286" s="18">
        <v>48.58</v>
      </c>
      <c r="M286" s="18">
        <v>277.39</v>
      </c>
      <c r="N286" s="23">
        <f t="shared" si="9"/>
        <v>16539.800000000003</v>
      </c>
      <c r="O286" s="24">
        <f t="shared" si="8"/>
        <v>0.3</v>
      </c>
    </row>
    <row r="287" spans="1:15" ht="29" x14ac:dyDescent="0.35">
      <c r="A287" s="12" t="s">
        <v>776</v>
      </c>
      <c r="B287" s="12" t="s">
        <v>777</v>
      </c>
      <c r="C287" s="12" t="s">
        <v>778</v>
      </c>
      <c r="D287" s="12" t="s">
        <v>352</v>
      </c>
      <c r="E287" s="18">
        <v>90.38</v>
      </c>
      <c r="F287" s="19">
        <v>381.5</v>
      </c>
      <c r="G287" s="18">
        <v>70.540000000000006</v>
      </c>
      <c r="H287" s="18">
        <v>18.760000000000002</v>
      </c>
      <c r="I287" s="18">
        <v>10.46</v>
      </c>
      <c r="J287" s="18">
        <v>63.14</v>
      </c>
      <c r="K287" s="18">
        <v>57.39</v>
      </c>
      <c r="L287" s="18">
        <v>59.91</v>
      </c>
      <c r="M287" s="18">
        <v>280.2</v>
      </c>
      <c r="N287" s="23">
        <f t="shared" si="9"/>
        <v>16921.300000000003</v>
      </c>
      <c r="O287" s="24">
        <f t="shared" si="8"/>
        <v>381.5</v>
      </c>
    </row>
    <row r="288" spans="1:15" ht="43.5" x14ac:dyDescent="0.35">
      <c r="A288" s="12" t="s">
        <v>779</v>
      </c>
      <c r="B288" s="12" t="s">
        <v>780</v>
      </c>
      <c r="C288" s="12" t="s">
        <v>37</v>
      </c>
      <c r="D288" s="12" t="s">
        <v>781</v>
      </c>
      <c r="E288" s="18">
        <v>92.46</v>
      </c>
      <c r="F288" s="19">
        <v>0.3</v>
      </c>
      <c r="G288" s="18">
        <v>71.97</v>
      </c>
      <c r="H288" s="18">
        <v>58.54</v>
      </c>
      <c r="I288" s="18">
        <v>12.37</v>
      </c>
      <c r="J288" s="18">
        <v>62.99</v>
      </c>
      <c r="K288" s="18">
        <v>28.88</v>
      </c>
      <c r="L288" s="18">
        <v>46.45</v>
      </c>
      <c r="M288" s="18">
        <v>281.19</v>
      </c>
      <c r="N288" s="23">
        <f t="shared" si="9"/>
        <v>16921.600000000002</v>
      </c>
      <c r="O288" s="24">
        <f t="shared" si="8"/>
        <v>0.3</v>
      </c>
    </row>
    <row r="289" spans="1:15" ht="58" x14ac:dyDescent="0.35">
      <c r="A289" s="12" t="s">
        <v>782</v>
      </c>
      <c r="B289" s="12" t="s">
        <v>783</v>
      </c>
      <c r="C289" s="12" t="s">
        <v>41</v>
      </c>
      <c r="D289" s="12" t="s">
        <v>784</v>
      </c>
      <c r="E289" s="18">
        <v>92.47</v>
      </c>
      <c r="F289" s="19">
        <v>6.4</v>
      </c>
      <c r="G289" s="18">
        <v>54.47</v>
      </c>
      <c r="H289" s="18">
        <v>81.010000000000005</v>
      </c>
      <c r="I289" s="18">
        <v>9.9499999999999993</v>
      </c>
      <c r="J289" s="18">
        <v>97.66</v>
      </c>
      <c r="K289" s="18">
        <v>35.119999999999997</v>
      </c>
      <c r="L289" s="18">
        <v>3.57</v>
      </c>
      <c r="M289" s="18">
        <v>281.77999999999997</v>
      </c>
      <c r="N289" s="23">
        <f t="shared" si="9"/>
        <v>16928.000000000004</v>
      </c>
      <c r="O289" s="24">
        <f t="shared" si="8"/>
        <v>6.4</v>
      </c>
    </row>
    <row r="290" spans="1:15" ht="43.5" x14ac:dyDescent="0.35">
      <c r="A290" s="12" t="s">
        <v>785</v>
      </c>
      <c r="B290" s="12" t="s">
        <v>786</v>
      </c>
      <c r="C290" s="12" t="s">
        <v>37</v>
      </c>
      <c r="D290" s="12" t="s">
        <v>787</v>
      </c>
      <c r="E290" s="18">
        <v>92.5</v>
      </c>
      <c r="F290" s="19">
        <v>0.3</v>
      </c>
      <c r="G290" s="18">
        <v>65.47</v>
      </c>
      <c r="H290" s="18">
        <v>63.88</v>
      </c>
      <c r="I290" s="18">
        <v>8.77</v>
      </c>
      <c r="J290" s="18">
        <v>68.13</v>
      </c>
      <c r="K290" s="18">
        <v>26.52</v>
      </c>
      <c r="L290" s="18">
        <v>49.12</v>
      </c>
      <c r="M290" s="18">
        <v>281.89999999999998</v>
      </c>
      <c r="N290" s="23">
        <f t="shared" si="9"/>
        <v>16928.300000000003</v>
      </c>
      <c r="O290" s="24">
        <f t="shared" si="8"/>
        <v>0.3</v>
      </c>
    </row>
    <row r="291" spans="1:15" ht="43.5" x14ac:dyDescent="0.35">
      <c r="A291" s="12" t="s">
        <v>788</v>
      </c>
      <c r="B291" s="12" t="s">
        <v>789</v>
      </c>
      <c r="C291" s="12" t="s">
        <v>698</v>
      </c>
      <c r="D291" s="12" t="s">
        <v>790</v>
      </c>
      <c r="E291" s="18">
        <v>92.5</v>
      </c>
      <c r="F291" s="19">
        <v>122.7</v>
      </c>
      <c r="G291" s="18">
        <v>20.85</v>
      </c>
      <c r="H291" s="18">
        <v>87.36</v>
      </c>
      <c r="I291" s="18">
        <v>11.47</v>
      </c>
      <c r="J291" s="18">
        <v>111.63</v>
      </c>
      <c r="K291" s="18">
        <v>30.84</v>
      </c>
      <c r="L291" s="18">
        <v>19.84</v>
      </c>
      <c r="M291" s="18">
        <v>281.99</v>
      </c>
      <c r="N291" s="23">
        <f t="shared" si="9"/>
        <v>17051.000000000004</v>
      </c>
      <c r="O291" s="24">
        <f t="shared" si="8"/>
        <v>122.7</v>
      </c>
    </row>
    <row r="292" spans="1:15" ht="43.5" x14ac:dyDescent="0.35">
      <c r="A292" s="12" t="s">
        <v>791</v>
      </c>
      <c r="B292" s="12" t="s">
        <v>792</v>
      </c>
      <c r="C292" s="12" t="s">
        <v>37</v>
      </c>
      <c r="D292" s="12" t="s">
        <v>171</v>
      </c>
      <c r="E292" s="18">
        <v>93.17</v>
      </c>
      <c r="F292" s="19">
        <v>0.3</v>
      </c>
      <c r="G292" s="18">
        <v>47.17</v>
      </c>
      <c r="H292" s="18">
        <v>27.73</v>
      </c>
      <c r="I292" s="18">
        <v>14.96</v>
      </c>
      <c r="J292" s="18">
        <v>58.83</v>
      </c>
      <c r="K292" s="18">
        <v>62.77</v>
      </c>
      <c r="L292" s="18">
        <v>70.55</v>
      </c>
      <c r="M292" s="18">
        <v>282</v>
      </c>
      <c r="N292" s="23">
        <f t="shared" si="9"/>
        <v>17051.300000000003</v>
      </c>
      <c r="O292" s="24">
        <f t="shared" si="8"/>
        <v>0.3</v>
      </c>
    </row>
    <row r="293" spans="1:15" ht="29" x14ac:dyDescent="0.35">
      <c r="A293" s="12" t="s">
        <v>793</v>
      </c>
      <c r="B293" s="12" t="s">
        <v>794</v>
      </c>
      <c r="C293" s="12" t="s">
        <v>111</v>
      </c>
      <c r="D293" s="12" t="s">
        <v>795</v>
      </c>
      <c r="E293" s="18">
        <v>93.17</v>
      </c>
      <c r="F293" s="19">
        <v>12.7</v>
      </c>
      <c r="G293" s="18">
        <v>103.66</v>
      </c>
      <c r="H293" s="18">
        <v>34.590000000000003</v>
      </c>
      <c r="I293" s="18">
        <v>6.41</v>
      </c>
      <c r="J293" s="18">
        <v>90.57</v>
      </c>
      <c r="K293" s="18">
        <v>33.979999999999997</v>
      </c>
      <c r="L293" s="18">
        <v>13.89</v>
      </c>
      <c r="M293" s="18">
        <v>283.08999999999997</v>
      </c>
      <c r="N293" s="23">
        <f t="shared" si="9"/>
        <v>17064.000000000004</v>
      </c>
      <c r="O293" s="24">
        <f t="shared" si="8"/>
        <v>12.7</v>
      </c>
    </row>
    <row r="294" spans="1:15" ht="29" x14ac:dyDescent="0.35">
      <c r="A294" s="12" t="s">
        <v>796</v>
      </c>
      <c r="B294" s="12" t="s">
        <v>797</v>
      </c>
      <c r="C294" s="12" t="s">
        <v>27</v>
      </c>
      <c r="D294" s="12" t="s">
        <v>543</v>
      </c>
      <c r="E294" s="18">
        <v>93.24</v>
      </c>
      <c r="F294" s="19">
        <v>49.1</v>
      </c>
      <c r="G294" s="18">
        <v>22.48</v>
      </c>
      <c r="H294" s="18">
        <v>70.02</v>
      </c>
      <c r="I294" s="18">
        <v>108.44</v>
      </c>
      <c r="J294" s="18">
        <v>56.93</v>
      </c>
      <c r="K294" s="18">
        <v>4.62</v>
      </c>
      <c r="L294" s="18">
        <v>22.19</v>
      </c>
      <c r="M294" s="18">
        <v>284.67</v>
      </c>
      <c r="N294" s="23">
        <f t="shared" si="9"/>
        <v>17113.100000000002</v>
      </c>
      <c r="O294" s="24">
        <f t="shared" si="8"/>
        <v>49.1</v>
      </c>
    </row>
    <row r="295" spans="1:15" ht="43.5" x14ac:dyDescent="0.35">
      <c r="A295" s="12" t="s">
        <v>798</v>
      </c>
      <c r="B295" s="12" t="s">
        <v>799</v>
      </c>
      <c r="C295" s="12" t="s">
        <v>402</v>
      </c>
      <c r="D295" s="12" t="s">
        <v>800</v>
      </c>
      <c r="E295" s="18">
        <v>93.51</v>
      </c>
      <c r="F295" s="19">
        <v>2</v>
      </c>
      <c r="G295" s="18">
        <v>44.53</v>
      </c>
      <c r="H295" s="18">
        <v>25.97</v>
      </c>
      <c r="I295" s="18">
        <v>30</v>
      </c>
      <c r="J295" s="18">
        <v>153.32</v>
      </c>
      <c r="K295" s="18">
        <v>13.33</v>
      </c>
      <c r="L295" s="18">
        <v>17.579999999999998</v>
      </c>
      <c r="M295" s="18">
        <v>284.72000000000003</v>
      </c>
      <c r="N295" s="23">
        <f t="shared" si="9"/>
        <v>17115.100000000002</v>
      </c>
      <c r="O295" s="24">
        <f t="shared" si="8"/>
        <v>2</v>
      </c>
    </row>
    <row r="296" spans="1:15" ht="58" x14ac:dyDescent="0.35">
      <c r="A296" s="12" t="s">
        <v>801</v>
      </c>
      <c r="B296" s="12" t="s">
        <v>802</v>
      </c>
      <c r="C296" s="12" t="s">
        <v>37</v>
      </c>
      <c r="D296" s="12" t="s">
        <v>803</v>
      </c>
      <c r="E296" s="18">
        <v>93.52</v>
      </c>
      <c r="F296" s="19">
        <v>0.6</v>
      </c>
      <c r="G296" s="18">
        <v>82.65</v>
      </c>
      <c r="H296" s="18">
        <v>46.9</v>
      </c>
      <c r="I296" s="18">
        <v>10.96</v>
      </c>
      <c r="J296" s="18">
        <v>80.98</v>
      </c>
      <c r="K296" s="18">
        <v>27.65</v>
      </c>
      <c r="L296" s="18">
        <v>37.01</v>
      </c>
      <c r="M296" s="18">
        <v>286.16000000000003</v>
      </c>
      <c r="N296" s="23">
        <f t="shared" si="9"/>
        <v>17115.7</v>
      </c>
      <c r="O296" s="24">
        <f t="shared" si="8"/>
        <v>0.6</v>
      </c>
    </row>
    <row r="297" spans="1:15" ht="43.5" x14ac:dyDescent="0.35">
      <c r="A297" s="12" t="s">
        <v>804</v>
      </c>
      <c r="B297" s="12" t="s">
        <v>805</v>
      </c>
      <c r="C297" s="12" t="s">
        <v>37</v>
      </c>
      <c r="D297" s="12" t="s">
        <v>806</v>
      </c>
      <c r="E297" s="18">
        <v>93.53</v>
      </c>
      <c r="F297" s="19">
        <v>0.7</v>
      </c>
      <c r="G297" s="18">
        <v>73.66</v>
      </c>
      <c r="H297" s="18">
        <v>63.97</v>
      </c>
      <c r="I297" s="18">
        <v>18.38</v>
      </c>
      <c r="J297" s="18">
        <v>71.900000000000006</v>
      </c>
      <c r="K297" s="18">
        <v>22.02</v>
      </c>
      <c r="L297" s="18">
        <v>36.61</v>
      </c>
      <c r="M297" s="18">
        <v>286.54000000000002</v>
      </c>
      <c r="N297" s="23">
        <f t="shared" si="9"/>
        <v>17116.400000000001</v>
      </c>
      <c r="O297" s="24">
        <f t="shared" si="8"/>
        <v>0.7</v>
      </c>
    </row>
    <row r="298" spans="1:15" ht="43.5" x14ac:dyDescent="0.35">
      <c r="A298" s="12" t="s">
        <v>807</v>
      </c>
      <c r="B298" s="12" t="s">
        <v>808</v>
      </c>
      <c r="C298" s="12" t="s">
        <v>111</v>
      </c>
      <c r="D298" s="12" t="s">
        <v>809</v>
      </c>
      <c r="E298" s="18">
        <v>93.53</v>
      </c>
      <c r="F298" s="19">
        <v>1.8</v>
      </c>
      <c r="G298" s="18">
        <v>61.9</v>
      </c>
      <c r="H298" s="18">
        <v>31.54</v>
      </c>
      <c r="I298" s="18">
        <v>7.08</v>
      </c>
      <c r="J298" s="18">
        <v>70.3</v>
      </c>
      <c r="K298" s="18">
        <v>101.85</v>
      </c>
      <c r="L298" s="18">
        <v>13.99</v>
      </c>
      <c r="M298" s="18">
        <v>286.66000000000003</v>
      </c>
      <c r="N298" s="23">
        <f t="shared" si="9"/>
        <v>17118.2</v>
      </c>
      <c r="O298" s="24">
        <f t="shared" si="8"/>
        <v>1.8</v>
      </c>
    </row>
    <row r="299" spans="1:15" ht="130.5" x14ac:dyDescent="0.35">
      <c r="A299" s="12" t="s">
        <v>810</v>
      </c>
      <c r="B299" s="12" t="s">
        <v>811</v>
      </c>
      <c r="C299" s="12" t="s">
        <v>114</v>
      </c>
      <c r="D299" s="12" t="s">
        <v>812</v>
      </c>
      <c r="E299" s="18">
        <v>93.54</v>
      </c>
      <c r="F299" s="19">
        <v>65.2</v>
      </c>
      <c r="G299" s="18">
        <v>35.03</v>
      </c>
      <c r="H299" s="18">
        <v>27.59</v>
      </c>
      <c r="I299" s="18">
        <v>13.82</v>
      </c>
      <c r="J299" s="18">
        <v>105.64</v>
      </c>
      <c r="K299" s="18">
        <v>55.31</v>
      </c>
      <c r="L299" s="18">
        <v>49.69</v>
      </c>
      <c r="M299" s="18">
        <v>287.08999999999997</v>
      </c>
      <c r="N299" s="23">
        <f t="shared" si="9"/>
        <v>17183.400000000001</v>
      </c>
      <c r="O299" s="24">
        <f t="shared" si="8"/>
        <v>65.2</v>
      </c>
    </row>
    <row r="300" spans="1:15" ht="43.5" x14ac:dyDescent="0.35">
      <c r="A300" s="12" t="s">
        <v>813</v>
      </c>
      <c r="B300" s="12" t="s">
        <v>814</v>
      </c>
      <c r="C300" s="12" t="s">
        <v>45</v>
      </c>
      <c r="D300" s="12" t="s">
        <v>433</v>
      </c>
      <c r="E300" s="18">
        <v>93.9</v>
      </c>
      <c r="F300" s="19">
        <v>2.2999999999999998</v>
      </c>
      <c r="G300" s="18">
        <v>99.73</v>
      </c>
      <c r="H300" s="18">
        <v>34.22</v>
      </c>
      <c r="I300" s="18">
        <v>27.96</v>
      </c>
      <c r="J300" s="18">
        <v>110.96</v>
      </c>
      <c r="K300" s="18">
        <v>15.01</v>
      </c>
      <c r="L300" s="18">
        <v>0</v>
      </c>
      <c r="M300" s="18">
        <v>287.88</v>
      </c>
      <c r="N300" s="23">
        <f t="shared" si="9"/>
        <v>17185.7</v>
      </c>
      <c r="O300" s="24">
        <f t="shared" si="8"/>
        <v>2.2999999999999998</v>
      </c>
    </row>
    <row r="301" spans="1:15" ht="29" x14ac:dyDescent="0.35">
      <c r="A301" s="12" t="s">
        <v>815</v>
      </c>
      <c r="B301" s="12" t="s">
        <v>816</v>
      </c>
      <c r="C301" s="12" t="s">
        <v>80</v>
      </c>
      <c r="D301" s="12" t="s">
        <v>243</v>
      </c>
      <c r="E301" s="18">
        <v>93.91</v>
      </c>
      <c r="F301" s="19">
        <v>15.1</v>
      </c>
      <c r="G301" s="18">
        <v>86.49</v>
      </c>
      <c r="H301" s="18">
        <v>145.44</v>
      </c>
      <c r="I301" s="18">
        <v>0.99</v>
      </c>
      <c r="J301" s="18">
        <v>46.23</v>
      </c>
      <c r="K301" s="18">
        <v>2.64</v>
      </c>
      <c r="L301" s="18">
        <v>6.84</v>
      </c>
      <c r="M301" s="18">
        <v>288.64</v>
      </c>
      <c r="N301" s="23">
        <f t="shared" si="9"/>
        <v>17200.8</v>
      </c>
      <c r="O301" s="24">
        <f t="shared" si="8"/>
        <v>15.1</v>
      </c>
    </row>
    <row r="302" spans="1:15" ht="29" x14ac:dyDescent="0.35">
      <c r="A302" s="12" t="s">
        <v>817</v>
      </c>
      <c r="B302" s="12" t="s">
        <v>818</v>
      </c>
      <c r="C302" s="12" t="s">
        <v>130</v>
      </c>
      <c r="D302" s="12" t="s">
        <v>108</v>
      </c>
      <c r="E302" s="18">
        <v>93.99</v>
      </c>
      <c r="F302" s="19">
        <v>35.799999999999997</v>
      </c>
      <c r="G302" s="18">
        <v>142.02000000000001</v>
      </c>
      <c r="H302" s="18">
        <v>4.1399999999999997</v>
      </c>
      <c r="I302" s="18">
        <v>0.87</v>
      </c>
      <c r="J302" s="18">
        <v>9.73</v>
      </c>
      <c r="K302" s="18">
        <v>124.33</v>
      </c>
      <c r="L302" s="18">
        <v>7.91</v>
      </c>
      <c r="M302" s="18">
        <v>288.99</v>
      </c>
      <c r="N302" s="23">
        <f t="shared" si="9"/>
        <v>17236.599999999999</v>
      </c>
      <c r="O302" s="24">
        <f t="shared" si="8"/>
        <v>35.799999999999997</v>
      </c>
    </row>
    <row r="303" spans="1:15" ht="87" x14ac:dyDescent="0.35">
      <c r="A303" s="12" t="s">
        <v>819</v>
      </c>
      <c r="B303" s="12" t="s">
        <v>820</v>
      </c>
      <c r="C303" s="12" t="s">
        <v>37</v>
      </c>
      <c r="D303" s="12" t="s">
        <v>821</v>
      </c>
      <c r="E303" s="18">
        <v>94.19</v>
      </c>
      <c r="F303" s="19">
        <v>2.6</v>
      </c>
      <c r="G303" s="18">
        <v>100.31</v>
      </c>
      <c r="H303" s="18">
        <v>65.13</v>
      </c>
      <c r="I303" s="18">
        <v>9.49</v>
      </c>
      <c r="J303" s="18">
        <v>51.61</v>
      </c>
      <c r="K303" s="18">
        <v>25.21</v>
      </c>
      <c r="L303" s="18">
        <v>38.24</v>
      </c>
      <c r="M303" s="18">
        <v>290</v>
      </c>
      <c r="N303" s="23">
        <f t="shared" si="9"/>
        <v>17239.199999999997</v>
      </c>
      <c r="O303" s="24">
        <f t="shared" si="8"/>
        <v>2.6</v>
      </c>
    </row>
    <row r="304" spans="1:15" ht="58" x14ac:dyDescent="0.35">
      <c r="A304" s="12" t="s">
        <v>822</v>
      </c>
      <c r="B304" s="12" t="s">
        <v>823</v>
      </c>
      <c r="C304" s="12" t="s">
        <v>152</v>
      </c>
      <c r="D304" s="12" t="s">
        <v>824</v>
      </c>
      <c r="E304" s="18">
        <v>94.2</v>
      </c>
      <c r="F304" s="19">
        <v>43.1</v>
      </c>
      <c r="G304" s="18">
        <v>22.37</v>
      </c>
      <c r="H304" s="18">
        <v>71.98</v>
      </c>
      <c r="I304" s="18">
        <v>31.2</v>
      </c>
      <c r="J304" s="18">
        <v>83.06</v>
      </c>
      <c r="K304" s="18">
        <v>1.1399999999999999</v>
      </c>
      <c r="L304" s="18">
        <v>80.38</v>
      </c>
      <c r="M304" s="18">
        <v>290.13</v>
      </c>
      <c r="N304" s="23">
        <f t="shared" si="9"/>
        <v>17282.299999999996</v>
      </c>
      <c r="O304" s="24">
        <f t="shared" si="8"/>
        <v>43.1</v>
      </c>
    </row>
    <row r="305" spans="1:15" ht="58" x14ac:dyDescent="0.35">
      <c r="A305" s="12" t="s">
        <v>825</v>
      </c>
      <c r="B305" s="12" t="s">
        <v>826</v>
      </c>
      <c r="C305" s="12" t="s">
        <v>104</v>
      </c>
      <c r="D305" s="12" t="s">
        <v>582</v>
      </c>
      <c r="E305" s="18">
        <v>94.44</v>
      </c>
      <c r="F305" s="19">
        <v>6.4</v>
      </c>
      <c r="G305" s="18">
        <v>54.88</v>
      </c>
      <c r="H305" s="18">
        <v>24.9</v>
      </c>
      <c r="I305" s="18">
        <v>122.72</v>
      </c>
      <c r="J305" s="18">
        <v>83.05</v>
      </c>
      <c r="K305" s="18">
        <v>4.63</v>
      </c>
      <c r="L305" s="18">
        <v>0</v>
      </c>
      <c r="M305" s="18">
        <v>290.18</v>
      </c>
      <c r="N305" s="23">
        <f t="shared" si="9"/>
        <v>17288.699999999997</v>
      </c>
      <c r="O305" s="24">
        <f t="shared" si="8"/>
        <v>6.4</v>
      </c>
    </row>
    <row r="306" spans="1:15" ht="43.5" x14ac:dyDescent="0.35">
      <c r="A306" s="12" t="s">
        <v>827</v>
      </c>
      <c r="B306" s="12" t="s">
        <v>828</v>
      </c>
      <c r="C306" s="12" t="s">
        <v>37</v>
      </c>
      <c r="D306" s="12" t="s">
        <v>829</v>
      </c>
      <c r="E306" s="18">
        <v>94.47</v>
      </c>
      <c r="F306" s="19">
        <v>1.3</v>
      </c>
      <c r="G306" s="18">
        <v>98.55</v>
      </c>
      <c r="H306" s="18">
        <v>51.18</v>
      </c>
      <c r="I306" s="18">
        <v>13.09</v>
      </c>
      <c r="J306" s="18">
        <v>41.86</v>
      </c>
      <c r="K306" s="18">
        <v>33.1</v>
      </c>
      <c r="L306" s="18">
        <v>52.7</v>
      </c>
      <c r="M306" s="18">
        <v>290.48</v>
      </c>
      <c r="N306" s="23">
        <f t="shared" si="9"/>
        <v>17289.999999999996</v>
      </c>
      <c r="O306" s="24">
        <f t="shared" si="8"/>
        <v>1.3</v>
      </c>
    </row>
    <row r="307" spans="1:15" ht="43.5" x14ac:dyDescent="0.35">
      <c r="A307" s="12" t="s">
        <v>830</v>
      </c>
      <c r="B307" s="12" t="s">
        <v>831</v>
      </c>
      <c r="C307" s="12" t="s">
        <v>37</v>
      </c>
      <c r="D307" s="12" t="s">
        <v>832</v>
      </c>
      <c r="E307" s="18">
        <v>94.48</v>
      </c>
      <c r="F307" s="19">
        <v>0.5</v>
      </c>
      <c r="G307" s="18">
        <v>39.049999999999997</v>
      </c>
      <c r="H307" s="18">
        <v>81.89</v>
      </c>
      <c r="I307" s="18">
        <v>11.71</v>
      </c>
      <c r="J307" s="18">
        <v>95.1</v>
      </c>
      <c r="K307" s="18">
        <v>23.35</v>
      </c>
      <c r="L307" s="18">
        <v>39.479999999999997</v>
      </c>
      <c r="M307" s="18">
        <v>290.58999999999997</v>
      </c>
      <c r="N307" s="23">
        <f t="shared" si="9"/>
        <v>17290.499999999996</v>
      </c>
      <c r="O307" s="24">
        <f t="shared" si="8"/>
        <v>0.5</v>
      </c>
    </row>
    <row r="308" spans="1:15" ht="29" x14ac:dyDescent="0.35">
      <c r="A308" s="12" t="s">
        <v>833</v>
      </c>
      <c r="B308" s="12" t="s">
        <v>834</v>
      </c>
      <c r="C308" s="12" t="s">
        <v>37</v>
      </c>
      <c r="D308" s="12" t="s">
        <v>835</v>
      </c>
      <c r="E308" s="18">
        <v>94.48</v>
      </c>
      <c r="F308" s="19">
        <v>4</v>
      </c>
      <c r="G308" s="18">
        <v>73.680000000000007</v>
      </c>
      <c r="H308" s="18">
        <v>41.92</v>
      </c>
      <c r="I308" s="18">
        <v>15.5</v>
      </c>
      <c r="J308" s="18">
        <v>66.61</v>
      </c>
      <c r="K308" s="18">
        <v>31.64</v>
      </c>
      <c r="L308" s="18">
        <v>61.63</v>
      </c>
      <c r="M308" s="18">
        <v>290.98</v>
      </c>
      <c r="N308" s="23">
        <f t="shared" si="9"/>
        <v>17294.499999999996</v>
      </c>
      <c r="O308" s="24">
        <f t="shared" si="8"/>
        <v>4</v>
      </c>
    </row>
    <row r="309" spans="1:15" ht="29" x14ac:dyDescent="0.35">
      <c r="A309" s="12" t="s">
        <v>836</v>
      </c>
      <c r="B309" s="12" t="s">
        <v>837</v>
      </c>
      <c r="C309" s="12" t="s">
        <v>94</v>
      </c>
      <c r="D309" s="12" t="s">
        <v>105</v>
      </c>
      <c r="E309" s="18">
        <v>94.5</v>
      </c>
      <c r="F309" s="19">
        <v>30.9</v>
      </c>
      <c r="G309" s="18">
        <v>105.04</v>
      </c>
      <c r="H309" s="18">
        <v>36.380000000000003</v>
      </c>
      <c r="I309" s="18">
        <v>19.8</v>
      </c>
      <c r="J309" s="18">
        <v>92.67</v>
      </c>
      <c r="K309" s="18">
        <v>34.6</v>
      </c>
      <c r="L309" s="18">
        <v>3.3</v>
      </c>
      <c r="M309" s="18">
        <v>291.8</v>
      </c>
      <c r="N309" s="23">
        <f t="shared" si="9"/>
        <v>17325.399999999998</v>
      </c>
      <c r="O309" s="24">
        <f t="shared" si="8"/>
        <v>30.9</v>
      </c>
    </row>
    <row r="310" spans="1:15" ht="29" x14ac:dyDescent="0.35">
      <c r="A310" s="12" t="s">
        <v>838</v>
      </c>
      <c r="B310" s="12" t="s">
        <v>839</v>
      </c>
      <c r="C310" s="12" t="s">
        <v>37</v>
      </c>
      <c r="D310" s="12" t="s">
        <v>835</v>
      </c>
      <c r="E310" s="18">
        <v>94.67</v>
      </c>
      <c r="F310" s="19">
        <v>2.5</v>
      </c>
      <c r="G310" s="18">
        <v>53.23</v>
      </c>
      <c r="H310" s="18">
        <v>75.59</v>
      </c>
      <c r="I310" s="18">
        <v>11.66</v>
      </c>
      <c r="J310" s="18">
        <v>92.35</v>
      </c>
      <c r="K310" s="18">
        <v>22.32</v>
      </c>
      <c r="L310" s="18">
        <v>37.22</v>
      </c>
      <c r="M310" s="18">
        <v>292.37</v>
      </c>
      <c r="N310" s="23">
        <f t="shared" si="9"/>
        <v>17327.899999999998</v>
      </c>
      <c r="O310" s="24">
        <f t="shared" si="8"/>
        <v>2.5</v>
      </c>
    </row>
    <row r="311" spans="1:15" ht="43.5" x14ac:dyDescent="0.35">
      <c r="A311" s="12" t="s">
        <v>840</v>
      </c>
      <c r="B311" s="12" t="s">
        <v>841</v>
      </c>
      <c r="C311" s="12" t="s">
        <v>37</v>
      </c>
      <c r="D311" s="12" t="s">
        <v>842</v>
      </c>
      <c r="E311" s="18">
        <v>94.69</v>
      </c>
      <c r="F311" s="19">
        <v>1.3</v>
      </c>
      <c r="G311" s="18">
        <v>81.92</v>
      </c>
      <c r="H311" s="18">
        <v>69.17</v>
      </c>
      <c r="I311" s="18">
        <v>19</v>
      </c>
      <c r="J311" s="18">
        <v>51.04</v>
      </c>
      <c r="K311" s="18">
        <v>23.51</v>
      </c>
      <c r="L311" s="18">
        <v>48.38</v>
      </c>
      <c r="M311" s="18">
        <v>293.02</v>
      </c>
      <c r="N311" s="23">
        <f t="shared" si="9"/>
        <v>17329.199999999997</v>
      </c>
      <c r="O311" s="24">
        <f t="shared" si="8"/>
        <v>1.3</v>
      </c>
    </row>
    <row r="312" spans="1:15" ht="29" x14ac:dyDescent="0.35">
      <c r="A312" s="12" t="s">
        <v>843</v>
      </c>
      <c r="B312" s="12" t="s">
        <v>844</v>
      </c>
      <c r="C312" s="12" t="s">
        <v>111</v>
      </c>
      <c r="D312" s="12" t="s">
        <v>430</v>
      </c>
      <c r="E312" s="18">
        <v>94.69</v>
      </c>
      <c r="F312" s="19">
        <v>4.7</v>
      </c>
      <c r="G312" s="18">
        <v>95.43</v>
      </c>
      <c r="H312" s="18">
        <v>86.89</v>
      </c>
      <c r="I312" s="18">
        <v>11.38</v>
      </c>
      <c r="J312" s="18">
        <v>72.87</v>
      </c>
      <c r="K312" s="18">
        <v>24.23</v>
      </c>
      <c r="L312" s="18">
        <v>2.95</v>
      </c>
      <c r="M312" s="18">
        <v>293.75</v>
      </c>
      <c r="N312" s="23">
        <f t="shared" si="9"/>
        <v>17333.899999999998</v>
      </c>
      <c r="O312" s="24">
        <f t="shared" si="8"/>
        <v>4.7</v>
      </c>
    </row>
    <row r="313" spans="1:15" ht="87" x14ac:dyDescent="0.35">
      <c r="A313" s="12" t="s">
        <v>845</v>
      </c>
      <c r="B313" s="12" t="s">
        <v>846</v>
      </c>
      <c r="C313" s="12" t="s">
        <v>152</v>
      </c>
      <c r="D313" s="12" t="s">
        <v>847</v>
      </c>
      <c r="E313" s="18">
        <v>94.72</v>
      </c>
      <c r="F313" s="19">
        <v>17.3</v>
      </c>
      <c r="G313" s="18">
        <v>121.07</v>
      </c>
      <c r="H313" s="18">
        <v>41.5</v>
      </c>
      <c r="I313" s="18">
        <v>12.75</v>
      </c>
      <c r="J313" s="18">
        <v>61.39</v>
      </c>
      <c r="K313" s="18">
        <v>24.51</v>
      </c>
      <c r="L313" s="18">
        <v>33.880000000000003</v>
      </c>
      <c r="M313" s="18">
        <v>295.11</v>
      </c>
      <c r="N313" s="23">
        <f t="shared" si="9"/>
        <v>17351.199999999997</v>
      </c>
      <c r="O313" s="24">
        <f t="shared" si="8"/>
        <v>17.3</v>
      </c>
    </row>
    <row r="314" spans="1:15" ht="58" x14ac:dyDescent="0.35">
      <c r="A314" s="12" t="s">
        <v>848</v>
      </c>
      <c r="B314" s="12" t="s">
        <v>849</v>
      </c>
      <c r="C314" s="12" t="s">
        <v>41</v>
      </c>
      <c r="D314" s="12" t="s">
        <v>850</v>
      </c>
      <c r="E314" s="18">
        <v>94.81</v>
      </c>
      <c r="F314" s="19">
        <v>0.2</v>
      </c>
      <c r="G314" s="18">
        <v>145.05000000000001</v>
      </c>
      <c r="H314" s="18">
        <v>58.24</v>
      </c>
      <c r="I314" s="18">
        <v>1.5</v>
      </c>
      <c r="J314" s="18">
        <v>74.53</v>
      </c>
      <c r="K314" s="18">
        <v>11.56</v>
      </c>
      <c r="L314" s="18">
        <v>4.6399999999999997</v>
      </c>
      <c r="M314" s="18">
        <v>295.52999999999997</v>
      </c>
      <c r="N314" s="23">
        <f t="shared" si="9"/>
        <v>17351.399999999998</v>
      </c>
      <c r="O314" s="24">
        <f t="shared" si="8"/>
        <v>0.2</v>
      </c>
    </row>
    <row r="315" spans="1:15" x14ac:dyDescent="0.35">
      <c r="A315" s="12" t="s">
        <v>851</v>
      </c>
      <c r="B315" s="12" t="s">
        <v>852</v>
      </c>
      <c r="C315" s="12" t="s">
        <v>111</v>
      </c>
      <c r="D315" s="12" t="s">
        <v>613</v>
      </c>
      <c r="E315" s="18">
        <v>94.81</v>
      </c>
      <c r="F315" s="19">
        <v>9.6</v>
      </c>
      <c r="G315" s="18">
        <v>47.07</v>
      </c>
      <c r="H315" s="18">
        <v>52.09</v>
      </c>
      <c r="I315" s="18">
        <v>11.96</v>
      </c>
      <c r="J315" s="18">
        <v>134.62</v>
      </c>
      <c r="K315" s="18">
        <v>39.630000000000003</v>
      </c>
      <c r="L315" s="18">
        <v>11.4</v>
      </c>
      <c r="M315" s="18">
        <v>296.77999999999997</v>
      </c>
      <c r="N315" s="23">
        <f t="shared" si="9"/>
        <v>17360.999999999996</v>
      </c>
      <c r="O315" s="24">
        <f t="shared" si="8"/>
        <v>9.6</v>
      </c>
    </row>
    <row r="316" spans="1:15" ht="29" x14ac:dyDescent="0.35">
      <c r="A316" s="12" t="s">
        <v>853</v>
      </c>
      <c r="B316" s="12" t="s">
        <v>854</v>
      </c>
      <c r="C316" s="12" t="s">
        <v>37</v>
      </c>
      <c r="D316" s="12" t="s">
        <v>101</v>
      </c>
      <c r="E316" s="18">
        <v>94.87</v>
      </c>
      <c r="F316" s="19">
        <v>1.4</v>
      </c>
      <c r="G316" s="18">
        <v>36.4</v>
      </c>
      <c r="H316" s="18">
        <v>82.67</v>
      </c>
      <c r="I316" s="18">
        <v>14.61</v>
      </c>
      <c r="J316" s="18">
        <v>101.22</v>
      </c>
      <c r="K316" s="18">
        <v>22.87</v>
      </c>
      <c r="L316" s="18">
        <v>39.28</v>
      </c>
      <c r="M316" s="18">
        <v>297.05</v>
      </c>
      <c r="N316" s="23">
        <f t="shared" si="9"/>
        <v>17362.399999999998</v>
      </c>
      <c r="O316" s="24">
        <f t="shared" si="8"/>
        <v>1.4</v>
      </c>
    </row>
    <row r="317" spans="1:15" ht="72.5" x14ac:dyDescent="0.35">
      <c r="A317" s="12" t="s">
        <v>855</v>
      </c>
      <c r="B317" s="12" t="s">
        <v>856</v>
      </c>
      <c r="C317" s="12" t="s">
        <v>857</v>
      </c>
      <c r="D317" s="12" t="s">
        <v>858</v>
      </c>
      <c r="E317" s="18">
        <v>94.87</v>
      </c>
      <c r="F317" s="19">
        <v>0.5</v>
      </c>
      <c r="G317" s="18">
        <v>51.99</v>
      </c>
      <c r="H317" s="18">
        <v>53.48</v>
      </c>
      <c r="I317" s="18">
        <v>7.57</v>
      </c>
      <c r="J317" s="18">
        <v>106.2</v>
      </c>
      <c r="K317" s="18">
        <v>9.31</v>
      </c>
      <c r="L317" s="18">
        <v>69.14</v>
      </c>
      <c r="M317" s="18">
        <v>297.68</v>
      </c>
      <c r="N317" s="23">
        <f t="shared" si="9"/>
        <v>17362.899999999998</v>
      </c>
      <c r="O317" s="24">
        <f t="shared" si="8"/>
        <v>0.5</v>
      </c>
    </row>
    <row r="318" spans="1:15" ht="29" x14ac:dyDescent="0.35">
      <c r="A318" s="12" t="s">
        <v>859</v>
      </c>
      <c r="B318" s="12" t="s">
        <v>860</v>
      </c>
      <c r="C318" s="12" t="s">
        <v>41</v>
      </c>
      <c r="D318" s="12" t="s">
        <v>757</v>
      </c>
      <c r="E318" s="18">
        <v>94.88</v>
      </c>
      <c r="F318" s="19">
        <v>31.8</v>
      </c>
      <c r="G318" s="18">
        <v>24.84</v>
      </c>
      <c r="H318" s="18">
        <v>143.80000000000001</v>
      </c>
      <c r="I318" s="18">
        <v>11.22</v>
      </c>
      <c r="J318" s="18">
        <v>82.87</v>
      </c>
      <c r="K318" s="18">
        <v>31.17</v>
      </c>
      <c r="L318" s="18">
        <v>3.91</v>
      </c>
      <c r="M318" s="18">
        <v>297.81</v>
      </c>
      <c r="N318" s="23">
        <f t="shared" si="9"/>
        <v>17394.699999999997</v>
      </c>
      <c r="O318" s="24">
        <f t="shared" si="8"/>
        <v>31.8</v>
      </c>
    </row>
    <row r="319" spans="1:15" ht="43.5" x14ac:dyDescent="0.35">
      <c r="A319" s="12" t="s">
        <v>861</v>
      </c>
      <c r="B319" s="12" t="s">
        <v>862</v>
      </c>
      <c r="C319" s="12" t="s">
        <v>37</v>
      </c>
      <c r="D319" s="12" t="s">
        <v>863</v>
      </c>
      <c r="E319" s="18">
        <v>95.05</v>
      </c>
      <c r="F319" s="19">
        <v>0.4</v>
      </c>
      <c r="G319" s="18">
        <v>75.98</v>
      </c>
      <c r="H319" s="18">
        <v>70.31</v>
      </c>
      <c r="I319" s="18">
        <v>10.220000000000001</v>
      </c>
      <c r="J319" s="18">
        <v>82.87</v>
      </c>
      <c r="K319" s="18">
        <v>23.26</v>
      </c>
      <c r="L319" s="18">
        <v>36.53</v>
      </c>
      <c r="M319" s="18">
        <v>299.17</v>
      </c>
      <c r="N319" s="23">
        <f t="shared" si="9"/>
        <v>17395.099999999999</v>
      </c>
      <c r="O319" s="24">
        <f t="shared" si="8"/>
        <v>0.4</v>
      </c>
    </row>
    <row r="320" spans="1:15" x14ac:dyDescent="0.35">
      <c r="A320" s="12" t="s">
        <v>864</v>
      </c>
      <c r="B320" s="12" t="s">
        <v>865</v>
      </c>
      <c r="C320" s="12" t="s">
        <v>76</v>
      </c>
      <c r="D320" s="12" t="s">
        <v>613</v>
      </c>
      <c r="E320" s="18">
        <v>95.05</v>
      </c>
      <c r="F320" s="19">
        <v>42.1</v>
      </c>
      <c r="G320" s="18">
        <v>80.06</v>
      </c>
      <c r="H320" s="18">
        <v>52.38</v>
      </c>
      <c r="I320" s="18">
        <v>25.96</v>
      </c>
      <c r="J320" s="18">
        <v>95.02</v>
      </c>
      <c r="K320" s="18">
        <v>40.76</v>
      </c>
      <c r="L320" s="18">
        <v>6.24</v>
      </c>
      <c r="M320" s="18">
        <v>300.42</v>
      </c>
      <c r="N320" s="23">
        <f t="shared" si="9"/>
        <v>17437.199999999997</v>
      </c>
      <c r="O320" s="24">
        <f t="shared" si="8"/>
        <v>42.1</v>
      </c>
    </row>
    <row r="321" spans="1:15" ht="29" x14ac:dyDescent="0.35">
      <c r="A321" s="12" t="s">
        <v>866</v>
      </c>
      <c r="B321" s="12" t="s">
        <v>867</v>
      </c>
      <c r="C321" s="12" t="s">
        <v>37</v>
      </c>
      <c r="D321" s="12" t="s">
        <v>101</v>
      </c>
      <c r="E321" s="18">
        <v>95.28</v>
      </c>
      <c r="F321" s="19">
        <v>0.6</v>
      </c>
      <c r="G321" s="18">
        <v>66.319999999999993</v>
      </c>
      <c r="H321" s="18">
        <v>53</v>
      </c>
      <c r="I321" s="18">
        <v>24.18</v>
      </c>
      <c r="J321" s="18">
        <v>78.91</v>
      </c>
      <c r="K321" s="18">
        <v>31.01</v>
      </c>
      <c r="L321" s="18">
        <v>48</v>
      </c>
      <c r="M321" s="18">
        <v>301.41000000000003</v>
      </c>
      <c r="N321" s="23">
        <f t="shared" si="9"/>
        <v>17437.799999999996</v>
      </c>
      <c r="O321" s="24">
        <f t="shared" si="8"/>
        <v>0.6</v>
      </c>
    </row>
    <row r="322" spans="1:15" ht="43.5" x14ac:dyDescent="0.35">
      <c r="A322" s="12" t="s">
        <v>868</v>
      </c>
      <c r="B322" s="12" t="s">
        <v>869</v>
      </c>
      <c r="C322" s="12" t="s">
        <v>870</v>
      </c>
      <c r="D322" s="12" t="s">
        <v>433</v>
      </c>
      <c r="E322" s="18">
        <v>95.29</v>
      </c>
      <c r="F322" s="19">
        <v>12.9</v>
      </c>
      <c r="G322" s="18">
        <v>10.51</v>
      </c>
      <c r="H322" s="18">
        <v>63.87</v>
      </c>
      <c r="I322" s="18">
        <v>27.13</v>
      </c>
      <c r="J322" s="18">
        <v>164.54</v>
      </c>
      <c r="K322" s="18">
        <v>29.4</v>
      </c>
      <c r="L322" s="18">
        <v>8.1999999999999993</v>
      </c>
      <c r="M322" s="18">
        <v>303.64999999999998</v>
      </c>
      <c r="N322" s="23">
        <f t="shared" si="9"/>
        <v>17450.699999999997</v>
      </c>
      <c r="O322" s="24">
        <f t="shared" si="8"/>
        <v>12.9</v>
      </c>
    </row>
    <row r="323" spans="1:15" ht="72.5" x14ac:dyDescent="0.35">
      <c r="A323" s="12" t="s">
        <v>871</v>
      </c>
      <c r="B323" s="12" t="s">
        <v>872</v>
      </c>
      <c r="C323" s="12" t="s">
        <v>360</v>
      </c>
      <c r="D323" s="12" t="s">
        <v>873</v>
      </c>
      <c r="E323" s="18">
        <v>95.36</v>
      </c>
      <c r="F323" s="19">
        <v>32.299999999999997</v>
      </c>
      <c r="G323" s="18">
        <v>26.32</v>
      </c>
      <c r="H323" s="18">
        <v>121.52</v>
      </c>
      <c r="I323" s="18">
        <v>35.520000000000003</v>
      </c>
      <c r="J323" s="18">
        <v>84.78</v>
      </c>
      <c r="K323" s="18">
        <v>21.01</v>
      </c>
      <c r="L323" s="18">
        <v>15.23</v>
      </c>
      <c r="M323" s="18">
        <v>304.38</v>
      </c>
      <c r="N323" s="23">
        <f t="shared" si="9"/>
        <v>17482.999999999996</v>
      </c>
      <c r="O323" s="24">
        <f t="shared" si="8"/>
        <v>32.299999999999997</v>
      </c>
    </row>
    <row r="324" spans="1:15" ht="58" x14ac:dyDescent="0.35">
      <c r="A324" s="12" t="s">
        <v>874</v>
      </c>
      <c r="B324" s="12" t="s">
        <v>875</v>
      </c>
      <c r="C324" s="12" t="s">
        <v>37</v>
      </c>
      <c r="D324" s="12" t="s">
        <v>876</v>
      </c>
      <c r="E324" s="18">
        <v>95.53</v>
      </c>
      <c r="F324" s="19">
        <v>0.4</v>
      </c>
      <c r="G324" s="18">
        <v>84.23</v>
      </c>
      <c r="H324" s="18">
        <v>42.85</v>
      </c>
      <c r="I324" s="18">
        <v>10</v>
      </c>
      <c r="J324" s="18">
        <v>102</v>
      </c>
      <c r="K324" s="18">
        <v>23.65</v>
      </c>
      <c r="L324" s="18">
        <v>42.27</v>
      </c>
      <c r="M324" s="18">
        <v>305</v>
      </c>
      <c r="N324" s="23">
        <f t="shared" si="9"/>
        <v>17483.399999999998</v>
      </c>
      <c r="O324" s="24">
        <f t="shared" si="8"/>
        <v>0.4</v>
      </c>
    </row>
    <row r="325" spans="1:15" ht="29" x14ac:dyDescent="0.35">
      <c r="A325" s="12" t="s">
        <v>877</v>
      </c>
      <c r="B325" s="12" t="s">
        <v>878</v>
      </c>
      <c r="C325" s="12" t="s">
        <v>37</v>
      </c>
      <c r="D325" s="12" t="s">
        <v>101</v>
      </c>
      <c r="E325" s="18">
        <v>95.53</v>
      </c>
      <c r="F325" s="19">
        <v>0.2</v>
      </c>
      <c r="G325" s="18">
        <v>98.79</v>
      </c>
      <c r="H325" s="18">
        <v>55.98</v>
      </c>
      <c r="I325" s="18">
        <v>8.9499999999999993</v>
      </c>
      <c r="J325" s="18">
        <v>75.849999999999994</v>
      </c>
      <c r="K325" s="18">
        <v>22.85</v>
      </c>
      <c r="L325" s="18">
        <v>43.13</v>
      </c>
      <c r="M325" s="18">
        <v>305.56</v>
      </c>
      <c r="N325" s="23">
        <f t="shared" si="9"/>
        <v>17483.599999999999</v>
      </c>
      <c r="O325" s="24">
        <f t="shared" si="8"/>
        <v>0.2</v>
      </c>
    </row>
    <row r="326" spans="1:15" ht="29" x14ac:dyDescent="0.35">
      <c r="A326" s="12" t="s">
        <v>879</v>
      </c>
      <c r="B326" s="12" t="s">
        <v>880</v>
      </c>
      <c r="C326" s="12" t="s">
        <v>111</v>
      </c>
      <c r="D326" s="12" t="s">
        <v>881</v>
      </c>
      <c r="E326" s="18">
        <v>95.54</v>
      </c>
      <c r="F326" s="19">
        <v>13.4</v>
      </c>
      <c r="G326" s="18">
        <v>119.41</v>
      </c>
      <c r="H326" s="18">
        <v>29.46</v>
      </c>
      <c r="I326" s="18">
        <v>16.84</v>
      </c>
      <c r="J326" s="18">
        <v>88.83</v>
      </c>
      <c r="K326" s="18">
        <v>43.04</v>
      </c>
      <c r="L326" s="18">
        <v>8.85</v>
      </c>
      <c r="M326" s="18">
        <v>306.43</v>
      </c>
      <c r="N326" s="23">
        <f t="shared" si="9"/>
        <v>17497</v>
      </c>
      <c r="O326" s="24">
        <f t="shared" si="8"/>
        <v>13.4</v>
      </c>
    </row>
    <row r="327" spans="1:15" ht="43.5" x14ac:dyDescent="0.35">
      <c r="A327" s="12" t="s">
        <v>882</v>
      </c>
      <c r="B327" s="12" t="s">
        <v>883</v>
      </c>
      <c r="C327" s="12" t="s">
        <v>37</v>
      </c>
      <c r="D327" s="12" t="s">
        <v>884</v>
      </c>
      <c r="E327" s="18">
        <v>95.61</v>
      </c>
      <c r="F327" s="19">
        <v>0.9</v>
      </c>
      <c r="G327" s="18">
        <v>99.65</v>
      </c>
      <c r="H327" s="18">
        <v>67.849999999999994</v>
      </c>
      <c r="I327" s="18">
        <v>7.18</v>
      </c>
      <c r="J327" s="18">
        <v>76.73</v>
      </c>
      <c r="K327" s="18">
        <v>23.9</v>
      </c>
      <c r="L327" s="18">
        <v>32.21</v>
      </c>
      <c r="M327" s="18">
        <v>307.52999999999997</v>
      </c>
      <c r="N327" s="23">
        <f t="shared" si="9"/>
        <v>17497.900000000001</v>
      </c>
      <c r="O327" s="24">
        <f t="shared" si="8"/>
        <v>0.9</v>
      </c>
    </row>
    <row r="328" spans="1:15" ht="58" x14ac:dyDescent="0.35">
      <c r="A328" s="12" t="s">
        <v>885</v>
      </c>
      <c r="B328" s="12" t="s">
        <v>886</v>
      </c>
      <c r="C328" s="12" t="s">
        <v>37</v>
      </c>
      <c r="D328" s="12" t="s">
        <v>621</v>
      </c>
      <c r="E328" s="18">
        <v>95.61</v>
      </c>
      <c r="F328" s="19">
        <v>1</v>
      </c>
      <c r="G328" s="18">
        <v>152.44</v>
      </c>
      <c r="H328" s="18">
        <v>43.26</v>
      </c>
      <c r="I328" s="18">
        <v>7.78</v>
      </c>
      <c r="J328" s="18">
        <v>55.73</v>
      </c>
      <c r="K328" s="18">
        <v>22.92</v>
      </c>
      <c r="L328" s="18">
        <v>27.86</v>
      </c>
      <c r="M328" s="18">
        <v>310</v>
      </c>
      <c r="N328" s="23">
        <f t="shared" si="9"/>
        <v>17498.900000000001</v>
      </c>
      <c r="O328" s="24">
        <f t="shared" si="8"/>
        <v>1</v>
      </c>
    </row>
    <row r="329" spans="1:15" ht="43.5" x14ac:dyDescent="0.35">
      <c r="A329" s="12" t="s">
        <v>887</v>
      </c>
      <c r="B329" s="12" t="s">
        <v>888</v>
      </c>
      <c r="C329" s="12" t="s">
        <v>130</v>
      </c>
      <c r="D329" s="12" t="s">
        <v>889</v>
      </c>
      <c r="E329" s="18">
        <v>95.62</v>
      </c>
      <c r="F329" s="19">
        <v>1.8</v>
      </c>
      <c r="G329" s="18">
        <v>122.45</v>
      </c>
      <c r="H329" s="18">
        <v>12.39</v>
      </c>
      <c r="I329" s="18">
        <v>1.77</v>
      </c>
      <c r="J329" s="18">
        <v>32.1</v>
      </c>
      <c r="K329" s="18">
        <v>126.8</v>
      </c>
      <c r="L329" s="18">
        <v>14.95</v>
      </c>
      <c r="M329" s="18">
        <v>310.45999999999998</v>
      </c>
      <c r="N329" s="23">
        <f t="shared" si="9"/>
        <v>17500.7</v>
      </c>
      <c r="O329" s="24">
        <f t="shared" si="8"/>
        <v>1.8</v>
      </c>
    </row>
    <row r="330" spans="1:15" ht="58" x14ac:dyDescent="0.35">
      <c r="A330" s="12" t="s">
        <v>890</v>
      </c>
      <c r="B330" s="12" t="s">
        <v>891</v>
      </c>
      <c r="C330" s="12" t="s">
        <v>90</v>
      </c>
      <c r="D330" s="12" t="s">
        <v>892</v>
      </c>
      <c r="E330" s="18">
        <v>95.63</v>
      </c>
      <c r="F330" s="19">
        <v>66.3</v>
      </c>
      <c r="G330" s="18">
        <v>63.65</v>
      </c>
      <c r="H330" s="18">
        <v>89.25</v>
      </c>
      <c r="I330" s="18">
        <v>6.17</v>
      </c>
      <c r="J330" s="18">
        <v>89.43</v>
      </c>
      <c r="K330" s="18">
        <v>42.57</v>
      </c>
      <c r="L330" s="18">
        <v>19.87</v>
      </c>
      <c r="M330" s="18">
        <v>310.93</v>
      </c>
      <c r="N330" s="23">
        <f t="shared" si="9"/>
        <v>17567</v>
      </c>
      <c r="O330" s="24">
        <f t="shared" si="8"/>
        <v>66.3</v>
      </c>
    </row>
    <row r="331" spans="1:15" ht="43.5" x14ac:dyDescent="0.35">
      <c r="A331" s="12" t="s">
        <v>893</v>
      </c>
      <c r="B331" s="12" t="s">
        <v>894</v>
      </c>
      <c r="C331" s="12" t="s">
        <v>104</v>
      </c>
      <c r="D331" s="12" t="s">
        <v>374</v>
      </c>
      <c r="E331" s="18">
        <v>95.99</v>
      </c>
      <c r="F331" s="19">
        <v>35.700000000000003</v>
      </c>
      <c r="G331" s="18">
        <v>58.04</v>
      </c>
      <c r="H331" s="18">
        <v>51.19</v>
      </c>
      <c r="I331" s="18">
        <v>21.99</v>
      </c>
      <c r="J331" s="18">
        <v>147.01</v>
      </c>
      <c r="K331" s="18">
        <v>33.57</v>
      </c>
      <c r="L331" s="18">
        <v>0</v>
      </c>
      <c r="M331" s="18">
        <v>311.8</v>
      </c>
      <c r="N331" s="23">
        <f t="shared" si="9"/>
        <v>17602.7</v>
      </c>
      <c r="O331" s="24">
        <f t="shared" si="8"/>
        <v>35.700000000000003</v>
      </c>
    </row>
    <row r="332" spans="1:15" ht="43.5" x14ac:dyDescent="0.35">
      <c r="A332" s="12" t="s">
        <v>895</v>
      </c>
      <c r="B332" s="12" t="s">
        <v>896</v>
      </c>
      <c r="C332" s="12" t="s">
        <v>37</v>
      </c>
      <c r="D332" s="12" t="s">
        <v>897</v>
      </c>
      <c r="E332" s="18">
        <v>96.19</v>
      </c>
      <c r="F332" s="19">
        <v>0.2</v>
      </c>
      <c r="G332" s="18">
        <v>78.010000000000005</v>
      </c>
      <c r="H332" s="18">
        <v>64.290000000000006</v>
      </c>
      <c r="I332" s="18">
        <v>10.87</v>
      </c>
      <c r="J332" s="18">
        <v>92.14</v>
      </c>
      <c r="K332" s="18">
        <v>36.21</v>
      </c>
      <c r="L332" s="18">
        <v>31.07</v>
      </c>
      <c r="M332" s="18">
        <v>312.58999999999997</v>
      </c>
      <c r="N332" s="23">
        <f t="shared" si="9"/>
        <v>17602.900000000001</v>
      </c>
      <c r="O332" s="24">
        <f t="shared" si="8"/>
        <v>0.2</v>
      </c>
    </row>
    <row r="333" spans="1:15" ht="116" x14ac:dyDescent="0.35">
      <c r="A333" s="12" t="s">
        <v>898</v>
      </c>
      <c r="B333" s="12" t="s">
        <v>899</v>
      </c>
      <c r="C333" s="12" t="s">
        <v>111</v>
      </c>
      <c r="D333" s="12" t="s">
        <v>900</v>
      </c>
      <c r="E333" s="18">
        <v>96.19</v>
      </c>
      <c r="F333" s="19">
        <v>42.7</v>
      </c>
      <c r="G333" s="18">
        <v>46.55</v>
      </c>
      <c r="H333" s="18">
        <v>86.23</v>
      </c>
      <c r="I333" s="18">
        <v>42.79</v>
      </c>
      <c r="J333" s="18">
        <v>98.55</v>
      </c>
      <c r="K333" s="18">
        <v>36.08</v>
      </c>
      <c r="L333" s="18">
        <v>3.16</v>
      </c>
      <c r="M333" s="18">
        <v>313.36</v>
      </c>
      <c r="N333" s="23">
        <f t="shared" si="9"/>
        <v>17645.600000000002</v>
      </c>
      <c r="O333" s="24">
        <f t="shared" si="8"/>
        <v>42.7</v>
      </c>
    </row>
    <row r="334" spans="1:15" ht="58" x14ac:dyDescent="0.35">
      <c r="A334" s="12" t="s">
        <v>901</v>
      </c>
      <c r="B334" s="12" t="s">
        <v>902</v>
      </c>
      <c r="C334" s="12" t="s">
        <v>80</v>
      </c>
      <c r="D334" s="12" t="s">
        <v>903</v>
      </c>
      <c r="E334" s="18">
        <v>96.42</v>
      </c>
      <c r="F334" s="19">
        <v>37.4</v>
      </c>
      <c r="G334" s="18">
        <v>50.18</v>
      </c>
      <c r="H334" s="18">
        <v>81.569999999999993</v>
      </c>
      <c r="I334" s="18">
        <v>33.950000000000003</v>
      </c>
      <c r="J334" s="18">
        <v>100.89</v>
      </c>
      <c r="K334" s="18">
        <v>44.5</v>
      </c>
      <c r="L334" s="18">
        <v>2.79</v>
      </c>
      <c r="M334" s="18">
        <v>313.88</v>
      </c>
      <c r="N334" s="23">
        <f t="shared" si="9"/>
        <v>17683.000000000004</v>
      </c>
      <c r="O334" s="24">
        <f t="shared" si="8"/>
        <v>37.4</v>
      </c>
    </row>
    <row r="335" spans="1:15" ht="29" x14ac:dyDescent="0.35">
      <c r="A335" s="12" t="s">
        <v>904</v>
      </c>
      <c r="B335" s="12" t="s">
        <v>905</v>
      </c>
      <c r="C335" s="12" t="s">
        <v>130</v>
      </c>
      <c r="D335" s="12" t="s">
        <v>906</v>
      </c>
      <c r="E335" s="18">
        <v>96.63</v>
      </c>
      <c r="F335" s="19">
        <v>16</v>
      </c>
      <c r="G335" s="18">
        <v>108.91</v>
      </c>
      <c r="H335" s="18">
        <v>62.44</v>
      </c>
      <c r="I335" s="18">
        <v>4.08</v>
      </c>
      <c r="J335" s="18">
        <v>89.03</v>
      </c>
      <c r="K335" s="18">
        <v>33.520000000000003</v>
      </c>
      <c r="L335" s="18">
        <v>16.399999999999999</v>
      </c>
      <c r="M335" s="18">
        <v>314.38</v>
      </c>
      <c r="N335" s="23">
        <f t="shared" si="9"/>
        <v>17699.000000000004</v>
      </c>
      <c r="O335" s="24">
        <f t="shared" si="8"/>
        <v>16</v>
      </c>
    </row>
    <row r="336" spans="1:15" ht="29" x14ac:dyDescent="0.35">
      <c r="A336" s="12" t="s">
        <v>907</v>
      </c>
      <c r="B336" s="12" t="s">
        <v>908</v>
      </c>
      <c r="C336" s="12" t="s">
        <v>37</v>
      </c>
      <c r="D336" s="12" t="s">
        <v>835</v>
      </c>
      <c r="E336" s="18">
        <v>96.71</v>
      </c>
      <c r="F336" s="19">
        <v>0.7</v>
      </c>
      <c r="G336" s="18">
        <v>78.17</v>
      </c>
      <c r="H336" s="18">
        <v>66.239999999999995</v>
      </c>
      <c r="I336" s="18">
        <v>17.91</v>
      </c>
      <c r="J336" s="18">
        <v>78.680000000000007</v>
      </c>
      <c r="K336" s="18">
        <v>26.52</v>
      </c>
      <c r="L336" s="18">
        <v>48.83</v>
      </c>
      <c r="M336" s="18">
        <v>316.33999999999997</v>
      </c>
      <c r="N336" s="23">
        <f t="shared" si="9"/>
        <v>17699.700000000004</v>
      </c>
      <c r="O336" s="24">
        <f t="shared" ref="O336:O399" si="10">F336</f>
        <v>0.7</v>
      </c>
    </row>
    <row r="337" spans="1:15" ht="43.5" x14ac:dyDescent="0.35">
      <c r="A337" s="12" t="s">
        <v>909</v>
      </c>
      <c r="B337" s="12" t="s">
        <v>910</v>
      </c>
      <c r="C337" s="12" t="s">
        <v>114</v>
      </c>
      <c r="D337" s="12" t="s">
        <v>911</v>
      </c>
      <c r="E337" s="18">
        <v>96.72</v>
      </c>
      <c r="F337" s="19">
        <v>19.5</v>
      </c>
      <c r="G337" s="18">
        <v>102.15</v>
      </c>
      <c r="H337" s="18">
        <v>30.52</v>
      </c>
      <c r="I337" s="18">
        <v>4.92</v>
      </c>
      <c r="J337" s="18">
        <v>121.13</v>
      </c>
      <c r="K337" s="18">
        <v>34.68</v>
      </c>
      <c r="L337" s="18">
        <v>24.33</v>
      </c>
      <c r="M337" s="18">
        <v>317.72000000000003</v>
      </c>
      <c r="N337" s="23">
        <f t="shared" ref="N337:N400" si="11">F337+N336</f>
        <v>17719.200000000004</v>
      </c>
      <c r="O337" s="24">
        <f t="shared" si="10"/>
        <v>19.5</v>
      </c>
    </row>
    <row r="338" spans="1:15" ht="43.5" x14ac:dyDescent="0.35">
      <c r="A338" s="12" t="s">
        <v>912</v>
      </c>
      <c r="B338" s="12" t="s">
        <v>913</v>
      </c>
      <c r="C338" s="12" t="s">
        <v>712</v>
      </c>
      <c r="D338" s="12" t="s">
        <v>914</v>
      </c>
      <c r="E338" s="18">
        <v>96.82</v>
      </c>
      <c r="F338" s="19">
        <v>49.8</v>
      </c>
      <c r="G338" s="18">
        <v>34.35</v>
      </c>
      <c r="H338" s="18">
        <v>69.33</v>
      </c>
      <c r="I338" s="18">
        <v>61.98</v>
      </c>
      <c r="J338" s="18">
        <v>112.47</v>
      </c>
      <c r="K338" s="18">
        <v>40.6</v>
      </c>
      <c r="L338" s="18">
        <v>0</v>
      </c>
      <c r="M338" s="18">
        <v>318.73</v>
      </c>
      <c r="N338" s="23">
        <f t="shared" si="11"/>
        <v>17769.000000000004</v>
      </c>
      <c r="O338" s="24">
        <f t="shared" si="10"/>
        <v>49.8</v>
      </c>
    </row>
    <row r="339" spans="1:15" ht="43.5" x14ac:dyDescent="0.35">
      <c r="A339" s="12" t="s">
        <v>915</v>
      </c>
      <c r="B339" s="12" t="s">
        <v>916</v>
      </c>
      <c r="C339" s="12" t="s">
        <v>80</v>
      </c>
      <c r="D339" s="12" t="s">
        <v>537</v>
      </c>
      <c r="E339" s="18">
        <v>97.1</v>
      </c>
      <c r="F339" s="19">
        <v>15.1</v>
      </c>
      <c r="G339" s="18">
        <v>49.97</v>
      </c>
      <c r="H339" s="18">
        <v>171</v>
      </c>
      <c r="I339" s="18">
        <v>10.99</v>
      </c>
      <c r="J339" s="18">
        <v>41.07</v>
      </c>
      <c r="K339" s="18">
        <v>32.340000000000003</v>
      </c>
      <c r="L339" s="18">
        <v>13.82</v>
      </c>
      <c r="M339" s="18">
        <v>319.2</v>
      </c>
      <c r="N339" s="23">
        <f t="shared" si="11"/>
        <v>17784.100000000002</v>
      </c>
      <c r="O339" s="24">
        <f t="shared" si="10"/>
        <v>15.1</v>
      </c>
    </row>
    <row r="340" spans="1:15" ht="43.5" x14ac:dyDescent="0.35">
      <c r="A340" s="12" t="s">
        <v>917</v>
      </c>
      <c r="B340" s="12" t="s">
        <v>918</v>
      </c>
      <c r="C340" s="12" t="s">
        <v>37</v>
      </c>
      <c r="D340" s="12" t="s">
        <v>919</v>
      </c>
      <c r="E340" s="18">
        <v>97.18</v>
      </c>
      <c r="F340" s="19">
        <v>1.2</v>
      </c>
      <c r="G340" s="18">
        <v>76.260000000000005</v>
      </c>
      <c r="H340" s="18">
        <v>77.22</v>
      </c>
      <c r="I340" s="18">
        <v>15.45</v>
      </c>
      <c r="J340" s="18">
        <v>89.03</v>
      </c>
      <c r="K340" s="18">
        <v>16.63</v>
      </c>
      <c r="L340" s="18">
        <v>46.22</v>
      </c>
      <c r="M340" s="18">
        <v>320.81</v>
      </c>
      <c r="N340" s="23">
        <f t="shared" si="11"/>
        <v>17785.300000000003</v>
      </c>
      <c r="O340" s="24">
        <f t="shared" si="10"/>
        <v>1.2</v>
      </c>
    </row>
    <row r="341" spans="1:15" ht="58" x14ac:dyDescent="0.35">
      <c r="A341" s="12" t="s">
        <v>920</v>
      </c>
      <c r="B341" s="12" t="s">
        <v>921</v>
      </c>
      <c r="C341" s="12" t="s">
        <v>111</v>
      </c>
      <c r="D341" s="12" t="s">
        <v>922</v>
      </c>
      <c r="E341" s="18">
        <v>97.18</v>
      </c>
      <c r="F341" s="19">
        <v>29.2</v>
      </c>
      <c r="G341" s="18">
        <v>105.54</v>
      </c>
      <c r="H341" s="18">
        <v>41.97</v>
      </c>
      <c r="I341" s="18">
        <v>20.3</v>
      </c>
      <c r="J341" s="18">
        <v>90.13</v>
      </c>
      <c r="K341" s="18">
        <v>56.09</v>
      </c>
      <c r="L341" s="18">
        <v>6.91</v>
      </c>
      <c r="M341" s="18">
        <v>320.94</v>
      </c>
      <c r="N341" s="23">
        <f t="shared" si="11"/>
        <v>17814.500000000004</v>
      </c>
      <c r="O341" s="24">
        <f t="shared" si="10"/>
        <v>29.2</v>
      </c>
    </row>
    <row r="342" spans="1:15" ht="43.5" x14ac:dyDescent="0.35">
      <c r="A342" s="12" t="s">
        <v>923</v>
      </c>
      <c r="B342" s="12" t="s">
        <v>924</v>
      </c>
      <c r="C342" s="12" t="s">
        <v>69</v>
      </c>
      <c r="D342" s="12" t="s">
        <v>925</v>
      </c>
      <c r="E342" s="18">
        <v>97.34</v>
      </c>
      <c r="F342" s="19">
        <v>0.3</v>
      </c>
      <c r="G342" s="18">
        <v>4.66</v>
      </c>
      <c r="H342" s="18">
        <v>126.1</v>
      </c>
      <c r="I342" s="18">
        <v>10.47</v>
      </c>
      <c r="J342" s="18">
        <v>79.03</v>
      </c>
      <c r="K342" s="18">
        <v>100.14</v>
      </c>
      <c r="L342" s="18">
        <v>1.1200000000000001</v>
      </c>
      <c r="M342" s="18">
        <v>321.51</v>
      </c>
      <c r="N342" s="23">
        <f t="shared" si="11"/>
        <v>17814.800000000003</v>
      </c>
      <c r="O342" s="24">
        <f t="shared" si="10"/>
        <v>0.3</v>
      </c>
    </row>
    <row r="343" spans="1:15" ht="29" x14ac:dyDescent="0.35">
      <c r="A343" s="12" t="s">
        <v>926</v>
      </c>
      <c r="B343" s="12" t="s">
        <v>927</v>
      </c>
      <c r="C343" s="12" t="s">
        <v>37</v>
      </c>
      <c r="D343" s="12" t="s">
        <v>928</v>
      </c>
      <c r="E343" s="18">
        <v>97.35</v>
      </c>
      <c r="F343" s="19">
        <v>5.7</v>
      </c>
      <c r="G343" s="18">
        <v>88.96</v>
      </c>
      <c r="H343" s="18">
        <v>69.23</v>
      </c>
      <c r="I343" s="18">
        <v>16.61</v>
      </c>
      <c r="J343" s="18">
        <v>81.28</v>
      </c>
      <c r="K343" s="18">
        <v>24.41</v>
      </c>
      <c r="L343" s="18">
        <v>41.72</v>
      </c>
      <c r="M343" s="18">
        <v>322.20999999999998</v>
      </c>
      <c r="N343" s="23">
        <f t="shared" si="11"/>
        <v>17820.500000000004</v>
      </c>
      <c r="O343" s="24">
        <f t="shared" si="10"/>
        <v>5.7</v>
      </c>
    </row>
    <row r="344" spans="1:15" ht="43.5" x14ac:dyDescent="0.35">
      <c r="A344" s="12" t="s">
        <v>929</v>
      </c>
      <c r="B344" s="12" t="s">
        <v>930</v>
      </c>
      <c r="C344" s="12" t="s">
        <v>37</v>
      </c>
      <c r="D344" s="12" t="s">
        <v>931</v>
      </c>
      <c r="E344" s="18">
        <v>97.38</v>
      </c>
      <c r="F344" s="19">
        <v>0.2</v>
      </c>
      <c r="G344" s="18">
        <v>67</v>
      </c>
      <c r="H344" s="18">
        <v>53.84</v>
      </c>
      <c r="I344" s="18">
        <v>15.55</v>
      </c>
      <c r="J344" s="18">
        <v>92.17</v>
      </c>
      <c r="K344" s="18">
        <v>34.99</v>
      </c>
      <c r="L344" s="18">
        <v>61.59</v>
      </c>
      <c r="M344" s="18">
        <v>325.14</v>
      </c>
      <c r="N344" s="23">
        <f t="shared" si="11"/>
        <v>17820.700000000004</v>
      </c>
      <c r="O344" s="24">
        <f t="shared" si="10"/>
        <v>0.2</v>
      </c>
    </row>
    <row r="345" spans="1:15" ht="43.5" x14ac:dyDescent="0.35">
      <c r="A345" s="12" t="s">
        <v>932</v>
      </c>
      <c r="B345" s="12" t="s">
        <v>933</v>
      </c>
      <c r="C345" s="12" t="s">
        <v>37</v>
      </c>
      <c r="D345" s="12" t="s">
        <v>934</v>
      </c>
      <c r="E345" s="18">
        <v>97.38</v>
      </c>
      <c r="F345" s="19">
        <v>5.9</v>
      </c>
      <c r="G345" s="18">
        <v>42.66</v>
      </c>
      <c r="H345" s="18">
        <v>92.37</v>
      </c>
      <c r="I345" s="18">
        <v>16.09</v>
      </c>
      <c r="J345" s="18">
        <v>68.489999999999995</v>
      </c>
      <c r="K345" s="18">
        <v>62.87</v>
      </c>
      <c r="L345" s="18">
        <v>44.84</v>
      </c>
      <c r="M345" s="18">
        <v>327.32</v>
      </c>
      <c r="N345" s="23">
        <f t="shared" si="11"/>
        <v>17826.600000000006</v>
      </c>
      <c r="O345" s="24">
        <f t="shared" si="10"/>
        <v>5.9</v>
      </c>
    </row>
    <row r="346" spans="1:15" ht="58" x14ac:dyDescent="0.35">
      <c r="A346" s="12" t="s">
        <v>935</v>
      </c>
      <c r="B346" s="12" t="s">
        <v>936</v>
      </c>
      <c r="C346" s="12" t="s">
        <v>27</v>
      </c>
      <c r="D346" s="12" t="s">
        <v>937</v>
      </c>
      <c r="E346" s="18">
        <v>97.41</v>
      </c>
      <c r="F346" s="19">
        <v>38.1</v>
      </c>
      <c r="G346" s="18">
        <v>75.099999999999994</v>
      </c>
      <c r="H346" s="18">
        <v>117.59</v>
      </c>
      <c r="I346" s="18">
        <v>55.64</v>
      </c>
      <c r="J346" s="18">
        <v>44.23</v>
      </c>
      <c r="K346" s="18">
        <v>13.9</v>
      </c>
      <c r="L346" s="18">
        <v>21.64</v>
      </c>
      <c r="M346" s="18">
        <v>328.09</v>
      </c>
      <c r="N346" s="23">
        <f t="shared" si="11"/>
        <v>17864.700000000004</v>
      </c>
      <c r="O346" s="24">
        <f t="shared" si="10"/>
        <v>38.1</v>
      </c>
    </row>
    <row r="347" spans="1:15" ht="29" x14ac:dyDescent="0.35">
      <c r="A347" s="12" t="s">
        <v>938</v>
      </c>
      <c r="B347" s="12" t="s">
        <v>939</v>
      </c>
      <c r="C347" s="12" t="s">
        <v>37</v>
      </c>
      <c r="D347" s="12" t="s">
        <v>940</v>
      </c>
      <c r="E347" s="18">
        <v>97.62</v>
      </c>
      <c r="F347" s="19">
        <v>0.3</v>
      </c>
      <c r="G347" s="18">
        <v>103.42</v>
      </c>
      <c r="H347" s="18">
        <v>77.84</v>
      </c>
      <c r="I347" s="18">
        <v>10.61</v>
      </c>
      <c r="J347" s="18">
        <v>76.8</v>
      </c>
      <c r="K347" s="18">
        <v>21.26</v>
      </c>
      <c r="L347" s="18">
        <v>39.659999999999997</v>
      </c>
      <c r="M347" s="18">
        <v>329.59</v>
      </c>
      <c r="N347" s="23">
        <f t="shared" si="11"/>
        <v>17865.000000000004</v>
      </c>
      <c r="O347" s="24">
        <f t="shared" si="10"/>
        <v>0.3</v>
      </c>
    </row>
    <row r="348" spans="1:15" ht="29" x14ac:dyDescent="0.35">
      <c r="A348" s="12" t="s">
        <v>941</v>
      </c>
      <c r="B348" s="12" t="s">
        <v>942</v>
      </c>
      <c r="C348" s="12" t="s">
        <v>37</v>
      </c>
      <c r="D348" s="12" t="s">
        <v>943</v>
      </c>
      <c r="E348" s="18">
        <v>97.62</v>
      </c>
      <c r="F348" s="19">
        <v>20.399999999999999</v>
      </c>
      <c r="G348" s="18">
        <v>45.16</v>
      </c>
      <c r="H348" s="18">
        <v>103.2</v>
      </c>
      <c r="I348" s="18">
        <v>24.32</v>
      </c>
      <c r="J348" s="18">
        <v>86.51</v>
      </c>
      <c r="K348" s="18">
        <v>23.48</v>
      </c>
      <c r="L348" s="18">
        <v>47.04</v>
      </c>
      <c r="M348" s="18">
        <v>329.72</v>
      </c>
      <c r="N348" s="23">
        <f t="shared" si="11"/>
        <v>17885.400000000005</v>
      </c>
      <c r="O348" s="24">
        <f t="shared" si="10"/>
        <v>20.399999999999999</v>
      </c>
    </row>
    <row r="349" spans="1:15" ht="43.5" x14ac:dyDescent="0.35">
      <c r="A349" s="12" t="s">
        <v>944</v>
      </c>
      <c r="B349" s="12" t="s">
        <v>945</v>
      </c>
      <c r="C349" s="12" t="s">
        <v>80</v>
      </c>
      <c r="D349" s="12" t="s">
        <v>946</v>
      </c>
      <c r="E349" s="18">
        <v>97.73</v>
      </c>
      <c r="F349" s="19">
        <v>27.8</v>
      </c>
      <c r="G349" s="18">
        <v>22.97</v>
      </c>
      <c r="H349" s="18">
        <v>53.7</v>
      </c>
      <c r="I349" s="18">
        <v>59.43</v>
      </c>
      <c r="J349" s="18">
        <v>40.909999999999997</v>
      </c>
      <c r="K349" s="18">
        <v>40.340000000000003</v>
      </c>
      <c r="L349" s="18">
        <v>114.56</v>
      </c>
      <c r="M349" s="18">
        <v>331.91</v>
      </c>
      <c r="N349" s="23">
        <f t="shared" si="11"/>
        <v>17913.200000000004</v>
      </c>
      <c r="O349" s="24">
        <f t="shared" si="10"/>
        <v>27.8</v>
      </c>
    </row>
    <row r="350" spans="1:15" ht="29" x14ac:dyDescent="0.35">
      <c r="A350" s="12" t="s">
        <v>947</v>
      </c>
      <c r="B350" s="12" t="s">
        <v>948</v>
      </c>
      <c r="C350" s="12" t="s">
        <v>564</v>
      </c>
      <c r="D350" s="12" t="s">
        <v>949</v>
      </c>
      <c r="E350" s="18">
        <v>97.88</v>
      </c>
      <c r="F350" s="19">
        <v>35.700000000000003</v>
      </c>
      <c r="G350" s="18">
        <v>75.489999999999995</v>
      </c>
      <c r="H350" s="18">
        <v>142.43</v>
      </c>
      <c r="I350" s="18">
        <v>42.7</v>
      </c>
      <c r="J350" s="18">
        <v>48.04</v>
      </c>
      <c r="K350" s="18">
        <v>19.600000000000001</v>
      </c>
      <c r="L350" s="18">
        <v>5.73</v>
      </c>
      <c r="M350" s="18">
        <v>334</v>
      </c>
      <c r="N350" s="23">
        <f t="shared" si="11"/>
        <v>17948.900000000005</v>
      </c>
      <c r="O350" s="24">
        <f t="shared" si="10"/>
        <v>35.700000000000003</v>
      </c>
    </row>
    <row r="351" spans="1:15" ht="58" x14ac:dyDescent="0.35">
      <c r="A351" s="12" t="s">
        <v>950</v>
      </c>
      <c r="B351" s="12" t="s">
        <v>951</v>
      </c>
      <c r="C351" s="12" t="s">
        <v>37</v>
      </c>
      <c r="D351" s="12" t="s">
        <v>952</v>
      </c>
      <c r="E351" s="18">
        <v>98.08</v>
      </c>
      <c r="F351" s="19">
        <v>0.4</v>
      </c>
      <c r="G351" s="18">
        <v>98.91</v>
      </c>
      <c r="H351" s="18">
        <v>36.32</v>
      </c>
      <c r="I351" s="18">
        <v>11.31</v>
      </c>
      <c r="J351" s="18">
        <v>120.6</v>
      </c>
      <c r="K351" s="18">
        <v>26.52</v>
      </c>
      <c r="L351" s="18">
        <v>40.85</v>
      </c>
      <c r="M351" s="18">
        <v>334.52</v>
      </c>
      <c r="N351" s="23">
        <f t="shared" si="11"/>
        <v>17949.300000000007</v>
      </c>
      <c r="O351" s="24">
        <f t="shared" si="10"/>
        <v>0.4</v>
      </c>
    </row>
    <row r="352" spans="1:15" ht="72.5" x14ac:dyDescent="0.35">
      <c r="A352" s="12" t="s">
        <v>953</v>
      </c>
      <c r="B352" s="12" t="s">
        <v>954</v>
      </c>
      <c r="C352" s="12" t="s">
        <v>56</v>
      </c>
      <c r="D352" s="12" t="s">
        <v>955</v>
      </c>
      <c r="E352" s="18">
        <v>98.08</v>
      </c>
      <c r="F352" s="19">
        <v>0.7</v>
      </c>
      <c r="G352" s="18">
        <v>71.64</v>
      </c>
      <c r="H352" s="18">
        <v>126.43</v>
      </c>
      <c r="I352" s="18">
        <v>26.09</v>
      </c>
      <c r="J352" s="18">
        <v>69.010000000000005</v>
      </c>
      <c r="K352" s="18">
        <v>21.51</v>
      </c>
      <c r="L352" s="18">
        <v>20.09</v>
      </c>
      <c r="M352" s="18">
        <v>334.77</v>
      </c>
      <c r="N352" s="23">
        <f t="shared" si="11"/>
        <v>17950.000000000007</v>
      </c>
      <c r="O352" s="24">
        <f t="shared" si="10"/>
        <v>0.7</v>
      </c>
    </row>
    <row r="353" spans="1:15" ht="29" x14ac:dyDescent="0.35">
      <c r="A353" s="12" t="s">
        <v>956</v>
      </c>
      <c r="B353" s="12" t="s">
        <v>957</v>
      </c>
      <c r="C353" s="12" t="s">
        <v>37</v>
      </c>
      <c r="D353" s="12" t="s">
        <v>958</v>
      </c>
      <c r="E353" s="18">
        <v>98.09</v>
      </c>
      <c r="F353" s="19">
        <v>0.6</v>
      </c>
      <c r="G353" s="18">
        <v>68.37</v>
      </c>
      <c r="H353" s="18">
        <v>84.05</v>
      </c>
      <c r="I353" s="18">
        <v>14.01</v>
      </c>
      <c r="J353" s="18">
        <v>88.1</v>
      </c>
      <c r="K353" s="18">
        <v>27.57</v>
      </c>
      <c r="L353" s="18">
        <v>55</v>
      </c>
      <c r="M353" s="18">
        <v>337.11</v>
      </c>
      <c r="N353" s="23">
        <f t="shared" si="11"/>
        <v>17950.600000000006</v>
      </c>
      <c r="O353" s="24">
        <f t="shared" si="10"/>
        <v>0.6</v>
      </c>
    </row>
    <row r="354" spans="1:15" ht="29" x14ac:dyDescent="0.35">
      <c r="A354" s="12" t="s">
        <v>959</v>
      </c>
      <c r="B354" s="12" t="s">
        <v>960</v>
      </c>
      <c r="C354" s="12" t="s">
        <v>130</v>
      </c>
      <c r="D354" s="12" t="s">
        <v>961</v>
      </c>
      <c r="E354" s="18">
        <v>98.09</v>
      </c>
      <c r="F354" s="19">
        <v>16.2</v>
      </c>
      <c r="G354" s="18">
        <v>183.57</v>
      </c>
      <c r="H354" s="18">
        <v>37.36</v>
      </c>
      <c r="I354" s="18">
        <v>3.87</v>
      </c>
      <c r="J354" s="18">
        <v>51.97</v>
      </c>
      <c r="K354" s="18">
        <v>53.33</v>
      </c>
      <c r="L354" s="18">
        <v>10.54</v>
      </c>
      <c r="M354" s="18">
        <v>340.64</v>
      </c>
      <c r="N354" s="23">
        <f t="shared" si="11"/>
        <v>17966.800000000007</v>
      </c>
      <c r="O354" s="24">
        <f t="shared" si="10"/>
        <v>16.2</v>
      </c>
    </row>
    <row r="355" spans="1:15" ht="58" x14ac:dyDescent="0.35">
      <c r="A355" s="12" t="s">
        <v>962</v>
      </c>
      <c r="B355" s="12" t="s">
        <v>963</v>
      </c>
      <c r="C355" s="12" t="s">
        <v>37</v>
      </c>
      <c r="D355" s="12" t="s">
        <v>964</v>
      </c>
      <c r="E355" s="18">
        <v>98.18</v>
      </c>
      <c r="F355" s="19">
        <v>1.1000000000000001</v>
      </c>
      <c r="G355" s="18">
        <v>123.46</v>
      </c>
      <c r="H355" s="18">
        <v>48.01</v>
      </c>
      <c r="I355" s="18">
        <v>8.75</v>
      </c>
      <c r="J355" s="18">
        <v>92.67</v>
      </c>
      <c r="K355" s="18">
        <v>31.39</v>
      </c>
      <c r="L355" s="18">
        <v>37.119999999999997</v>
      </c>
      <c r="M355" s="18">
        <v>341.4</v>
      </c>
      <c r="N355" s="23">
        <f t="shared" si="11"/>
        <v>17967.900000000005</v>
      </c>
      <c r="O355" s="24">
        <f t="shared" si="10"/>
        <v>1.1000000000000001</v>
      </c>
    </row>
    <row r="356" spans="1:15" ht="29" x14ac:dyDescent="0.35">
      <c r="A356" s="12" t="s">
        <v>965</v>
      </c>
      <c r="B356" s="12" t="s">
        <v>966</v>
      </c>
      <c r="C356" s="12" t="s">
        <v>130</v>
      </c>
      <c r="D356" s="12" t="s">
        <v>967</v>
      </c>
      <c r="E356" s="18">
        <v>98.18</v>
      </c>
      <c r="F356" s="19">
        <v>12.3</v>
      </c>
      <c r="G356" s="18">
        <v>109.34</v>
      </c>
      <c r="H356" s="18">
        <v>44.51</v>
      </c>
      <c r="I356" s="18">
        <v>7.88</v>
      </c>
      <c r="J356" s="18">
        <v>113.31</v>
      </c>
      <c r="K356" s="18">
        <v>54.55</v>
      </c>
      <c r="L356" s="18">
        <v>12.01</v>
      </c>
      <c r="M356" s="18">
        <v>341.59</v>
      </c>
      <c r="N356" s="23">
        <f t="shared" si="11"/>
        <v>17980.200000000004</v>
      </c>
      <c r="O356" s="24">
        <f t="shared" si="10"/>
        <v>12.3</v>
      </c>
    </row>
    <row r="357" spans="1:15" ht="87" x14ac:dyDescent="0.35">
      <c r="A357" s="12" t="s">
        <v>968</v>
      </c>
      <c r="B357" s="12" t="s">
        <v>969</v>
      </c>
      <c r="C357" s="12" t="s">
        <v>37</v>
      </c>
      <c r="D357" s="12" t="s">
        <v>84</v>
      </c>
      <c r="E357" s="18">
        <v>98.25</v>
      </c>
      <c r="F357" s="19">
        <v>0</v>
      </c>
      <c r="G357" s="18">
        <v>49.43</v>
      </c>
      <c r="H357" s="18">
        <v>112.86</v>
      </c>
      <c r="I357" s="18">
        <v>9.0500000000000007</v>
      </c>
      <c r="J357" s="18">
        <v>81.95</v>
      </c>
      <c r="K357" s="18">
        <v>22.78</v>
      </c>
      <c r="L357" s="18">
        <v>65.58</v>
      </c>
      <c r="M357" s="18">
        <v>341.66</v>
      </c>
      <c r="N357" s="23">
        <f t="shared" si="11"/>
        <v>17980.200000000004</v>
      </c>
      <c r="O357" s="24">
        <f t="shared" si="10"/>
        <v>0</v>
      </c>
    </row>
    <row r="358" spans="1:15" ht="58" x14ac:dyDescent="0.35">
      <c r="A358" s="12" t="s">
        <v>970</v>
      </c>
      <c r="B358" s="12" t="s">
        <v>971</v>
      </c>
      <c r="C358" s="12" t="s">
        <v>37</v>
      </c>
      <c r="D358" s="12" t="s">
        <v>621</v>
      </c>
      <c r="E358" s="18">
        <v>98.25</v>
      </c>
      <c r="F358" s="19">
        <v>2.2000000000000002</v>
      </c>
      <c r="G358" s="18">
        <v>101.37</v>
      </c>
      <c r="H358" s="18">
        <v>50.67</v>
      </c>
      <c r="I358" s="18">
        <v>13.36</v>
      </c>
      <c r="J358" s="18">
        <v>96.07</v>
      </c>
      <c r="K358" s="18">
        <v>26.68</v>
      </c>
      <c r="L358" s="18">
        <v>55.41</v>
      </c>
      <c r="M358" s="18">
        <v>343.57</v>
      </c>
      <c r="N358" s="23">
        <f t="shared" si="11"/>
        <v>17982.400000000005</v>
      </c>
      <c r="O358" s="24">
        <f t="shared" si="10"/>
        <v>2.2000000000000002</v>
      </c>
    </row>
    <row r="359" spans="1:15" ht="58" x14ac:dyDescent="0.35">
      <c r="A359" s="12" t="s">
        <v>972</v>
      </c>
      <c r="B359" s="12" t="s">
        <v>973</v>
      </c>
      <c r="C359" s="12" t="s">
        <v>37</v>
      </c>
      <c r="D359" s="12" t="s">
        <v>176</v>
      </c>
      <c r="E359" s="18">
        <v>98.26</v>
      </c>
      <c r="F359" s="19">
        <v>1.2</v>
      </c>
      <c r="G359" s="18">
        <v>27.58</v>
      </c>
      <c r="H359" s="18">
        <v>65.349999999999994</v>
      </c>
      <c r="I359" s="18">
        <v>20.49</v>
      </c>
      <c r="J359" s="18">
        <v>135.78</v>
      </c>
      <c r="K359" s="18">
        <v>35.380000000000003</v>
      </c>
      <c r="L359" s="18">
        <v>59.91</v>
      </c>
      <c r="M359" s="18">
        <v>344.5</v>
      </c>
      <c r="N359" s="23">
        <f t="shared" si="11"/>
        <v>17983.600000000006</v>
      </c>
      <c r="O359" s="24">
        <f t="shared" si="10"/>
        <v>1.2</v>
      </c>
    </row>
    <row r="360" spans="1:15" ht="43.5" x14ac:dyDescent="0.35">
      <c r="A360" s="12" t="s">
        <v>974</v>
      </c>
      <c r="B360" s="12" t="s">
        <v>975</v>
      </c>
      <c r="C360" s="12" t="s">
        <v>130</v>
      </c>
      <c r="D360" s="12" t="s">
        <v>976</v>
      </c>
      <c r="E360" s="18">
        <v>98.27</v>
      </c>
      <c r="F360" s="19">
        <v>1.7</v>
      </c>
      <c r="G360" s="18">
        <v>110.63</v>
      </c>
      <c r="H360" s="18">
        <v>88.05</v>
      </c>
      <c r="I360" s="18">
        <v>8.9499999999999993</v>
      </c>
      <c r="J360" s="18">
        <v>94.57</v>
      </c>
      <c r="K360" s="18">
        <v>26.19</v>
      </c>
      <c r="L360" s="18">
        <v>17.010000000000002</v>
      </c>
      <c r="M360" s="18">
        <v>345.4</v>
      </c>
      <c r="N360" s="23">
        <f t="shared" si="11"/>
        <v>17985.300000000007</v>
      </c>
      <c r="O360" s="24">
        <f t="shared" si="10"/>
        <v>1.7</v>
      </c>
    </row>
    <row r="361" spans="1:15" ht="29" x14ac:dyDescent="0.35">
      <c r="A361" s="12" t="s">
        <v>977</v>
      </c>
      <c r="B361" s="12" t="s">
        <v>978</v>
      </c>
      <c r="C361" s="12" t="s">
        <v>37</v>
      </c>
      <c r="D361" s="12" t="s">
        <v>101</v>
      </c>
      <c r="E361" s="18">
        <v>98.28</v>
      </c>
      <c r="F361" s="19">
        <v>0.9</v>
      </c>
      <c r="G361" s="18">
        <v>57.81</v>
      </c>
      <c r="H361" s="18">
        <v>51.91</v>
      </c>
      <c r="I361" s="18">
        <v>31.37</v>
      </c>
      <c r="J361" s="18">
        <v>118.15</v>
      </c>
      <c r="K361" s="18">
        <v>35.78</v>
      </c>
      <c r="L361" s="18">
        <v>52.66</v>
      </c>
      <c r="M361" s="18">
        <v>347.68</v>
      </c>
      <c r="N361" s="23">
        <f t="shared" si="11"/>
        <v>17986.200000000008</v>
      </c>
      <c r="O361" s="24">
        <f t="shared" si="10"/>
        <v>0.9</v>
      </c>
    </row>
    <row r="362" spans="1:15" ht="43.5" x14ac:dyDescent="0.35">
      <c r="A362" s="12" t="s">
        <v>979</v>
      </c>
      <c r="B362" s="12" t="s">
        <v>980</v>
      </c>
      <c r="C362" s="12" t="s">
        <v>37</v>
      </c>
      <c r="D362" s="12" t="s">
        <v>981</v>
      </c>
      <c r="E362" s="18">
        <v>98.28</v>
      </c>
      <c r="F362" s="19">
        <v>1.2</v>
      </c>
      <c r="G362" s="18">
        <v>112.89</v>
      </c>
      <c r="H362" s="18">
        <v>78.790000000000006</v>
      </c>
      <c r="I362" s="18">
        <v>3.09</v>
      </c>
      <c r="J362" s="18">
        <v>97.82</v>
      </c>
      <c r="K362" s="18">
        <v>40.36</v>
      </c>
      <c r="L362" s="18">
        <v>15.02</v>
      </c>
      <c r="M362" s="18">
        <v>347.98</v>
      </c>
      <c r="N362" s="23">
        <f t="shared" si="11"/>
        <v>17987.400000000009</v>
      </c>
      <c r="O362" s="24">
        <f t="shared" si="10"/>
        <v>1.2</v>
      </c>
    </row>
    <row r="363" spans="1:15" ht="130.5" x14ac:dyDescent="0.35">
      <c r="A363" s="12" t="s">
        <v>982</v>
      </c>
      <c r="B363" s="12" t="s">
        <v>983</v>
      </c>
      <c r="C363" s="12" t="s">
        <v>80</v>
      </c>
      <c r="D363" s="12" t="s">
        <v>984</v>
      </c>
      <c r="E363" s="18">
        <v>98.29</v>
      </c>
      <c r="F363" s="19">
        <v>9.6</v>
      </c>
      <c r="G363" s="18">
        <v>120.89</v>
      </c>
      <c r="H363" s="18">
        <v>20.13</v>
      </c>
      <c r="I363" s="18">
        <v>0</v>
      </c>
      <c r="J363" s="18">
        <v>207.44</v>
      </c>
      <c r="K363" s="18">
        <v>0</v>
      </c>
      <c r="L363" s="18">
        <v>0</v>
      </c>
      <c r="M363" s="18">
        <v>348.46</v>
      </c>
      <c r="N363" s="23">
        <f t="shared" si="11"/>
        <v>17997.000000000007</v>
      </c>
      <c r="O363" s="24">
        <f t="shared" si="10"/>
        <v>9.6</v>
      </c>
    </row>
    <row r="364" spans="1:15" ht="43.5" x14ac:dyDescent="0.35">
      <c r="A364" s="12" t="s">
        <v>985</v>
      </c>
      <c r="B364" s="12" t="s">
        <v>986</v>
      </c>
      <c r="C364" s="12" t="s">
        <v>37</v>
      </c>
      <c r="D364" s="12" t="s">
        <v>987</v>
      </c>
      <c r="E364" s="18">
        <v>98.34</v>
      </c>
      <c r="F364" s="19">
        <v>1.8</v>
      </c>
      <c r="G364" s="18">
        <v>57.94</v>
      </c>
      <c r="H364" s="18">
        <v>109.24</v>
      </c>
      <c r="I364" s="18">
        <v>21.88</v>
      </c>
      <c r="J364" s="18">
        <v>78.290000000000006</v>
      </c>
      <c r="K364" s="18">
        <v>38.29</v>
      </c>
      <c r="L364" s="18">
        <v>45.71</v>
      </c>
      <c r="M364" s="18">
        <v>351.36</v>
      </c>
      <c r="N364" s="23">
        <f t="shared" si="11"/>
        <v>17998.800000000007</v>
      </c>
      <c r="O364" s="24">
        <f t="shared" si="10"/>
        <v>1.8</v>
      </c>
    </row>
    <row r="365" spans="1:15" ht="43.5" x14ac:dyDescent="0.35">
      <c r="A365" s="12" t="s">
        <v>988</v>
      </c>
      <c r="B365" s="12" t="s">
        <v>989</v>
      </c>
      <c r="C365" s="12" t="s">
        <v>56</v>
      </c>
      <c r="D365" s="12" t="s">
        <v>518</v>
      </c>
      <c r="E365" s="18">
        <v>98.35</v>
      </c>
      <c r="F365" s="19">
        <v>2.7</v>
      </c>
      <c r="G365" s="18">
        <v>127.45</v>
      </c>
      <c r="H365" s="18">
        <v>89.78</v>
      </c>
      <c r="I365" s="18">
        <v>8.73</v>
      </c>
      <c r="J365" s="18">
        <v>100.34</v>
      </c>
      <c r="K365" s="18">
        <v>24.89</v>
      </c>
      <c r="L365" s="18">
        <v>3.54</v>
      </c>
      <c r="M365" s="18">
        <v>354.73</v>
      </c>
      <c r="N365" s="23">
        <f t="shared" si="11"/>
        <v>18001.500000000007</v>
      </c>
      <c r="O365" s="24">
        <f t="shared" si="10"/>
        <v>2.7</v>
      </c>
    </row>
    <row r="366" spans="1:15" ht="43.5" x14ac:dyDescent="0.35">
      <c r="A366" s="12" t="s">
        <v>990</v>
      </c>
      <c r="B366" s="12" t="s">
        <v>991</v>
      </c>
      <c r="C366" s="12" t="s">
        <v>56</v>
      </c>
      <c r="D366" s="12" t="s">
        <v>518</v>
      </c>
      <c r="E366" s="18">
        <v>98.37</v>
      </c>
      <c r="F366" s="19">
        <v>3.3</v>
      </c>
      <c r="G366" s="18">
        <v>109.06</v>
      </c>
      <c r="H366" s="18">
        <v>89.79</v>
      </c>
      <c r="I366" s="18">
        <v>26.17</v>
      </c>
      <c r="J366" s="18">
        <v>114.3</v>
      </c>
      <c r="K366" s="18">
        <v>14.82</v>
      </c>
      <c r="L366" s="18">
        <v>0.57999999999999996</v>
      </c>
      <c r="M366" s="18">
        <v>354.73</v>
      </c>
      <c r="N366" s="23">
        <f t="shared" si="11"/>
        <v>18004.800000000007</v>
      </c>
      <c r="O366" s="24">
        <f t="shared" si="10"/>
        <v>3.3</v>
      </c>
    </row>
    <row r="367" spans="1:15" ht="43.5" x14ac:dyDescent="0.35">
      <c r="A367" s="12" t="s">
        <v>992</v>
      </c>
      <c r="B367" s="12" t="s">
        <v>993</v>
      </c>
      <c r="C367" s="12" t="s">
        <v>37</v>
      </c>
      <c r="D367" s="12" t="s">
        <v>994</v>
      </c>
      <c r="E367" s="18">
        <v>98.38</v>
      </c>
      <c r="F367" s="19">
        <v>0.7</v>
      </c>
      <c r="G367" s="18">
        <v>76.05</v>
      </c>
      <c r="H367" s="18">
        <v>57.93</v>
      </c>
      <c r="I367" s="18">
        <v>35.22</v>
      </c>
      <c r="J367" s="18">
        <v>71.38</v>
      </c>
      <c r="K367" s="18">
        <v>55.17</v>
      </c>
      <c r="L367" s="18">
        <v>59.26</v>
      </c>
      <c r="M367" s="18">
        <v>355.01</v>
      </c>
      <c r="N367" s="23">
        <f t="shared" si="11"/>
        <v>18005.500000000007</v>
      </c>
      <c r="O367" s="24">
        <f t="shared" si="10"/>
        <v>0.7</v>
      </c>
    </row>
    <row r="368" spans="1:15" ht="29" x14ac:dyDescent="0.35">
      <c r="A368" s="12" t="s">
        <v>995</v>
      </c>
      <c r="B368" s="12" t="s">
        <v>996</v>
      </c>
      <c r="C368" s="12" t="s">
        <v>564</v>
      </c>
      <c r="D368" s="12" t="s">
        <v>997</v>
      </c>
      <c r="E368" s="18">
        <v>98.39</v>
      </c>
      <c r="F368" s="19">
        <v>1.5</v>
      </c>
      <c r="G368" s="18">
        <v>29.34</v>
      </c>
      <c r="H368" s="18">
        <v>65.72</v>
      </c>
      <c r="I368" s="18">
        <v>193.81</v>
      </c>
      <c r="J368" s="18">
        <v>60.32</v>
      </c>
      <c r="K368" s="18">
        <v>0.22</v>
      </c>
      <c r="L368" s="18">
        <v>6.13</v>
      </c>
      <c r="M368" s="18">
        <v>355.54</v>
      </c>
      <c r="N368" s="23">
        <f t="shared" si="11"/>
        <v>18007.000000000007</v>
      </c>
      <c r="O368" s="24">
        <f t="shared" si="10"/>
        <v>1.5</v>
      </c>
    </row>
    <row r="369" spans="1:15" ht="29" x14ac:dyDescent="0.35">
      <c r="A369" s="12" t="s">
        <v>998</v>
      </c>
      <c r="B369" s="12" t="s">
        <v>999</v>
      </c>
      <c r="C369" s="12" t="s">
        <v>37</v>
      </c>
      <c r="D369" s="12" t="s">
        <v>101</v>
      </c>
      <c r="E369" s="18">
        <v>98.4</v>
      </c>
      <c r="F369" s="19">
        <v>0.3</v>
      </c>
      <c r="G369" s="18">
        <v>50.9</v>
      </c>
      <c r="H369" s="18">
        <v>92.69</v>
      </c>
      <c r="I369" s="18">
        <v>27.68</v>
      </c>
      <c r="J369" s="18">
        <v>102.31</v>
      </c>
      <c r="K369" s="18">
        <v>28.06</v>
      </c>
      <c r="L369" s="18">
        <v>54.14</v>
      </c>
      <c r="M369" s="18">
        <v>355.78</v>
      </c>
      <c r="N369" s="23">
        <f t="shared" si="11"/>
        <v>18007.300000000007</v>
      </c>
      <c r="O369" s="24">
        <f t="shared" si="10"/>
        <v>0.3</v>
      </c>
    </row>
    <row r="370" spans="1:15" ht="43.5" x14ac:dyDescent="0.35">
      <c r="A370" s="12" t="s">
        <v>1000</v>
      </c>
      <c r="B370" s="12" t="s">
        <v>1001</v>
      </c>
      <c r="C370" s="12" t="s">
        <v>104</v>
      </c>
      <c r="D370" s="12" t="s">
        <v>374</v>
      </c>
      <c r="E370" s="18">
        <v>98.4</v>
      </c>
      <c r="F370" s="19">
        <v>41.5</v>
      </c>
      <c r="G370" s="18">
        <v>73.75</v>
      </c>
      <c r="H370" s="18">
        <v>62.22</v>
      </c>
      <c r="I370" s="18">
        <v>46.56</v>
      </c>
      <c r="J370" s="18">
        <v>134.24</v>
      </c>
      <c r="K370" s="18">
        <v>30.07</v>
      </c>
      <c r="L370" s="18">
        <v>9.8699999999999992</v>
      </c>
      <c r="M370" s="18">
        <v>356.71</v>
      </c>
      <c r="N370" s="23">
        <f t="shared" si="11"/>
        <v>18048.800000000007</v>
      </c>
      <c r="O370" s="24">
        <f t="shared" si="10"/>
        <v>41.5</v>
      </c>
    </row>
    <row r="371" spans="1:15" ht="29" x14ac:dyDescent="0.35">
      <c r="A371" s="12" t="s">
        <v>1002</v>
      </c>
      <c r="B371" s="12" t="s">
        <v>1003</v>
      </c>
      <c r="C371" s="12" t="s">
        <v>37</v>
      </c>
      <c r="D371" s="12" t="s">
        <v>101</v>
      </c>
      <c r="E371" s="18">
        <v>98.62</v>
      </c>
      <c r="F371" s="19">
        <v>1.2</v>
      </c>
      <c r="G371" s="18">
        <v>81.94</v>
      </c>
      <c r="H371" s="18">
        <v>48.32</v>
      </c>
      <c r="I371" s="18">
        <v>23.54</v>
      </c>
      <c r="J371" s="18">
        <v>94.04</v>
      </c>
      <c r="K371" s="18">
        <v>57.09</v>
      </c>
      <c r="L371" s="18">
        <v>52.66</v>
      </c>
      <c r="M371" s="18">
        <v>357.58</v>
      </c>
      <c r="N371" s="23">
        <f t="shared" si="11"/>
        <v>18050.000000000007</v>
      </c>
      <c r="O371" s="24">
        <f t="shared" si="10"/>
        <v>1.2</v>
      </c>
    </row>
    <row r="372" spans="1:15" ht="116" x14ac:dyDescent="0.35">
      <c r="A372" s="12" t="s">
        <v>1004</v>
      </c>
      <c r="B372" s="12" t="s">
        <v>1005</v>
      </c>
      <c r="C372" s="12" t="s">
        <v>37</v>
      </c>
      <c r="D372" s="12" t="s">
        <v>1006</v>
      </c>
      <c r="E372" s="18">
        <v>98.63</v>
      </c>
      <c r="F372" s="19">
        <v>4.7</v>
      </c>
      <c r="G372" s="18">
        <v>64.23</v>
      </c>
      <c r="H372" s="18">
        <v>137.55000000000001</v>
      </c>
      <c r="I372" s="18">
        <v>23.37</v>
      </c>
      <c r="J372" s="18">
        <v>87.12</v>
      </c>
      <c r="K372" s="18">
        <v>21.9</v>
      </c>
      <c r="L372" s="18">
        <v>23.61</v>
      </c>
      <c r="M372" s="18">
        <v>357.79</v>
      </c>
      <c r="N372" s="23">
        <f t="shared" si="11"/>
        <v>18054.700000000008</v>
      </c>
      <c r="O372" s="24">
        <f t="shared" si="10"/>
        <v>4.7</v>
      </c>
    </row>
    <row r="373" spans="1:15" ht="29" x14ac:dyDescent="0.35">
      <c r="A373" s="12" t="s">
        <v>1007</v>
      </c>
      <c r="B373" s="12" t="s">
        <v>1008</v>
      </c>
      <c r="C373" s="12" t="s">
        <v>564</v>
      </c>
      <c r="D373" s="12" t="s">
        <v>997</v>
      </c>
      <c r="E373" s="18">
        <v>98.66</v>
      </c>
      <c r="F373" s="19">
        <v>60.2</v>
      </c>
      <c r="G373" s="18">
        <v>45.04</v>
      </c>
      <c r="H373" s="18">
        <v>208.05</v>
      </c>
      <c r="I373" s="18">
        <v>28.82</v>
      </c>
      <c r="J373" s="18">
        <v>49.44</v>
      </c>
      <c r="K373" s="18">
        <v>21.66</v>
      </c>
      <c r="L373" s="18">
        <v>5.74</v>
      </c>
      <c r="M373" s="18">
        <v>358.75</v>
      </c>
      <c r="N373" s="23">
        <f t="shared" si="11"/>
        <v>18114.900000000009</v>
      </c>
      <c r="O373" s="24">
        <f t="shared" si="10"/>
        <v>60.2</v>
      </c>
    </row>
    <row r="374" spans="1:15" ht="29" x14ac:dyDescent="0.35">
      <c r="A374" s="12" t="s">
        <v>1009</v>
      </c>
      <c r="B374" s="12" t="s">
        <v>1010</v>
      </c>
      <c r="C374" s="12" t="s">
        <v>37</v>
      </c>
      <c r="D374" s="12" t="s">
        <v>48</v>
      </c>
      <c r="E374" s="18">
        <v>98.99</v>
      </c>
      <c r="F374" s="19">
        <v>1.5</v>
      </c>
      <c r="G374" s="18">
        <v>108.94</v>
      </c>
      <c r="H374" s="18">
        <v>81.97</v>
      </c>
      <c r="I374" s="18">
        <v>11.28</v>
      </c>
      <c r="J374" s="18">
        <v>86.73</v>
      </c>
      <c r="K374" s="18">
        <v>24.62</v>
      </c>
      <c r="L374" s="18">
        <v>45.3</v>
      </c>
      <c r="M374" s="18">
        <v>358.84</v>
      </c>
      <c r="N374" s="23">
        <f t="shared" si="11"/>
        <v>18116.400000000009</v>
      </c>
      <c r="O374" s="24">
        <f t="shared" si="10"/>
        <v>1.5</v>
      </c>
    </row>
    <row r="375" spans="1:15" ht="72.5" x14ac:dyDescent="0.35">
      <c r="A375" s="12" t="s">
        <v>1011</v>
      </c>
      <c r="B375" s="12" t="s">
        <v>1012</v>
      </c>
      <c r="C375" s="12" t="s">
        <v>41</v>
      </c>
      <c r="D375" s="12" t="s">
        <v>1013</v>
      </c>
      <c r="E375" s="18">
        <v>98.99</v>
      </c>
      <c r="F375" s="19">
        <v>0.5</v>
      </c>
      <c r="G375" s="18">
        <v>184.33</v>
      </c>
      <c r="H375" s="18">
        <v>6.46</v>
      </c>
      <c r="I375" s="18">
        <v>2.7</v>
      </c>
      <c r="J375" s="18">
        <v>123.87</v>
      </c>
      <c r="K375" s="18">
        <v>39.18</v>
      </c>
      <c r="L375" s="18">
        <v>4.33</v>
      </c>
      <c r="M375" s="18">
        <v>360.87</v>
      </c>
      <c r="N375" s="23">
        <f t="shared" si="11"/>
        <v>18116.900000000009</v>
      </c>
      <c r="O375" s="24">
        <f t="shared" si="10"/>
        <v>0.5</v>
      </c>
    </row>
    <row r="376" spans="1:15" ht="43.5" x14ac:dyDescent="0.35">
      <c r="A376" s="12" t="s">
        <v>1014</v>
      </c>
      <c r="B376" s="12" t="s">
        <v>1015</v>
      </c>
      <c r="C376" s="12" t="s">
        <v>37</v>
      </c>
      <c r="D376" s="12" t="s">
        <v>1016</v>
      </c>
      <c r="E376" s="18">
        <v>99</v>
      </c>
      <c r="F376" s="19">
        <v>0.3</v>
      </c>
      <c r="G376" s="18">
        <v>116.24</v>
      </c>
      <c r="H376" s="18">
        <v>69.28</v>
      </c>
      <c r="I376" s="18">
        <v>16.88</v>
      </c>
      <c r="J376" s="18">
        <v>83.24</v>
      </c>
      <c r="K376" s="18">
        <v>26.52</v>
      </c>
      <c r="L376" s="18">
        <v>55.6</v>
      </c>
      <c r="M376" s="18">
        <v>367.76</v>
      </c>
      <c r="N376" s="23">
        <f t="shared" si="11"/>
        <v>18117.200000000008</v>
      </c>
      <c r="O376" s="24">
        <f t="shared" si="10"/>
        <v>0.3</v>
      </c>
    </row>
    <row r="377" spans="1:15" ht="43.5" x14ac:dyDescent="0.35">
      <c r="A377" s="12" t="s">
        <v>1017</v>
      </c>
      <c r="B377" s="12" t="s">
        <v>1018</v>
      </c>
      <c r="C377" s="12" t="s">
        <v>37</v>
      </c>
      <c r="D377" s="12" t="s">
        <v>1019</v>
      </c>
      <c r="E377" s="18">
        <v>99</v>
      </c>
      <c r="F377" s="19">
        <v>3.5</v>
      </c>
      <c r="G377" s="18">
        <v>77.959999999999994</v>
      </c>
      <c r="H377" s="18">
        <v>79.59</v>
      </c>
      <c r="I377" s="18">
        <v>19.649999999999999</v>
      </c>
      <c r="J377" s="18">
        <v>100.27</v>
      </c>
      <c r="K377" s="18">
        <v>32.799999999999997</v>
      </c>
      <c r="L377" s="18">
        <v>58.72</v>
      </c>
      <c r="M377" s="18">
        <v>368.99</v>
      </c>
      <c r="N377" s="23">
        <f t="shared" si="11"/>
        <v>18120.700000000008</v>
      </c>
      <c r="O377" s="24">
        <f t="shared" si="10"/>
        <v>3.5</v>
      </c>
    </row>
    <row r="378" spans="1:15" ht="29" x14ac:dyDescent="0.35">
      <c r="A378" s="12" t="s">
        <v>1020</v>
      </c>
      <c r="B378" s="12" t="s">
        <v>1021</v>
      </c>
      <c r="C378" s="12" t="s">
        <v>37</v>
      </c>
      <c r="D378" s="12" t="s">
        <v>101</v>
      </c>
      <c r="E378" s="18">
        <v>99.02</v>
      </c>
      <c r="F378" s="19">
        <v>0.1</v>
      </c>
      <c r="G378" s="18">
        <v>119.46</v>
      </c>
      <c r="H378" s="18">
        <v>77.67</v>
      </c>
      <c r="I378" s="18">
        <v>14.2</v>
      </c>
      <c r="J378" s="18">
        <v>85.26</v>
      </c>
      <c r="K378" s="18">
        <v>23.34</v>
      </c>
      <c r="L378" s="18">
        <v>50.75</v>
      </c>
      <c r="M378" s="18">
        <v>370.68</v>
      </c>
      <c r="N378" s="23">
        <f t="shared" si="11"/>
        <v>18120.800000000007</v>
      </c>
      <c r="O378" s="24">
        <f t="shared" si="10"/>
        <v>0.1</v>
      </c>
    </row>
    <row r="379" spans="1:15" ht="43.5" x14ac:dyDescent="0.35">
      <c r="A379" s="12" t="s">
        <v>1022</v>
      </c>
      <c r="B379" s="12" t="s">
        <v>1023</v>
      </c>
      <c r="C379" s="12" t="s">
        <v>37</v>
      </c>
      <c r="D379" s="12" t="s">
        <v>1024</v>
      </c>
      <c r="E379" s="18">
        <v>99.02</v>
      </c>
      <c r="F379" s="19">
        <v>0.8</v>
      </c>
      <c r="G379" s="18">
        <v>62.7</v>
      </c>
      <c r="H379" s="18">
        <v>72.13</v>
      </c>
      <c r="I379" s="18">
        <v>34.35</v>
      </c>
      <c r="J379" s="18">
        <v>110.97</v>
      </c>
      <c r="K379" s="18">
        <v>22.45</v>
      </c>
      <c r="L379" s="18">
        <v>70.760000000000005</v>
      </c>
      <c r="M379" s="18">
        <v>373.35</v>
      </c>
      <c r="N379" s="23">
        <f t="shared" si="11"/>
        <v>18121.600000000006</v>
      </c>
      <c r="O379" s="24">
        <f t="shared" si="10"/>
        <v>0.8</v>
      </c>
    </row>
    <row r="380" spans="1:15" ht="58" x14ac:dyDescent="0.35">
      <c r="A380" s="12" t="s">
        <v>1025</v>
      </c>
      <c r="B380" s="12" t="s">
        <v>1026</v>
      </c>
      <c r="C380" s="12" t="s">
        <v>37</v>
      </c>
      <c r="D380" s="12" t="s">
        <v>621</v>
      </c>
      <c r="E380" s="18">
        <v>99.02</v>
      </c>
      <c r="F380" s="19">
        <v>12.9</v>
      </c>
      <c r="G380" s="18">
        <v>78.38</v>
      </c>
      <c r="H380" s="18">
        <v>76.37</v>
      </c>
      <c r="I380" s="18">
        <v>10.79</v>
      </c>
      <c r="J380" s="18">
        <v>144.47999999999999</v>
      </c>
      <c r="K380" s="18">
        <v>20.54</v>
      </c>
      <c r="L380" s="18">
        <v>44.01</v>
      </c>
      <c r="M380" s="18">
        <v>374.57</v>
      </c>
      <c r="N380" s="23">
        <f t="shared" si="11"/>
        <v>18134.500000000007</v>
      </c>
      <c r="O380" s="24">
        <f t="shared" si="10"/>
        <v>12.9</v>
      </c>
    </row>
    <row r="381" spans="1:15" ht="58" x14ac:dyDescent="0.35">
      <c r="A381" s="12" t="s">
        <v>1027</v>
      </c>
      <c r="B381" s="12" t="s">
        <v>1028</v>
      </c>
      <c r="C381" s="12" t="s">
        <v>37</v>
      </c>
      <c r="D381" s="12" t="s">
        <v>1029</v>
      </c>
      <c r="E381" s="18">
        <v>99.09</v>
      </c>
      <c r="F381" s="19">
        <v>0.1</v>
      </c>
      <c r="G381" s="18">
        <v>73.94</v>
      </c>
      <c r="H381" s="18">
        <v>63.86</v>
      </c>
      <c r="I381" s="18">
        <v>35</v>
      </c>
      <c r="J381" s="18">
        <v>140.09</v>
      </c>
      <c r="K381" s="18">
        <v>23.65</v>
      </c>
      <c r="L381" s="18">
        <v>38.33</v>
      </c>
      <c r="M381" s="18">
        <v>374.88</v>
      </c>
      <c r="N381" s="23">
        <f t="shared" si="11"/>
        <v>18134.600000000006</v>
      </c>
      <c r="O381" s="24">
        <f t="shared" si="10"/>
        <v>0.1</v>
      </c>
    </row>
    <row r="382" spans="1:15" ht="87" x14ac:dyDescent="0.35">
      <c r="A382" s="12" t="s">
        <v>1030</v>
      </c>
      <c r="B382" s="12" t="s">
        <v>1031</v>
      </c>
      <c r="C382" s="12" t="s">
        <v>111</v>
      </c>
      <c r="D382" s="12" t="s">
        <v>1032</v>
      </c>
      <c r="E382" s="18">
        <v>99.09</v>
      </c>
      <c r="F382" s="19">
        <v>23</v>
      </c>
      <c r="G382" s="18">
        <v>75.540000000000006</v>
      </c>
      <c r="H382" s="18">
        <v>104.18</v>
      </c>
      <c r="I382" s="18">
        <v>16.57</v>
      </c>
      <c r="J382" s="18">
        <v>142.6</v>
      </c>
      <c r="K382" s="18">
        <v>34.89</v>
      </c>
      <c r="L382" s="18">
        <v>1.82</v>
      </c>
      <c r="M382" s="18">
        <v>375.6</v>
      </c>
      <c r="N382" s="23">
        <f t="shared" si="11"/>
        <v>18157.600000000006</v>
      </c>
      <c r="O382" s="24">
        <f t="shared" si="10"/>
        <v>23</v>
      </c>
    </row>
    <row r="383" spans="1:15" x14ac:dyDescent="0.35">
      <c r="A383" s="12" t="s">
        <v>1033</v>
      </c>
      <c r="B383" s="12" t="s">
        <v>1034</v>
      </c>
      <c r="C383" s="12" t="s">
        <v>111</v>
      </c>
      <c r="D383" s="12" t="s">
        <v>613</v>
      </c>
      <c r="E383" s="18">
        <v>99.22</v>
      </c>
      <c r="F383" s="19">
        <v>5.0999999999999996</v>
      </c>
      <c r="G383" s="18">
        <v>57.85</v>
      </c>
      <c r="H383" s="18">
        <v>35.26</v>
      </c>
      <c r="I383" s="18">
        <v>8.5299999999999994</v>
      </c>
      <c r="J383" s="18">
        <v>144.57</v>
      </c>
      <c r="K383" s="18">
        <v>136.96</v>
      </c>
      <c r="L383" s="18">
        <v>0</v>
      </c>
      <c r="M383" s="18">
        <v>383.17</v>
      </c>
      <c r="N383" s="23">
        <f t="shared" si="11"/>
        <v>18162.700000000004</v>
      </c>
      <c r="O383" s="24">
        <f t="shared" si="10"/>
        <v>5.0999999999999996</v>
      </c>
    </row>
    <row r="384" spans="1:15" ht="29" x14ac:dyDescent="0.35">
      <c r="A384" s="12" t="s">
        <v>1035</v>
      </c>
      <c r="B384" s="12" t="s">
        <v>1036</v>
      </c>
      <c r="C384" s="12" t="s">
        <v>712</v>
      </c>
      <c r="D384" s="12" t="s">
        <v>1037</v>
      </c>
      <c r="E384" s="18">
        <v>99.25</v>
      </c>
      <c r="F384" s="19">
        <v>2</v>
      </c>
      <c r="G384" s="18">
        <v>80.28</v>
      </c>
      <c r="H384" s="18">
        <v>146.88999999999999</v>
      </c>
      <c r="I384" s="18">
        <v>14.91</v>
      </c>
      <c r="J384" s="18">
        <v>98.33</v>
      </c>
      <c r="K384" s="18">
        <v>19.559999999999999</v>
      </c>
      <c r="L384" s="18">
        <v>23.56</v>
      </c>
      <c r="M384" s="18">
        <v>383.53</v>
      </c>
      <c r="N384" s="23">
        <f t="shared" si="11"/>
        <v>18164.700000000004</v>
      </c>
      <c r="O384" s="24">
        <f t="shared" si="10"/>
        <v>2</v>
      </c>
    </row>
    <row r="385" spans="1:15" ht="43.5" x14ac:dyDescent="0.35">
      <c r="A385" s="12" t="s">
        <v>1038</v>
      </c>
      <c r="B385" s="12" t="s">
        <v>1039</v>
      </c>
      <c r="C385" s="12" t="s">
        <v>37</v>
      </c>
      <c r="D385" s="12" t="s">
        <v>1040</v>
      </c>
      <c r="E385" s="18">
        <v>99.26</v>
      </c>
      <c r="F385" s="19">
        <v>8.6999999999999993</v>
      </c>
      <c r="G385" s="18">
        <v>85.06</v>
      </c>
      <c r="H385" s="18">
        <v>122.59</v>
      </c>
      <c r="I385" s="18">
        <v>15.48</v>
      </c>
      <c r="J385" s="18">
        <v>87.36</v>
      </c>
      <c r="K385" s="18">
        <v>23.9</v>
      </c>
      <c r="L385" s="18">
        <v>50.04</v>
      </c>
      <c r="M385" s="18">
        <v>384.42</v>
      </c>
      <c r="N385" s="23">
        <f t="shared" si="11"/>
        <v>18173.400000000005</v>
      </c>
      <c r="O385" s="24">
        <f t="shared" si="10"/>
        <v>8.6999999999999993</v>
      </c>
    </row>
    <row r="386" spans="1:15" ht="72.5" x14ac:dyDescent="0.35">
      <c r="A386" s="12" t="s">
        <v>1041</v>
      </c>
      <c r="B386" s="12" t="s">
        <v>1042</v>
      </c>
      <c r="C386" s="12" t="s">
        <v>37</v>
      </c>
      <c r="D386" s="12" t="s">
        <v>1043</v>
      </c>
      <c r="E386" s="18">
        <v>99.3</v>
      </c>
      <c r="F386" s="19">
        <v>0.5</v>
      </c>
      <c r="G386" s="18">
        <v>67.849999999999994</v>
      </c>
      <c r="H386" s="18">
        <v>102.83</v>
      </c>
      <c r="I386" s="18">
        <v>16</v>
      </c>
      <c r="J386" s="18">
        <v>129.13999999999999</v>
      </c>
      <c r="K386" s="18">
        <v>36</v>
      </c>
      <c r="L386" s="18">
        <v>42.74</v>
      </c>
      <c r="M386" s="18">
        <v>394.56</v>
      </c>
      <c r="N386" s="23">
        <f t="shared" si="11"/>
        <v>18173.900000000005</v>
      </c>
      <c r="O386" s="24">
        <f t="shared" si="10"/>
        <v>0.5</v>
      </c>
    </row>
    <row r="387" spans="1:15" ht="43.5" x14ac:dyDescent="0.35">
      <c r="A387" s="12" t="s">
        <v>1044</v>
      </c>
      <c r="B387" s="12" t="s">
        <v>1045</v>
      </c>
      <c r="C387" s="12" t="s">
        <v>37</v>
      </c>
      <c r="D387" s="12" t="s">
        <v>1046</v>
      </c>
      <c r="E387" s="18">
        <v>99.31</v>
      </c>
      <c r="F387" s="19">
        <v>0.9</v>
      </c>
      <c r="G387" s="18">
        <v>62.24</v>
      </c>
      <c r="H387" s="18">
        <v>106.66</v>
      </c>
      <c r="I387" s="18">
        <v>21.64</v>
      </c>
      <c r="J387" s="18">
        <v>106.77</v>
      </c>
      <c r="K387" s="18">
        <v>38.229999999999997</v>
      </c>
      <c r="L387" s="18">
        <v>65.03</v>
      </c>
      <c r="M387" s="18">
        <v>400.57</v>
      </c>
      <c r="N387" s="23">
        <f t="shared" si="11"/>
        <v>18174.800000000007</v>
      </c>
      <c r="O387" s="24">
        <f t="shared" si="10"/>
        <v>0.9</v>
      </c>
    </row>
    <row r="388" spans="1:15" ht="29" x14ac:dyDescent="0.35">
      <c r="A388" s="12" t="s">
        <v>1047</v>
      </c>
      <c r="B388" s="12" t="s">
        <v>1048</v>
      </c>
      <c r="C388" s="12" t="s">
        <v>56</v>
      </c>
      <c r="D388" s="12" t="s">
        <v>1049</v>
      </c>
      <c r="E388" s="18">
        <v>99.31</v>
      </c>
      <c r="F388" s="19">
        <v>5.5</v>
      </c>
      <c r="G388" s="18">
        <v>70.209999999999994</v>
      </c>
      <c r="H388" s="18">
        <v>123.19</v>
      </c>
      <c r="I388" s="18">
        <v>2.11</v>
      </c>
      <c r="J388" s="18">
        <v>110.35</v>
      </c>
      <c r="K388" s="18">
        <v>85.84</v>
      </c>
      <c r="L388" s="18">
        <v>9.2200000000000006</v>
      </c>
      <c r="M388" s="18">
        <v>400.92</v>
      </c>
      <c r="N388" s="23">
        <f t="shared" si="11"/>
        <v>18180.300000000007</v>
      </c>
      <c r="O388" s="24">
        <f t="shared" si="10"/>
        <v>5.5</v>
      </c>
    </row>
    <row r="389" spans="1:15" ht="29" x14ac:dyDescent="0.35">
      <c r="A389" s="12" t="s">
        <v>1050</v>
      </c>
      <c r="B389" s="12" t="s">
        <v>1051</v>
      </c>
      <c r="C389" s="12" t="s">
        <v>37</v>
      </c>
      <c r="D389" s="12" t="s">
        <v>127</v>
      </c>
      <c r="E389" s="18">
        <v>99.34</v>
      </c>
      <c r="F389" s="19">
        <v>13.5</v>
      </c>
      <c r="G389" s="18">
        <v>155.19</v>
      </c>
      <c r="H389" s="18">
        <v>98.64</v>
      </c>
      <c r="I389" s="18">
        <v>11.96</v>
      </c>
      <c r="J389" s="18">
        <v>78.180000000000007</v>
      </c>
      <c r="K389" s="18">
        <v>20.18</v>
      </c>
      <c r="L389" s="18">
        <v>38.03</v>
      </c>
      <c r="M389" s="18">
        <v>402.18</v>
      </c>
      <c r="N389" s="23">
        <f t="shared" si="11"/>
        <v>18193.800000000007</v>
      </c>
      <c r="O389" s="24">
        <f t="shared" si="10"/>
        <v>13.5</v>
      </c>
    </row>
    <row r="390" spans="1:15" ht="43.5" x14ac:dyDescent="0.35">
      <c r="A390" s="12" t="s">
        <v>1052</v>
      </c>
      <c r="B390" s="12" t="s">
        <v>1053</v>
      </c>
      <c r="C390" s="12" t="s">
        <v>712</v>
      </c>
      <c r="D390" s="12" t="s">
        <v>433</v>
      </c>
      <c r="E390" s="18">
        <v>99.42</v>
      </c>
      <c r="F390" s="19">
        <v>9.6</v>
      </c>
      <c r="G390" s="18">
        <v>130.19</v>
      </c>
      <c r="H390" s="18">
        <v>138.35</v>
      </c>
      <c r="I390" s="18">
        <v>72.87</v>
      </c>
      <c r="J390" s="18">
        <v>63.58</v>
      </c>
      <c r="K390" s="18">
        <v>0</v>
      </c>
      <c r="L390" s="18">
        <v>4.75</v>
      </c>
      <c r="M390" s="18">
        <v>409.75</v>
      </c>
      <c r="N390" s="23">
        <f t="shared" si="11"/>
        <v>18203.400000000005</v>
      </c>
      <c r="O390" s="24">
        <f t="shared" si="10"/>
        <v>9.6</v>
      </c>
    </row>
    <row r="391" spans="1:15" ht="29" x14ac:dyDescent="0.35">
      <c r="A391" s="12" t="s">
        <v>1054</v>
      </c>
      <c r="B391" s="12" t="s">
        <v>1055</v>
      </c>
      <c r="C391" s="12" t="s">
        <v>130</v>
      </c>
      <c r="D391" s="12" t="s">
        <v>961</v>
      </c>
      <c r="E391" s="18">
        <v>99.47</v>
      </c>
      <c r="F391" s="19">
        <v>2.2999999999999998</v>
      </c>
      <c r="G391" s="18">
        <v>116.11</v>
      </c>
      <c r="H391" s="18">
        <v>20.18</v>
      </c>
      <c r="I391" s="18">
        <v>3.96</v>
      </c>
      <c r="J391" s="18">
        <v>219.44</v>
      </c>
      <c r="K391" s="18">
        <v>32.81</v>
      </c>
      <c r="L391" s="18">
        <v>18.8</v>
      </c>
      <c r="M391" s="18">
        <v>411.3</v>
      </c>
      <c r="N391" s="23">
        <f t="shared" si="11"/>
        <v>18205.700000000004</v>
      </c>
      <c r="O391" s="24">
        <f t="shared" si="10"/>
        <v>2.2999999999999998</v>
      </c>
    </row>
    <row r="392" spans="1:15" ht="43.5" x14ac:dyDescent="0.35">
      <c r="A392" s="12" t="s">
        <v>1056</v>
      </c>
      <c r="B392" s="12" t="s">
        <v>1057</v>
      </c>
      <c r="C392" s="12" t="s">
        <v>111</v>
      </c>
      <c r="D392" s="12" t="s">
        <v>1058</v>
      </c>
      <c r="E392" s="18">
        <v>99.48</v>
      </c>
      <c r="F392" s="19">
        <v>5.9</v>
      </c>
      <c r="G392" s="18">
        <v>200.44</v>
      </c>
      <c r="H392" s="18">
        <v>46.16</v>
      </c>
      <c r="I392" s="18">
        <v>7.8</v>
      </c>
      <c r="J392" s="18">
        <v>124.21</v>
      </c>
      <c r="K392" s="18">
        <v>25.09</v>
      </c>
      <c r="L392" s="18">
        <v>11.18</v>
      </c>
      <c r="M392" s="18">
        <v>414.87</v>
      </c>
      <c r="N392" s="23">
        <f t="shared" si="11"/>
        <v>18211.600000000006</v>
      </c>
      <c r="O392" s="24">
        <f t="shared" si="10"/>
        <v>5.9</v>
      </c>
    </row>
    <row r="393" spans="1:15" ht="58" x14ac:dyDescent="0.35">
      <c r="A393" s="12" t="s">
        <v>1059</v>
      </c>
      <c r="B393" s="12" t="s">
        <v>1060</v>
      </c>
      <c r="C393" s="12" t="s">
        <v>37</v>
      </c>
      <c r="D393" s="12" t="s">
        <v>176</v>
      </c>
      <c r="E393" s="18">
        <v>99.51</v>
      </c>
      <c r="F393" s="19">
        <v>0.2</v>
      </c>
      <c r="G393" s="18">
        <v>145.44999999999999</v>
      </c>
      <c r="H393" s="18">
        <v>59.59</v>
      </c>
      <c r="I393" s="18">
        <v>14.43</v>
      </c>
      <c r="J393" s="18">
        <v>100.17</v>
      </c>
      <c r="K393" s="18">
        <v>41.2</v>
      </c>
      <c r="L393" s="18">
        <v>59.16</v>
      </c>
      <c r="M393" s="18">
        <v>420.01</v>
      </c>
      <c r="N393" s="23">
        <f t="shared" si="11"/>
        <v>18211.800000000007</v>
      </c>
      <c r="O393" s="24">
        <f t="shared" si="10"/>
        <v>0.2</v>
      </c>
    </row>
    <row r="394" spans="1:15" ht="58" x14ac:dyDescent="0.35">
      <c r="A394" s="12" t="s">
        <v>1061</v>
      </c>
      <c r="B394" s="12" t="s">
        <v>1062</v>
      </c>
      <c r="C394" s="12" t="s">
        <v>37</v>
      </c>
      <c r="D394" s="12" t="s">
        <v>621</v>
      </c>
      <c r="E394" s="18">
        <v>99.51</v>
      </c>
      <c r="F394" s="19">
        <v>0.7</v>
      </c>
      <c r="G394" s="18">
        <v>193.26</v>
      </c>
      <c r="H394" s="18">
        <v>70.63</v>
      </c>
      <c r="I394" s="18">
        <v>7.01</v>
      </c>
      <c r="J394" s="18">
        <v>90.99</v>
      </c>
      <c r="K394" s="18">
        <v>22.85</v>
      </c>
      <c r="L394" s="18">
        <v>36.409999999999997</v>
      </c>
      <c r="M394" s="18">
        <v>421.15</v>
      </c>
      <c r="N394" s="23">
        <f t="shared" si="11"/>
        <v>18212.500000000007</v>
      </c>
      <c r="O394" s="24">
        <f t="shared" si="10"/>
        <v>0.7</v>
      </c>
    </row>
    <row r="395" spans="1:15" ht="43.5" x14ac:dyDescent="0.35">
      <c r="A395" s="12" t="s">
        <v>1063</v>
      </c>
      <c r="B395" s="12" t="s">
        <v>1064</v>
      </c>
      <c r="C395" s="12" t="s">
        <v>37</v>
      </c>
      <c r="D395" s="12" t="s">
        <v>1065</v>
      </c>
      <c r="E395" s="18">
        <v>99.52</v>
      </c>
      <c r="F395" s="19">
        <v>0.1</v>
      </c>
      <c r="G395" s="18">
        <v>69.31</v>
      </c>
      <c r="H395" s="18">
        <v>99.81</v>
      </c>
      <c r="I395" s="18">
        <v>16.18</v>
      </c>
      <c r="J395" s="18">
        <v>143.29</v>
      </c>
      <c r="K395" s="18">
        <v>24.86</v>
      </c>
      <c r="L395" s="18">
        <v>70.959999999999994</v>
      </c>
      <c r="M395" s="18">
        <v>424.41</v>
      </c>
      <c r="N395" s="23">
        <f t="shared" si="11"/>
        <v>18212.600000000006</v>
      </c>
      <c r="O395" s="24">
        <f t="shared" si="10"/>
        <v>0.1</v>
      </c>
    </row>
    <row r="396" spans="1:15" ht="43.5" x14ac:dyDescent="0.35">
      <c r="A396" s="12" t="s">
        <v>1066</v>
      </c>
      <c r="B396" s="12" t="s">
        <v>1067</v>
      </c>
      <c r="C396" s="12" t="s">
        <v>37</v>
      </c>
      <c r="D396" s="12" t="s">
        <v>1068</v>
      </c>
      <c r="E396" s="18">
        <v>99.52</v>
      </c>
      <c r="F396" s="19">
        <v>0.2</v>
      </c>
      <c r="G396" s="18">
        <v>115.03</v>
      </c>
      <c r="H396" s="18">
        <v>120.21</v>
      </c>
      <c r="I396" s="18">
        <v>12.71</v>
      </c>
      <c r="J396" s="18">
        <v>77.459999999999994</v>
      </c>
      <c r="K396" s="18">
        <v>27.36</v>
      </c>
      <c r="L396" s="18">
        <v>72.64</v>
      </c>
      <c r="M396" s="18">
        <v>425.41</v>
      </c>
      <c r="N396" s="23">
        <f t="shared" si="11"/>
        <v>18212.800000000007</v>
      </c>
      <c r="O396" s="24">
        <f t="shared" si="10"/>
        <v>0.2</v>
      </c>
    </row>
    <row r="397" spans="1:15" ht="43.5" x14ac:dyDescent="0.35">
      <c r="A397" s="12" t="s">
        <v>1069</v>
      </c>
      <c r="B397" s="12" t="s">
        <v>1070</v>
      </c>
      <c r="C397" s="12" t="s">
        <v>37</v>
      </c>
      <c r="D397" s="12" t="s">
        <v>1071</v>
      </c>
      <c r="E397" s="18">
        <v>99.52</v>
      </c>
      <c r="F397" s="19">
        <v>1.9</v>
      </c>
      <c r="G397" s="18">
        <v>49.42</v>
      </c>
      <c r="H397" s="18">
        <v>99.49</v>
      </c>
      <c r="I397" s="18">
        <v>29.71</v>
      </c>
      <c r="J397" s="18">
        <v>136.44</v>
      </c>
      <c r="K397" s="18">
        <v>45.14</v>
      </c>
      <c r="L397" s="18">
        <v>66.88</v>
      </c>
      <c r="M397" s="18">
        <v>427.08</v>
      </c>
      <c r="N397" s="23">
        <f t="shared" si="11"/>
        <v>18214.700000000008</v>
      </c>
      <c r="O397" s="24">
        <f t="shared" si="10"/>
        <v>1.9</v>
      </c>
    </row>
    <row r="398" spans="1:15" ht="29" x14ac:dyDescent="0.35">
      <c r="A398" s="12" t="s">
        <v>1072</v>
      </c>
      <c r="B398" s="12" t="s">
        <v>1073</v>
      </c>
      <c r="C398" s="12" t="s">
        <v>130</v>
      </c>
      <c r="D398" s="12" t="s">
        <v>1074</v>
      </c>
      <c r="E398" s="18">
        <v>99.53</v>
      </c>
      <c r="F398" s="19">
        <v>1.1000000000000001</v>
      </c>
      <c r="G398" s="18">
        <v>208.67</v>
      </c>
      <c r="H398" s="18">
        <v>45.6</v>
      </c>
      <c r="I398" s="18">
        <v>17.989999999999998</v>
      </c>
      <c r="J398" s="18">
        <v>100.91</v>
      </c>
      <c r="K398" s="18">
        <v>32.35</v>
      </c>
      <c r="L398" s="18">
        <v>31.73</v>
      </c>
      <c r="M398" s="18">
        <v>437.25</v>
      </c>
      <c r="N398" s="23">
        <f t="shared" si="11"/>
        <v>18215.800000000007</v>
      </c>
      <c r="O398" s="24">
        <f t="shared" si="10"/>
        <v>1.1000000000000001</v>
      </c>
    </row>
    <row r="399" spans="1:15" ht="29" x14ac:dyDescent="0.35">
      <c r="A399" s="12" t="s">
        <v>1075</v>
      </c>
      <c r="B399" s="12" t="s">
        <v>1076</v>
      </c>
      <c r="C399" s="12" t="s">
        <v>37</v>
      </c>
      <c r="D399" s="12" t="s">
        <v>101</v>
      </c>
      <c r="E399" s="18">
        <v>99.54</v>
      </c>
      <c r="F399" s="19">
        <v>0.2</v>
      </c>
      <c r="G399" s="18">
        <v>130.86000000000001</v>
      </c>
      <c r="H399" s="18">
        <v>73.59</v>
      </c>
      <c r="I399" s="18">
        <v>26.5</v>
      </c>
      <c r="J399" s="18">
        <v>150.80000000000001</v>
      </c>
      <c r="K399" s="18">
        <v>22.37</v>
      </c>
      <c r="L399" s="18">
        <v>39.590000000000003</v>
      </c>
      <c r="M399" s="18">
        <v>443.71</v>
      </c>
      <c r="N399" s="23">
        <f t="shared" si="11"/>
        <v>18216.000000000007</v>
      </c>
      <c r="O399" s="24">
        <f t="shared" si="10"/>
        <v>0.2</v>
      </c>
    </row>
    <row r="400" spans="1:15" ht="43.5" x14ac:dyDescent="0.35">
      <c r="A400" s="12" t="s">
        <v>1077</v>
      </c>
      <c r="B400" s="12" t="s">
        <v>1078</v>
      </c>
      <c r="C400" s="12" t="s">
        <v>37</v>
      </c>
      <c r="D400" s="12" t="s">
        <v>1065</v>
      </c>
      <c r="E400" s="18">
        <v>99.54</v>
      </c>
      <c r="F400" s="19">
        <v>0.3</v>
      </c>
      <c r="G400" s="18">
        <v>108.9</v>
      </c>
      <c r="H400" s="18">
        <v>94.56</v>
      </c>
      <c r="I400" s="18">
        <v>15.98</v>
      </c>
      <c r="J400" s="18">
        <v>117.78</v>
      </c>
      <c r="K400" s="18">
        <v>26.52</v>
      </c>
      <c r="L400" s="18">
        <v>87.1</v>
      </c>
      <c r="M400" s="18">
        <v>450.84</v>
      </c>
      <c r="N400" s="23">
        <f t="shared" si="11"/>
        <v>18216.300000000007</v>
      </c>
      <c r="O400" s="24">
        <f t="shared" ref="O400:O413" si="12">F400</f>
        <v>0.3</v>
      </c>
    </row>
    <row r="401" spans="1:21" ht="29" x14ac:dyDescent="0.35">
      <c r="A401" s="12" t="s">
        <v>1079</v>
      </c>
      <c r="B401" s="12" t="s">
        <v>1080</v>
      </c>
      <c r="C401" s="12" t="s">
        <v>37</v>
      </c>
      <c r="D401" s="12" t="s">
        <v>101</v>
      </c>
      <c r="E401" s="18">
        <v>99.54</v>
      </c>
      <c r="F401" s="19">
        <v>0.2</v>
      </c>
      <c r="G401" s="18">
        <v>125.4</v>
      </c>
      <c r="H401" s="18">
        <v>108.85</v>
      </c>
      <c r="I401" s="18">
        <v>14.66</v>
      </c>
      <c r="J401" s="18">
        <v>131.78</v>
      </c>
      <c r="K401" s="18">
        <v>30.12</v>
      </c>
      <c r="L401" s="18">
        <v>48.17</v>
      </c>
      <c r="M401" s="18">
        <v>458.98</v>
      </c>
      <c r="N401" s="23">
        <f t="shared" ref="N401:N413" si="13">F401+N400</f>
        <v>18216.500000000007</v>
      </c>
      <c r="O401" s="24">
        <f t="shared" si="12"/>
        <v>0.2</v>
      </c>
    </row>
    <row r="402" spans="1:21" ht="43.5" x14ac:dyDescent="0.35">
      <c r="A402" s="12" t="s">
        <v>1081</v>
      </c>
      <c r="B402" s="12" t="s">
        <v>1082</v>
      </c>
      <c r="C402" s="12" t="s">
        <v>56</v>
      </c>
      <c r="D402" s="12" t="s">
        <v>518</v>
      </c>
      <c r="E402" s="18">
        <v>99.54</v>
      </c>
      <c r="F402" s="19">
        <v>5.5</v>
      </c>
      <c r="G402" s="18">
        <v>135.87</v>
      </c>
      <c r="H402" s="18">
        <v>132.36000000000001</v>
      </c>
      <c r="I402" s="18">
        <v>73.28</v>
      </c>
      <c r="J402" s="18">
        <v>127.8</v>
      </c>
      <c r="K402" s="18">
        <v>5.36</v>
      </c>
      <c r="L402" s="18">
        <v>0</v>
      </c>
      <c r="M402" s="18">
        <v>474.68</v>
      </c>
      <c r="N402" s="23">
        <f t="shared" si="13"/>
        <v>18222.000000000007</v>
      </c>
      <c r="O402" s="24">
        <f t="shared" si="12"/>
        <v>5.5</v>
      </c>
    </row>
    <row r="403" spans="1:21" ht="58" x14ac:dyDescent="0.35">
      <c r="A403" s="12" t="s">
        <v>1083</v>
      </c>
      <c r="B403" s="12" t="s">
        <v>1084</v>
      </c>
      <c r="C403" s="12" t="s">
        <v>37</v>
      </c>
      <c r="D403" s="12" t="s">
        <v>1085</v>
      </c>
      <c r="E403" s="18">
        <v>99.57</v>
      </c>
      <c r="F403" s="19">
        <v>1.4</v>
      </c>
      <c r="G403" s="18">
        <v>159.58000000000001</v>
      </c>
      <c r="H403" s="18">
        <v>97.69</v>
      </c>
      <c r="I403" s="18">
        <v>25.23</v>
      </c>
      <c r="J403" s="18">
        <v>112.19</v>
      </c>
      <c r="K403" s="18">
        <v>23.6</v>
      </c>
      <c r="L403" s="18">
        <v>61.57</v>
      </c>
      <c r="M403" s="18">
        <v>479.86</v>
      </c>
      <c r="N403" s="23">
        <f t="shared" si="13"/>
        <v>18223.400000000009</v>
      </c>
      <c r="O403" s="24">
        <f t="shared" si="12"/>
        <v>1.4</v>
      </c>
    </row>
    <row r="404" spans="1:21" ht="87" x14ac:dyDescent="0.35">
      <c r="A404" s="12" t="s">
        <v>1086</v>
      </c>
      <c r="B404" s="12" t="s">
        <v>1087</v>
      </c>
      <c r="C404" s="12" t="s">
        <v>152</v>
      </c>
      <c r="D404" s="12" t="s">
        <v>1088</v>
      </c>
      <c r="E404" s="18">
        <v>99.58</v>
      </c>
      <c r="F404" s="19">
        <v>16.600000000000001</v>
      </c>
      <c r="G404" s="18">
        <v>133.38</v>
      </c>
      <c r="H404" s="18">
        <v>286.06</v>
      </c>
      <c r="I404" s="18">
        <v>1.26</v>
      </c>
      <c r="J404" s="18">
        <v>16.829999999999998</v>
      </c>
      <c r="K404" s="18">
        <v>18.89</v>
      </c>
      <c r="L404" s="18">
        <v>29.9</v>
      </c>
      <c r="M404" s="18">
        <v>486.32</v>
      </c>
      <c r="N404" s="23">
        <f t="shared" si="13"/>
        <v>18240.000000000007</v>
      </c>
      <c r="O404" s="24">
        <f t="shared" si="12"/>
        <v>16.600000000000001</v>
      </c>
    </row>
    <row r="405" spans="1:21" ht="43.5" x14ac:dyDescent="0.35">
      <c r="A405" s="12" t="s">
        <v>1089</v>
      </c>
      <c r="B405" s="12" t="s">
        <v>1090</v>
      </c>
      <c r="C405" s="12" t="s">
        <v>37</v>
      </c>
      <c r="D405" s="12" t="s">
        <v>1091</v>
      </c>
      <c r="E405" s="18">
        <v>99.67</v>
      </c>
      <c r="F405" s="19">
        <v>0.1</v>
      </c>
      <c r="G405" s="18">
        <v>144.82</v>
      </c>
      <c r="H405" s="18">
        <v>115.34</v>
      </c>
      <c r="I405" s="18">
        <v>18.510000000000002</v>
      </c>
      <c r="J405" s="18">
        <v>119.26</v>
      </c>
      <c r="K405" s="18">
        <v>26.04</v>
      </c>
      <c r="L405" s="18">
        <v>76.02</v>
      </c>
      <c r="M405" s="18">
        <v>499.99</v>
      </c>
      <c r="N405" s="23">
        <f t="shared" si="13"/>
        <v>18240.100000000006</v>
      </c>
      <c r="O405" s="24">
        <f t="shared" si="12"/>
        <v>0.1</v>
      </c>
    </row>
    <row r="406" spans="1:21" ht="58" x14ac:dyDescent="0.35">
      <c r="A406" s="12" t="s">
        <v>1092</v>
      </c>
      <c r="B406" s="12" t="s">
        <v>1093</v>
      </c>
      <c r="C406" s="12" t="s">
        <v>152</v>
      </c>
      <c r="D406" s="12" t="s">
        <v>153</v>
      </c>
      <c r="E406" s="18">
        <v>99.67</v>
      </c>
      <c r="F406" s="19">
        <v>2</v>
      </c>
      <c r="G406" s="18">
        <v>80.97</v>
      </c>
      <c r="H406" s="18">
        <v>8.57</v>
      </c>
      <c r="I406" s="18">
        <v>407.91</v>
      </c>
      <c r="J406" s="18">
        <v>15.73</v>
      </c>
      <c r="K406" s="18">
        <v>0</v>
      </c>
      <c r="L406" s="18">
        <v>21.49</v>
      </c>
      <c r="M406" s="18">
        <v>534.66999999999996</v>
      </c>
      <c r="N406" s="23">
        <f t="shared" si="13"/>
        <v>18242.100000000006</v>
      </c>
      <c r="O406" s="24">
        <f t="shared" si="12"/>
        <v>2</v>
      </c>
    </row>
    <row r="407" spans="1:21" ht="29" x14ac:dyDescent="0.35">
      <c r="A407" s="12" t="s">
        <v>1094</v>
      </c>
      <c r="B407" s="12" t="s">
        <v>1095</v>
      </c>
      <c r="C407" s="12" t="s">
        <v>104</v>
      </c>
      <c r="D407" s="12" t="s">
        <v>243</v>
      </c>
      <c r="E407" s="18">
        <v>99.68</v>
      </c>
      <c r="F407" s="19">
        <v>2.6</v>
      </c>
      <c r="G407" s="18">
        <v>195.98</v>
      </c>
      <c r="H407" s="18">
        <v>64.02</v>
      </c>
      <c r="I407" s="18">
        <v>58.66</v>
      </c>
      <c r="J407" s="18">
        <v>219.97</v>
      </c>
      <c r="K407" s="18">
        <v>6.2</v>
      </c>
      <c r="L407" s="18">
        <v>1.97</v>
      </c>
      <c r="M407" s="18">
        <v>546.79</v>
      </c>
      <c r="N407" s="23">
        <f t="shared" si="13"/>
        <v>18244.700000000004</v>
      </c>
      <c r="O407" s="24">
        <f t="shared" si="12"/>
        <v>2.6</v>
      </c>
    </row>
    <row r="408" spans="1:21" ht="87" x14ac:dyDescent="0.35">
      <c r="A408" s="12" t="s">
        <v>1096</v>
      </c>
      <c r="B408" s="12" t="s">
        <v>1097</v>
      </c>
      <c r="C408" s="12" t="s">
        <v>152</v>
      </c>
      <c r="D408" s="12" t="s">
        <v>1088</v>
      </c>
      <c r="E408" s="18">
        <v>99.69</v>
      </c>
      <c r="F408" s="19">
        <v>24.5</v>
      </c>
      <c r="G408" s="18">
        <v>246.37</v>
      </c>
      <c r="H408" s="18">
        <v>190.93</v>
      </c>
      <c r="I408" s="18">
        <v>7.28</v>
      </c>
      <c r="J408" s="18">
        <v>32.44</v>
      </c>
      <c r="K408" s="18">
        <v>42.75</v>
      </c>
      <c r="L408" s="18">
        <v>29.9</v>
      </c>
      <c r="M408" s="18">
        <v>549.66999999999996</v>
      </c>
      <c r="N408" s="23">
        <f t="shared" si="13"/>
        <v>18269.200000000004</v>
      </c>
      <c r="O408" s="24">
        <f t="shared" si="12"/>
        <v>24.5</v>
      </c>
    </row>
    <row r="409" spans="1:21" ht="58" x14ac:dyDescent="0.35">
      <c r="A409" s="12" t="s">
        <v>1098</v>
      </c>
      <c r="B409" s="12" t="s">
        <v>1099</v>
      </c>
      <c r="C409" s="12" t="s">
        <v>27</v>
      </c>
      <c r="D409" s="12" t="s">
        <v>1100</v>
      </c>
      <c r="E409" s="18">
        <v>99.83</v>
      </c>
      <c r="F409" s="19">
        <v>1.2</v>
      </c>
      <c r="G409" s="18">
        <v>278.31</v>
      </c>
      <c r="H409" s="18">
        <v>46.84</v>
      </c>
      <c r="I409" s="18">
        <v>2.56</v>
      </c>
      <c r="J409" s="18">
        <v>150.71</v>
      </c>
      <c r="K409" s="18">
        <v>51.4</v>
      </c>
      <c r="L409" s="18">
        <v>27.46</v>
      </c>
      <c r="M409" s="18">
        <v>557.27</v>
      </c>
      <c r="N409" s="23">
        <f t="shared" si="13"/>
        <v>18270.400000000005</v>
      </c>
      <c r="O409" s="24">
        <f t="shared" si="12"/>
        <v>1.2</v>
      </c>
    </row>
    <row r="410" spans="1:21" ht="87" x14ac:dyDescent="0.35">
      <c r="A410" s="12" t="s">
        <v>1101</v>
      </c>
      <c r="B410" s="12" t="s">
        <v>1102</v>
      </c>
      <c r="C410" s="12" t="s">
        <v>152</v>
      </c>
      <c r="D410" s="12" t="s">
        <v>1088</v>
      </c>
      <c r="E410" s="18">
        <v>99.84</v>
      </c>
      <c r="F410" s="19">
        <v>6.8</v>
      </c>
      <c r="G410" s="18">
        <v>285.39999999999998</v>
      </c>
      <c r="H410" s="18">
        <v>210.7</v>
      </c>
      <c r="I410" s="18">
        <v>11.94</v>
      </c>
      <c r="J410" s="18">
        <v>65.56</v>
      </c>
      <c r="K410" s="18">
        <v>18.920000000000002</v>
      </c>
      <c r="L410" s="18">
        <v>30.44</v>
      </c>
      <c r="M410" s="18">
        <v>622.95000000000005</v>
      </c>
      <c r="N410" s="23">
        <f t="shared" si="13"/>
        <v>18277.200000000004</v>
      </c>
      <c r="O410" s="24">
        <f t="shared" si="12"/>
        <v>6.8</v>
      </c>
    </row>
    <row r="411" spans="1:21" ht="29" x14ac:dyDescent="0.35">
      <c r="A411" s="12" t="s">
        <v>1103</v>
      </c>
      <c r="B411" s="12" t="s">
        <v>1104</v>
      </c>
      <c r="C411" s="12" t="s">
        <v>37</v>
      </c>
      <c r="D411" s="12" t="s">
        <v>91</v>
      </c>
      <c r="E411" s="18">
        <v>99.87</v>
      </c>
      <c r="F411" s="19">
        <v>22.5</v>
      </c>
      <c r="G411" s="18">
        <v>118.39</v>
      </c>
      <c r="H411" s="18">
        <v>136.63</v>
      </c>
      <c r="I411" s="18">
        <v>221.71</v>
      </c>
      <c r="J411" s="18">
        <v>147.19999999999999</v>
      </c>
      <c r="K411" s="18">
        <v>0</v>
      </c>
      <c r="L411" s="18">
        <v>26.18</v>
      </c>
      <c r="M411" s="18">
        <v>650.12</v>
      </c>
      <c r="N411" s="23">
        <f t="shared" si="13"/>
        <v>18299.700000000004</v>
      </c>
      <c r="O411" s="24">
        <f t="shared" si="12"/>
        <v>22.5</v>
      </c>
    </row>
    <row r="412" spans="1:21" ht="72.5" x14ac:dyDescent="0.35">
      <c r="A412" s="12" t="s">
        <v>1105</v>
      </c>
      <c r="B412" s="12" t="s">
        <v>1106</v>
      </c>
      <c r="C412" s="12" t="s">
        <v>56</v>
      </c>
      <c r="D412" s="12" t="s">
        <v>295</v>
      </c>
      <c r="E412" s="18">
        <v>100</v>
      </c>
      <c r="F412" s="19">
        <v>0.4</v>
      </c>
      <c r="G412" s="18">
        <v>288.43</v>
      </c>
      <c r="H412" s="18">
        <v>354.58</v>
      </c>
      <c r="I412" s="18">
        <v>13.35</v>
      </c>
      <c r="J412" s="18">
        <v>278.38</v>
      </c>
      <c r="K412" s="18">
        <v>9.0399999999999991</v>
      </c>
      <c r="L412" s="18">
        <v>24.69</v>
      </c>
      <c r="M412" s="18">
        <v>968.46</v>
      </c>
      <c r="N412" s="23">
        <f t="shared" si="13"/>
        <v>18300.100000000006</v>
      </c>
      <c r="O412" s="24">
        <f t="shared" si="12"/>
        <v>0.4</v>
      </c>
    </row>
    <row r="413" spans="1:21" ht="29" x14ac:dyDescent="0.35">
      <c r="A413" s="12" t="s">
        <v>1107</v>
      </c>
      <c r="B413" s="12" t="s">
        <v>1108</v>
      </c>
      <c r="C413" s="12" t="s">
        <v>1109</v>
      </c>
      <c r="D413" s="12" t="s">
        <v>1110</v>
      </c>
      <c r="E413" s="18">
        <v>100</v>
      </c>
      <c r="F413" s="19">
        <v>0.5</v>
      </c>
      <c r="G413" s="18">
        <v>869.77</v>
      </c>
      <c r="H413" s="18">
        <v>94.53</v>
      </c>
      <c r="I413" s="18">
        <v>11.77</v>
      </c>
      <c r="J413" s="18">
        <v>218.61</v>
      </c>
      <c r="K413" s="18">
        <v>42.11</v>
      </c>
      <c r="L413" s="18">
        <v>19.93</v>
      </c>
      <c r="M413" s="18">
        <v>1256.73</v>
      </c>
      <c r="N413" s="23">
        <f t="shared" si="13"/>
        <v>18300.600000000006</v>
      </c>
      <c r="O413" s="24">
        <f t="shared" si="12"/>
        <v>0.5</v>
      </c>
    </row>
    <row r="414" spans="1:21" x14ac:dyDescent="0.35">
      <c r="A414" s="4"/>
      <c r="B414" s="4"/>
      <c r="C414" s="4"/>
      <c r="D414" s="4"/>
      <c r="E414" s="4"/>
      <c r="F414" s="4"/>
      <c r="G414" s="4"/>
      <c r="H414" s="4"/>
      <c r="I414" s="4"/>
      <c r="J414" s="4"/>
      <c r="K414" s="4"/>
      <c r="L414" s="4"/>
      <c r="M414" s="4"/>
      <c r="N414" s="4"/>
      <c r="O414" s="4"/>
      <c r="P414" s="4"/>
      <c r="Q414" s="4"/>
      <c r="R414" s="4"/>
      <c r="S414" s="4"/>
      <c r="T414" s="4"/>
      <c r="U414" s="4"/>
    </row>
    <row r="415" spans="1:21" x14ac:dyDescent="0.35">
      <c r="A415" s="11" t="s">
        <v>1114</v>
      </c>
    </row>
  </sheetData>
  <mergeCells count="7">
    <mergeCell ref="A14:E14"/>
    <mergeCell ref="A414:U414"/>
    <mergeCell ref="A1:D1"/>
    <mergeCell ref="A3:D3"/>
    <mergeCell ref="A10:U10"/>
    <mergeCell ref="A11:U11"/>
    <mergeCell ref="E12:M12"/>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26"/>
  <sheetViews>
    <sheetView workbookViewId="0">
      <selection sqref="A1:D1"/>
    </sheetView>
  </sheetViews>
  <sheetFormatPr defaultRowHeight="14.5" x14ac:dyDescent="0.35"/>
  <cols>
    <col min="1" max="1" width="50.7265625" customWidth="1"/>
    <col min="2" max="28" width="16.1796875" customWidth="1"/>
  </cols>
  <sheetData>
    <row r="1" spans="1:28" ht="40" customHeight="1" x14ac:dyDescent="0.35">
      <c r="A1" s="7"/>
      <c r="B1" s="7"/>
      <c r="C1" s="7"/>
      <c r="D1" s="7"/>
    </row>
    <row r="2" spans="1:28" ht="30" customHeight="1" x14ac:dyDescent="0.45">
      <c r="A2" s="8" t="s">
        <v>8</v>
      </c>
      <c r="B2" s="9"/>
      <c r="C2" s="9"/>
      <c r="D2" s="9"/>
      <c r="E2" s="9"/>
      <c r="F2" s="9"/>
      <c r="G2" s="9"/>
      <c r="H2" s="9"/>
      <c r="I2" s="9"/>
      <c r="J2" s="9"/>
      <c r="K2" s="9"/>
      <c r="L2" s="9"/>
      <c r="M2" s="9"/>
      <c r="N2" s="9"/>
      <c r="O2" s="9"/>
      <c r="P2" s="9"/>
      <c r="Q2" s="9"/>
      <c r="R2" s="9"/>
      <c r="S2" s="9"/>
      <c r="T2" s="9"/>
      <c r="U2" s="9"/>
      <c r="V2" s="9"/>
      <c r="W2" s="9"/>
      <c r="X2" s="9"/>
      <c r="Y2" s="9"/>
      <c r="Z2" s="9"/>
      <c r="AA2" s="9"/>
      <c r="AB2" s="9"/>
    </row>
    <row r="3" spans="1:28" x14ac:dyDescent="0.35">
      <c r="A3" s="6" t="s">
        <v>0</v>
      </c>
      <c r="B3" s="6"/>
      <c r="C3" s="6"/>
      <c r="D3" s="6"/>
    </row>
    <row r="4" spans="1:28" x14ac:dyDescent="0.35">
      <c r="A4" s="11" t="s">
        <v>1115</v>
      </c>
    </row>
    <row r="5" spans="1:28" x14ac:dyDescent="0.35">
      <c r="A5" s="4"/>
      <c r="B5" s="4"/>
      <c r="C5" s="4"/>
      <c r="D5" s="4"/>
      <c r="E5" s="4"/>
      <c r="F5" s="4"/>
      <c r="G5" s="4"/>
      <c r="H5" s="4"/>
      <c r="I5" s="4"/>
      <c r="J5" s="4"/>
      <c r="K5" s="4"/>
      <c r="L5" s="4"/>
      <c r="M5" s="4"/>
      <c r="N5" s="4"/>
      <c r="O5" s="4"/>
      <c r="P5" s="4"/>
      <c r="Q5" s="4"/>
      <c r="R5" s="4"/>
      <c r="S5" s="4"/>
      <c r="T5" s="4"/>
      <c r="U5" s="4"/>
      <c r="V5" s="4"/>
      <c r="W5" s="4"/>
      <c r="X5" s="4"/>
      <c r="Y5" s="4"/>
      <c r="Z5" s="4"/>
      <c r="AA5" s="4"/>
      <c r="AB5" s="4"/>
    </row>
    <row r="6" spans="1:28" x14ac:dyDescent="0.35">
      <c r="A6" s="20"/>
      <c r="B6" s="20" t="s">
        <v>1116</v>
      </c>
      <c r="C6" s="20" t="s">
        <v>1117</v>
      </c>
      <c r="D6" s="20" t="s">
        <v>1118</v>
      </c>
      <c r="E6" s="20" t="s">
        <v>1119</v>
      </c>
      <c r="F6" s="20" t="s">
        <v>1120</v>
      </c>
      <c r="G6" s="20" t="s">
        <v>1121</v>
      </c>
      <c r="H6" s="20" t="s">
        <v>1122</v>
      </c>
      <c r="I6" s="20" t="s">
        <v>1123</v>
      </c>
      <c r="J6" s="20" t="s">
        <v>1124</v>
      </c>
      <c r="K6" s="20" t="s">
        <v>1125</v>
      </c>
      <c r="L6" s="20" t="s">
        <v>1126</v>
      </c>
      <c r="M6" s="20" t="s">
        <v>1127</v>
      </c>
      <c r="N6" s="20" t="s">
        <v>1128</v>
      </c>
      <c r="O6" s="20" t="s">
        <v>1129</v>
      </c>
      <c r="P6" s="20" t="s">
        <v>1130</v>
      </c>
      <c r="Q6" s="20" t="s">
        <v>1131</v>
      </c>
      <c r="R6" s="20" t="s">
        <v>1132</v>
      </c>
      <c r="S6" s="20" t="s">
        <v>1133</v>
      </c>
      <c r="T6" s="20" t="s">
        <v>1134</v>
      </c>
      <c r="U6" s="20" t="s">
        <v>1135</v>
      </c>
      <c r="V6" s="20" t="s">
        <v>1136</v>
      </c>
      <c r="W6" s="20" t="s">
        <v>1137</v>
      </c>
      <c r="X6" s="20" t="s">
        <v>1138</v>
      </c>
      <c r="Y6" s="20" t="s">
        <v>1139</v>
      </c>
      <c r="Z6" s="20" t="s">
        <v>1140</v>
      </c>
      <c r="AA6" s="20" t="s">
        <v>1141</v>
      </c>
      <c r="AB6" s="20" t="s">
        <v>1142</v>
      </c>
    </row>
    <row r="7" spans="1:28" x14ac:dyDescent="0.35">
      <c r="A7" s="10" t="s">
        <v>1143</v>
      </c>
    </row>
    <row r="8" spans="1:28" x14ac:dyDescent="0.35">
      <c r="A8" s="12" t="s">
        <v>1144</v>
      </c>
      <c r="B8" s="21"/>
      <c r="C8" s="21"/>
      <c r="D8" s="21"/>
      <c r="E8" s="21"/>
      <c r="F8" s="21"/>
      <c r="G8" s="21"/>
      <c r="H8" s="21"/>
      <c r="I8" s="21"/>
      <c r="J8" s="21"/>
      <c r="K8" s="21"/>
      <c r="L8" s="21"/>
      <c r="M8" s="21"/>
      <c r="N8" s="21"/>
      <c r="O8" s="21"/>
      <c r="P8" s="21"/>
      <c r="Q8" s="21"/>
      <c r="R8" s="21"/>
      <c r="S8" s="21"/>
      <c r="T8" s="21"/>
      <c r="U8" s="21"/>
      <c r="V8" s="21"/>
      <c r="W8" s="21"/>
      <c r="X8" s="21"/>
      <c r="Y8" s="21"/>
      <c r="Z8" s="21"/>
      <c r="AA8" s="21"/>
      <c r="AB8" s="21"/>
    </row>
    <row r="9" spans="1:28" x14ac:dyDescent="0.35">
      <c r="A9" s="12" t="s">
        <v>1145</v>
      </c>
      <c r="B9" s="22">
        <v>12.06</v>
      </c>
      <c r="C9" s="22">
        <v>12.06</v>
      </c>
      <c r="D9" s="22">
        <v>12.06</v>
      </c>
      <c r="E9" s="22">
        <v>12.06</v>
      </c>
      <c r="F9" s="22">
        <v>12.06</v>
      </c>
      <c r="G9" s="22">
        <v>12.06</v>
      </c>
      <c r="H9" s="22">
        <v>12.06</v>
      </c>
      <c r="I9" s="22">
        <v>12.06</v>
      </c>
      <c r="J9" s="22">
        <v>12.06</v>
      </c>
      <c r="K9" s="22">
        <v>12.06</v>
      </c>
      <c r="L9" s="22">
        <v>12.06</v>
      </c>
      <c r="M9" s="22">
        <v>12.06</v>
      </c>
      <c r="N9" s="22">
        <v>12.06</v>
      </c>
      <c r="O9" s="22">
        <v>12.06</v>
      </c>
      <c r="P9" s="22">
        <v>12.06</v>
      </c>
      <c r="Q9" s="22">
        <v>12.06</v>
      </c>
      <c r="R9" s="22">
        <v>12.06</v>
      </c>
      <c r="S9" s="22">
        <v>12.06</v>
      </c>
      <c r="T9" s="22">
        <v>12.06</v>
      </c>
      <c r="U9" s="22">
        <v>12.06</v>
      </c>
      <c r="V9" s="22">
        <v>12.06</v>
      </c>
      <c r="W9" s="22">
        <v>12.06</v>
      </c>
      <c r="X9" s="22">
        <v>12.06</v>
      </c>
      <c r="Y9" s="22">
        <v>12.06</v>
      </c>
      <c r="Z9" s="22">
        <v>12.06</v>
      </c>
      <c r="AA9" s="22">
        <v>12.06</v>
      </c>
      <c r="AB9" s="22">
        <v>12.06</v>
      </c>
    </row>
    <row r="10" spans="1:28" x14ac:dyDescent="0.35">
      <c r="A10" s="12" t="s">
        <v>1146</v>
      </c>
      <c r="B10" s="22">
        <v>4.2</v>
      </c>
      <c r="C10" s="22">
        <v>4.2</v>
      </c>
      <c r="D10" s="22">
        <v>4.2</v>
      </c>
      <c r="E10" s="22">
        <v>4.2</v>
      </c>
      <c r="F10" s="22">
        <v>4.2</v>
      </c>
      <c r="G10" s="22">
        <v>4.2</v>
      </c>
      <c r="H10" s="22">
        <v>4.2</v>
      </c>
      <c r="I10" s="22">
        <v>4.2</v>
      </c>
      <c r="J10" s="22">
        <v>4.2</v>
      </c>
      <c r="K10" s="22">
        <v>4.2</v>
      </c>
      <c r="L10" s="22">
        <v>4.2</v>
      </c>
      <c r="M10" s="22">
        <v>4.2</v>
      </c>
      <c r="N10" s="22">
        <v>4.2</v>
      </c>
      <c r="O10" s="22">
        <v>4.2</v>
      </c>
      <c r="P10" s="22">
        <v>4.2</v>
      </c>
      <c r="Q10" s="22">
        <v>4.2</v>
      </c>
      <c r="R10" s="22">
        <v>4.2</v>
      </c>
      <c r="S10" s="22">
        <v>4.2</v>
      </c>
      <c r="T10" s="22">
        <v>4.2</v>
      </c>
      <c r="U10" s="22">
        <v>4.2</v>
      </c>
      <c r="V10" s="22">
        <v>4.2</v>
      </c>
      <c r="W10" s="22">
        <v>4.2</v>
      </c>
      <c r="X10" s="22">
        <v>4.2</v>
      </c>
      <c r="Y10" s="22">
        <v>4.2</v>
      </c>
      <c r="Z10" s="22">
        <v>4.2</v>
      </c>
      <c r="AA10" s="22">
        <v>4.2</v>
      </c>
      <c r="AB10" s="22">
        <v>4.2</v>
      </c>
    </row>
    <row r="11" spans="1:28" x14ac:dyDescent="0.35">
      <c r="A11" s="12" t="s">
        <v>1147</v>
      </c>
      <c r="B11" s="22">
        <v>2387.4899999999998</v>
      </c>
      <c r="C11" s="22">
        <v>2387.4899999999998</v>
      </c>
      <c r="D11" s="22">
        <v>2387.4899999999998</v>
      </c>
      <c r="E11" s="22">
        <v>2387.4899999999998</v>
      </c>
      <c r="F11" s="22">
        <v>2387.4899999999998</v>
      </c>
      <c r="G11" s="22">
        <v>2387.4899999999998</v>
      </c>
      <c r="H11" s="22">
        <v>2387.4899999999998</v>
      </c>
      <c r="I11" s="22">
        <v>2387.4899999999998</v>
      </c>
      <c r="J11" s="22">
        <v>2387.4899999999998</v>
      </c>
      <c r="K11" s="22">
        <v>2387.4899999999998</v>
      </c>
      <c r="L11" s="22">
        <v>2387.4899999999998</v>
      </c>
      <c r="M11" s="22">
        <v>2387.4899999999998</v>
      </c>
      <c r="N11" s="22">
        <v>2387.4899999999998</v>
      </c>
      <c r="O11" s="22">
        <v>2387.4899999999998</v>
      </c>
      <c r="P11" s="22">
        <v>2387.4899999999998</v>
      </c>
      <c r="Q11" s="22">
        <v>2387.4899999999998</v>
      </c>
      <c r="R11" s="22">
        <v>2387.4899999999998</v>
      </c>
      <c r="S11" s="22">
        <v>2387.4899999999998</v>
      </c>
      <c r="T11" s="22">
        <v>2387.4899999999998</v>
      </c>
      <c r="U11" s="22">
        <v>2387.4899999999998</v>
      </c>
      <c r="V11" s="22">
        <v>2387.4899999999998</v>
      </c>
      <c r="W11" s="22">
        <v>2387.4899999999998</v>
      </c>
      <c r="X11" s="22">
        <v>2387.4899999999998</v>
      </c>
      <c r="Y11" s="22">
        <v>2387.4899999999998</v>
      </c>
      <c r="Z11" s="22">
        <v>2387.4899999999998</v>
      </c>
      <c r="AA11" s="22">
        <v>2387.4899999999998</v>
      </c>
      <c r="AB11" s="22">
        <v>2387.4899999999998</v>
      </c>
    </row>
    <row r="12" spans="1:28" x14ac:dyDescent="0.35">
      <c r="A12" s="12" t="s">
        <v>1148</v>
      </c>
      <c r="B12" s="22">
        <v>0.95</v>
      </c>
      <c r="C12" s="22">
        <v>0.95</v>
      </c>
      <c r="D12" s="22">
        <v>0.95</v>
      </c>
      <c r="E12" s="22">
        <v>0.95</v>
      </c>
      <c r="F12" s="22">
        <v>0.95</v>
      </c>
      <c r="G12" s="22">
        <v>0.95</v>
      </c>
      <c r="H12" s="22">
        <v>0.95</v>
      </c>
      <c r="I12" s="22">
        <v>0.95</v>
      </c>
      <c r="J12" s="22">
        <v>0.95</v>
      </c>
      <c r="K12" s="22">
        <v>0.95</v>
      </c>
      <c r="L12" s="22">
        <v>0.95</v>
      </c>
      <c r="M12" s="22">
        <v>0.95</v>
      </c>
      <c r="N12" s="22">
        <v>0.95</v>
      </c>
      <c r="O12" s="22">
        <v>0.95</v>
      </c>
      <c r="P12" s="22">
        <v>0.95</v>
      </c>
      <c r="Q12" s="22">
        <v>0.95</v>
      </c>
      <c r="R12" s="22">
        <v>0.95</v>
      </c>
      <c r="S12" s="22">
        <v>0.95</v>
      </c>
      <c r="T12" s="22">
        <v>0.95</v>
      </c>
      <c r="U12" s="22">
        <v>0.95</v>
      </c>
      <c r="V12" s="22">
        <v>0.95</v>
      </c>
      <c r="W12" s="22">
        <v>0.95</v>
      </c>
      <c r="X12" s="22">
        <v>0.95</v>
      </c>
      <c r="Y12" s="22">
        <v>0.95</v>
      </c>
      <c r="Z12" s="22">
        <v>0.95</v>
      </c>
      <c r="AA12" s="22">
        <v>0.95</v>
      </c>
      <c r="AB12" s="22">
        <v>0.95</v>
      </c>
    </row>
    <row r="13" spans="1:28" x14ac:dyDescent="0.35">
      <c r="A13" s="12" t="s">
        <v>1149</v>
      </c>
      <c r="B13" s="22">
        <v>21.3</v>
      </c>
      <c r="C13" s="22">
        <v>21.3</v>
      </c>
      <c r="D13" s="22">
        <v>21.3</v>
      </c>
      <c r="E13" s="22">
        <v>21.3</v>
      </c>
      <c r="F13" s="22">
        <v>21.3</v>
      </c>
      <c r="G13" s="22">
        <v>21.3</v>
      </c>
      <c r="H13" s="22">
        <v>21.3</v>
      </c>
      <c r="I13" s="22">
        <v>21.3</v>
      </c>
      <c r="J13" s="22">
        <v>21.3</v>
      </c>
      <c r="K13" s="22">
        <v>21.3</v>
      </c>
      <c r="L13" s="22">
        <v>21.3</v>
      </c>
      <c r="M13" s="22">
        <v>21.3</v>
      </c>
      <c r="N13" s="22">
        <v>21.3</v>
      </c>
      <c r="O13" s="22">
        <v>21.3</v>
      </c>
      <c r="P13" s="22">
        <v>21.3</v>
      </c>
      <c r="Q13" s="22">
        <v>21.3</v>
      </c>
      <c r="R13" s="22">
        <v>21.3</v>
      </c>
      <c r="S13" s="22">
        <v>21.3</v>
      </c>
      <c r="T13" s="22">
        <v>21.3</v>
      </c>
      <c r="U13" s="22">
        <v>21.3</v>
      </c>
      <c r="V13" s="22">
        <v>21.3</v>
      </c>
      <c r="W13" s="22">
        <v>21.3</v>
      </c>
      <c r="X13" s="22">
        <v>21.3</v>
      </c>
      <c r="Y13" s="22">
        <v>21.3</v>
      </c>
      <c r="Z13" s="22">
        <v>21.3</v>
      </c>
      <c r="AA13" s="22">
        <v>21.3</v>
      </c>
      <c r="AB13" s="22">
        <v>21.3</v>
      </c>
    </row>
    <row r="14" spans="1:28" x14ac:dyDescent="0.35">
      <c r="A14" s="12" t="s">
        <v>1150</v>
      </c>
      <c r="B14" s="22">
        <v>7.74</v>
      </c>
      <c r="C14" s="22">
        <v>7.74</v>
      </c>
      <c r="D14" s="22">
        <v>7.74</v>
      </c>
      <c r="E14" s="22">
        <v>7.74</v>
      </c>
      <c r="F14" s="22">
        <v>7.74</v>
      </c>
      <c r="G14" s="22">
        <v>7.74</v>
      </c>
      <c r="H14" s="22">
        <v>7.74</v>
      </c>
      <c r="I14" s="22">
        <v>7.74</v>
      </c>
      <c r="J14" s="22">
        <v>7.74</v>
      </c>
      <c r="K14" s="22">
        <v>7.74</v>
      </c>
      <c r="L14" s="22">
        <v>7.74</v>
      </c>
      <c r="M14" s="22">
        <v>7.74</v>
      </c>
      <c r="N14" s="22">
        <v>7.74</v>
      </c>
      <c r="O14" s="22">
        <v>7.74</v>
      </c>
      <c r="P14" s="22">
        <v>7.74</v>
      </c>
      <c r="Q14" s="22">
        <v>7.74</v>
      </c>
      <c r="R14" s="22">
        <v>7.74</v>
      </c>
      <c r="S14" s="22">
        <v>7.74</v>
      </c>
      <c r="T14" s="22">
        <v>7.74</v>
      </c>
      <c r="U14" s="22">
        <v>7.74</v>
      </c>
      <c r="V14" s="22">
        <v>7.74</v>
      </c>
      <c r="W14" s="22">
        <v>7.74</v>
      </c>
      <c r="X14" s="22">
        <v>7.74</v>
      </c>
      <c r="Y14" s="22">
        <v>7.74</v>
      </c>
      <c r="Z14" s="22">
        <v>7.74</v>
      </c>
      <c r="AA14" s="22">
        <v>7.74</v>
      </c>
      <c r="AB14" s="22">
        <v>7.74</v>
      </c>
    </row>
    <row r="15" spans="1:28" x14ac:dyDescent="0.35">
      <c r="A15" s="12" t="s">
        <v>1151</v>
      </c>
      <c r="B15" s="22">
        <v>994.24</v>
      </c>
      <c r="C15" s="22">
        <v>994.24</v>
      </c>
      <c r="D15" s="22">
        <v>994.24</v>
      </c>
      <c r="E15" s="22">
        <v>994.24</v>
      </c>
      <c r="F15" s="22">
        <v>994.24</v>
      </c>
      <c r="G15" s="22">
        <v>994.24</v>
      </c>
      <c r="H15" s="22">
        <v>994.24</v>
      </c>
      <c r="I15" s="22">
        <v>994.24</v>
      </c>
      <c r="J15" s="22">
        <v>994.24</v>
      </c>
      <c r="K15" s="22">
        <v>994.24</v>
      </c>
      <c r="L15" s="22">
        <v>994.24</v>
      </c>
      <c r="M15" s="22">
        <v>994.24</v>
      </c>
      <c r="N15" s="22">
        <v>994.24</v>
      </c>
      <c r="O15" s="22">
        <v>994.24</v>
      </c>
      <c r="P15" s="22">
        <v>994.24</v>
      </c>
      <c r="Q15" s="22">
        <v>994.24</v>
      </c>
      <c r="R15" s="22">
        <v>994.24</v>
      </c>
      <c r="S15" s="22">
        <v>994.24</v>
      </c>
      <c r="T15" s="22">
        <v>994.24</v>
      </c>
      <c r="U15" s="22">
        <v>994.24</v>
      </c>
      <c r="V15" s="22">
        <v>994.24</v>
      </c>
      <c r="W15" s="22">
        <v>994.24</v>
      </c>
      <c r="X15" s="22">
        <v>994.24</v>
      </c>
      <c r="Y15" s="22">
        <v>994.24</v>
      </c>
      <c r="Z15" s="22">
        <v>994.24</v>
      </c>
      <c r="AA15" s="22">
        <v>994.24</v>
      </c>
      <c r="AB15" s="22">
        <v>994.24</v>
      </c>
    </row>
    <row r="16" spans="1:28" x14ac:dyDescent="0.35">
      <c r="A16" s="12" t="s">
        <v>1152</v>
      </c>
      <c r="B16" s="22">
        <v>959.95</v>
      </c>
      <c r="C16" s="22">
        <v>959.95</v>
      </c>
      <c r="D16" s="22">
        <v>959.95</v>
      </c>
      <c r="E16" s="22">
        <v>959.95</v>
      </c>
      <c r="F16" s="22">
        <v>959.95</v>
      </c>
      <c r="G16" s="22">
        <v>959.95</v>
      </c>
      <c r="H16" s="22">
        <v>959.95</v>
      </c>
      <c r="I16" s="22">
        <v>959.95</v>
      </c>
      <c r="J16" s="22">
        <v>959.95</v>
      </c>
      <c r="K16" s="22">
        <v>959.95</v>
      </c>
      <c r="L16" s="22">
        <v>959.95</v>
      </c>
      <c r="M16" s="22">
        <v>959.95</v>
      </c>
      <c r="N16" s="22">
        <v>959.95</v>
      </c>
      <c r="O16" s="22">
        <v>959.95</v>
      </c>
      <c r="P16" s="22">
        <v>959.95</v>
      </c>
      <c r="Q16" s="22">
        <v>959.95</v>
      </c>
      <c r="R16" s="22">
        <v>959.95</v>
      </c>
      <c r="S16" s="22">
        <v>959.95</v>
      </c>
      <c r="T16" s="22">
        <v>959.95</v>
      </c>
      <c r="U16" s="22">
        <v>959.95</v>
      </c>
      <c r="V16" s="22">
        <v>959.95</v>
      </c>
      <c r="W16" s="22">
        <v>959.95</v>
      </c>
      <c r="X16" s="22">
        <v>959.95</v>
      </c>
      <c r="Y16" s="22">
        <v>959.95</v>
      </c>
      <c r="Z16" s="22">
        <v>959.95</v>
      </c>
      <c r="AA16" s="22">
        <v>959.95</v>
      </c>
      <c r="AB16" s="22">
        <v>959.95</v>
      </c>
    </row>
    <row r="17" spans="1:28" x14ac:dyDescent="0.35">
      <c r="A17" s="12" t="s">
        <v>1153</v>
      </c>
      <c r="B17" s="22">
        <v>4636.57</v>
      </c>
      <c r="C17" s="22">
        <v>4636.57</v>
      </c>
      <c r="D17" s="22">
        <v>4636.57</v>
      </c>
      <c r="E17" s="22">
        <v>4636.57</v>
      </c>
      <c r="F17" s="22">
        <v>4636.57</v>
      </c>
      <c r="G17" s="22">
        <v>4636.57</v>
      </c>
      <c r="H17" s="22">
        <v>4636.57</v>
      </c>
      <c r="I17" s="22">
        <v>4636.57</v>
      </c>
      <c r="J17" s="22">
        <v>4636.57</v>
      </c>
      <c r="K17" s="22">
        <v>4636.57</v>
      </c>
      <c r="L17" s="22">
        <v>4636.57</v>
      </c>
      <c r="M17" s="22">
        <v>4636.57</v>
      </c>
      <c r="N17" s="22">
        <v>4636.57</v>
      </c>
      <c r="O17" s="22">
        <v>4636.57</v>
      </c>
      <c r="P17" s="22">
        <v>4636.57</v>
      </c>
      <c r="Q17" s="22">
        <v>4636.57</v>
      </c>
      <c r="R17" s="22">
        <v>4636.57</v>
      </c>
      <c r="S17" s="22">
        <v>4636.57</v>
      </c>
      <c r="T17" s="22">
        <v>4636.57</v>
      </c>
      <c r="U17" s="22">
        <v>4636.57</v>
      </c>
      <c r="V17" s="22">
        <v>4636.57</v>
      </c>
      <c r="W17" s="22">
        <v>4636.57</v>
      </c>
      <c r="X17" s="22">
        <v>4636.57</v>
      </c>
      <c r="Y17" s="22">
        <v>4636.57</v>
      </c>
      <c r="Z17" s="22">
        <v>4636.57</v>
      </c>
      <c r="AA17" s="22">
        <v>4636.57</v>
      </c>
      <c r="AB17" s="22">
        <v>4636.57</v>
      </c>
    </row>
    <row r="18" spans="1:28" x14ac:dyDescent="0.35">
      <c r="A18" s="12" t="s">
        <v>1154</v>
      </c>
      <c r="B18" s="22">
        <v>28.25</v>
      </c>
      <c r="C18" s="22">
        <v>28.25</v>
      </c>
      <c r="D18" s="22">
        <v>28.25</v>
      </c>
      <c r="E18" s="22">
        <v>28.25</v>
      </c>
      <c r="F18" s="22">
        <v>28.25</v>
      </c>
      <c r="G18" s="22">
        <v>28.25</v>
      </c>
      <c r="H18" s="22">
        <v>28.25</v>
      </c>
      <c r="I18" s="22">
        <v>28.25</v>
      </c>
      <c r="J18" s="22">
        <v>28.25</v>
      </c>
      <c r="K18" s="22">
        <v>28.25</v>
      </c>
      <c r="L18" s="22">
        <v>28.25</v>
      </c>
      <c r="M18" s="22">
        <v>28.25</v>
      </c>
      <c r="N18" s="22">
        <v>28.25</v>
      </c>
      <c r="O18" s="22">
        <v>28.25</v>
      </c>
      <c r="P18" s="22">
        <v>28.25</v>
      </c>
      <c r="Q18" s="22">
        <v>28.25</v>
      </c>
      <c r="R18" s="22">
        <v>28.25</v>
      </c>
      <c r="S18" s="22">
        <v>28.25</v>
      </c>
      <c r="T18" s="22">
        <v>28.25</v>
      </c>
      <c r="U18" s="22">
        <v>28.25</v>
      </c>
      <c r="V18" s="22">
        <v>28.25</v>
      </c>
      <c r="W18" s="22">
        <v>28.25</v>
      </c>
      <c r="X18" s="22">
        <v>28.25</v>
      </c>
      <c r="Y18" s="22">
        <v>28.25</v>
      </c>
      <c r="Z18" s="22">
        <v>28.25</v>
      </c>
      <c r="AA18" s="22">
        <v>28.25</v>
      </c>
      <c r="AB18" s="22">
        <v>28.25</v>
      </c>
    </row>
    <row r="19" spans="1:28" x14ac:dyDescent="0.35">
      <c r="A19" s="12" t="s">
        <v>1155</v>
      </c>
      <c r="B19" s="22">
        <v>86.49</v>
      </c>
      <c r="C19" s="22">
        <v>86.49</v>
      </c>
      <c r="D19" s="22">
        <v>86.49</v>
      </c>
      <c r="E19" s="22">
        <v>86.49</v>
      </c>
      <c r="F19" s="22">
        <v>86.49</v>
      </c>
      <c r="G19" s="22">
        <v>86.49</v>
      </c>
      <c r="H19" s="22">
        <v>86.49</v>
      </c>
      <c r="I19" s="22">
        <v>86.49</v>
      </c>
      <c r="J19" s="22">
        <v>86.49</v>
      </c>
      <c r="K19" s="22">
        <v>86.49</v>
      </c>
      <c r="L19" s="22">
        <v>86.49</v>
      </c>
      <c r="M19" s="22">
        <v>86.49</v>
      </c>
      <c r="N19" s="22">
        <v>86.49</v>
      </c>
      <c r="O19" s="22">
        <v>86.49</v>
      </c>
      <c r="P19" s="22">
        <v>86.49</v>
      </c>
      <c r="Q19" s="22">
        <v>86.49</v>
      </c>
      <c r="R19" s="22">
        <v>86.49</v>
      </c>
      <c r="S19" s="22">
        <v>86.49</v>
      </c>
      <c r="T19" s="22">
        <v>86.49</v>
      </c>
      <c r="U19" s="22">
        <v>86.49</v>
      </c>
      <c r="V19" s="22">
        <v>86.49</v>
      </c>
      <c r="W19" s="22">
        <v>86.49</v>
      </c>
      <c r="X19" s="22">
        <v>86.49</v>
      </c>
      <c r="Y19" s="22">
        <v>86.49</v>
      </c>
      <c r="Z19" s="22">
        <v>86.49</v>
      </c>
      <c r="AA19" s="22">
        <v>86.49</v>
      </c>
      <c r="AB19" s="22">
        <v>86.49</v>
      </c>
    </row>
    <row r="20" spans="1:28" x14ac:dyDescent="0.35">
      <c r="A20" s="12" t="s">
        <v>1156</v>
      </c>
      <c r="B20" s="22">
        <v>1.27</v>
      </c>
      <c r="C20" s="22">
        <v>1.27</v>
      </c>
      <c r="D20" s="22">
        <v>1.27</v>
      </c>
      <c r="E20" s="22">
        <v>1.27</v>
      </c>
      <c r="F20" s="22">
        <v>1.27</v>
      </c>
      <c r="G20" s="22">
        <v>1.27</v>
      </c>
      <c r="H20" s="22">
        <v>1.27</v>
      </c>
      <c r="I20" s="22">
        <v>1.27</v>
      </c>
      <c r="J20" s="22">
        <v>1.27</v>
      </c>
      <c r="K20" s="22">
        <v>1.27</v>
      </c>
      <c r="L20" s="22">
        <v>1.27</v>
      </c>
      <c r="M20" s="22">
        <v>1.27</v>
      </c>
      <c r="N20" s="22">
        <v>1.27</v>
      </c>
      <c r="O20" s="22">
        <v>1.27</v>
      </c>
      <c r="P20" s="22">
        <v>1.27</v>
      </c>
      <c r="Q20" s="22">
        <v>1.27</v>
      </c>
      <c r="R20" s="22">
        <v>1.27</v>
      </c>
      <c r="S20" s="22">
        <v>1.27</v>
      </c>
      <c r="T20" s="22">
        <v>1.27</v>
      </c>
      <c r="U20" s="22">
        <v>1.27</v>
      </c>
      <c r="V20" s="22">
        <v>1.27</v>
      </c>
      <c r="W20" s="22">
        <v>1.27</v>
      </c>
      <c r="X20" s="22">
        <v>1.27</v>
      </c>
      <c r="Y20" s="22">
        <v>1.27</v>
      </c>
      <c r="Z20" s="22">
        <v>1.27</v>
      </c>
      <c r="AA20" s="22">
        <v>1.27</v>
      </c>
      <c r="AB20" s="22">
        <v>1.27</v>
      </c>
    </row>
    <row r="21" spans="1:28" x14ac:dyDescent="0.35">
      <c r="A21" s="12" t="s">
        <v>1157</v>
      </c>
      <c r="B21" s="22">
        <v>0</v>
      </c>
      <c r="C21" s="22">
        <v>0</v>
      </c>
      <c r="D21" s="22">
        <v>0</v>
      </c>
      <c r="E21" s="22">
        <v>0</v>
      </c>
      <c r="F21" s="22">
        <v>0</v>
      </c>
      <c r="G21" s="22">
        <v>0</v>
      </c>
      <c r="H21" s="22">
        <v>0</v>
      </c>
      <c r="I21" s="22">
        <v>0</v>
      </c>
      <c r="J21" s="22">
        <v>0</v>
      </c>
      <c r="K21" s="22">
        <v>0</v>
      </c>
      <c r="L21" s="22">
        <v>0</v>
      </c>
      <c r="M21" s="22">
        <v>0</v>
      </c>
      <c r="N21" s="22">
        <v>0</v>
      </c>
      <c r="O21" s="22">
        <v>0</v>
      </c>
      <c r="P21" s="22">
        <v>0</v>
      </c>
      <c r="Q21" s="22">
        <v>0</v>
      </c>
      <c r="R21" s="22">
        <v>0</v>
      </c>
      <c r="S21" s="22">
        <v>0</v>
      </c>
      <c r="T21" s="22">
        <v>0</v>
      </c>
      <c r="U21" s="22">
        <v>0</v>
      </c>
      <c r="V21" s="22">
        <v>0</v>
      </c>
      <c r="W21" s="22">
        <v>0</v>
      </c>
      <c r="X21" s="22">
        <v>0</v>
      </c>
      <c r="Y21" s="22">
        <v>0</v>
      </c>
      <c r="Z21" s="22">
        <v>0</v>
      </c>
      <c r="AA21" s="22">
        <v>0</v>
      </c>
      <c r="AB21" s="22">
        <v>0</v>
      </c>
    </row>
    <row r="22" spans="1:28" x14ac:dyDescent="0.35">
      <c r="A22" s="10" t="s">
        <v>1158</v>
      </c>
    </row>
    <row r="23" spans="1:28" x14ac:dyDescent="0.35">
      <c r="A23" s="12" t="s">
        <v>1159</v>
      </c>
      <c r="B23" s="22">
        <v>0</v>
      </c>
      <c r="C23" s="22">
        <v>0</v>
      </c>
      <c r="D23" s="22">
        <v>0</v>
      </c>
      <c r="E23" s="22">
        <v>0</v>
      </c>
      <c r="F23" s="22">
        <v>0</v>
      </c>
      <c r="G23" s="22">
        <v>0</v>
      </c>
      <c r="H23" s="22">
        <v>0</v>
      </c>
      <c r="I23" s="22">
        <v>0</v>
      </c>
      <c r="J23" s="22">
        <v>0</v>
      </c>
      <c r="K23" s="22">
        <v>0</v>
      </c>
      <c r="L23" s="22">
        <v>0</v>
      </c>
      <c r="M23" s="22">
        <v>0</v>
      </c>
      <c r="N23" s="22">
        <v>0</v>
      </c>
      <c r="O23" s="22">
        <v>0</v>
      </c>
      <c r="P23" s="22">
        <v>0</v>
      </c>
      <c r="Q23" s="22">
        <v>0</v>
      </c>
      <c r="R23" s="22">
        <v>0</v>
      </c>
      <c r="S23" s="22">
        <v>0</v>
      </c>
      <c r="T23" s="22">
        <v>0</v>
      </c>
      <c r="U23" s="22">
        <v>0</v>
      </c>
      <c r="V23" s="22">
        <v>0</v>
      </c>
      <c r="W23" s="22">
        <v>0</v>
      </c>
      <c r="X23" s="22">
        <v>0</v>
      </c>
      <c r="Y23" s="22">
        <v>0</v>
      </c>
      <c r="Z23" s="22">
        <v>0</v>
      </c>
      <c r="AA23" s="22">
        <v>0</v>
      </c>
      <c r="AB23" s="22">
        <v>0</v>
      </c>
    </row>
    <row r="24" spans="1:28" x14ac:dyDescent="0.35">
      <c r="A24" s="10" t="s">
        <v>1160</v>
      </c>
    </row>
    <row r="25" spans="1:28" x14ac:dyDescent="0.35">
      <c r="A25" s="12" t="s">
        <v>1161</v>
      </c>
      <c r="B25" s="22">
        <v>915.44077099236597</v>
      </c>
      <c r="C25" s="22">
        <v>916.32</v>
      </c>
      <c r="D25" s="22">
        <v>916.32</v>
      </c>
      <c r="E25" s="22">
        <v>916.32</v>
      </c>
      <c r="F25" s="22">
        <v>916.32</v>
      </c>
      <c r="G25" s="22">
        <v>916.32</v>
      </c>
      <c r="H25" s="22">
        <v>916.32</v>
      </c>
      <c r="I25" s="22">
        <v>916.32</v>
      </c>
      <c r="J25" s="22">
        <v>916.32</v>
      </c>
      <c r="K25" s="22">
        <v>916.32</v>
      </c>
      <c r="L25" s="22">
        <v>916.32</v>
      </c>
      <c r="M25" s="22">
        <v>916.32</v>
      </c>
      <c r="N25" s="22">
        <v>916.32</v>
      </c>
      <c r="O25" s="22">
        <v>916.32</v>
      </c>
      <c r="P25" s="22">
        <v>916.32</v>
      </c>
      <c r="Q25" s="22">
        <v>916.32</v>
      </c>
      <c r="R25" s="22">
        <v>916.32</v>
      </c>
      <c r="S25" s="22">
        <v>916.32</v>
      </c>
      <c r="T25" s="22">
        <v>916.32</v>
      </c>
      <c r="U25" s="22">
        <v>916.32</v>
      </c>
      <c r="V25" s="22">
        <v>916.32</v>
      </c>
      <c r="W25" s="22">
        <v>916.32</v>
      </c>
      <c r="X25" s="22">
        <v>916.32</v>
      </c>
      <c r="Y25" s="22">
        <v>916.32</v>
      </c>
      <c r="Z25" s="22">
        <v>916.32</v>
      </c>
      <c r="AA25" s="22">
        <v>916.32</v>
      </c>
      <c r="AB25" s="22">
        <v>916.32</v>
      </c>
    </row>
    <row r="26" spans="1:28" x14ac:dyDescent="0.35">
      <c r="A26" s="12" t="s">
        <v>1162</v>
      </c>
      <c r="B26" s="22">
        <v>392.89064885495685</v>
      </c>
      <c r="C26" s="22">
        <v>392.74</v>
      </c>
      <c r="D26" s="22">
        <v>392.74</v>
      </c>
      <c r="E26" s="22">
        <v>392.74</v>
      </c>
      <c r="F26" s="22">
        <v>392.74</v>
      </c>
      <c r="G26" s="22">
        <v>392.74</v>
      </c>
      <c r="H26" s="22">
        <v>392.74</v>
      </c>
      <c r="I26" s="22">
        <v>392.74</v>
      </c>
      <c r="J26" s="22">
        <v>392.74</v>
      </c>
      <c r="K26" s="22">
        <v>392.74</v>
      </c>
      <c r="L26" s="22">
        <v>392.74</v>
      </c>
      <c r="M26" s="22">
        <v>392.74</v>
      </c>
      <c r="N26" s="22">
        <v>392.74</v>
      </c>
      <c r="O26" s="22">
        <v>392.74</v>
      </c>
      <c r="P26" s="22">
        <v>392.74</v>
      </c>
      <c r="Q26" s="22">
        <v>392.74</v>
      </c>
      <c r="R26" s="22">
        <v>392.74</v>
      </c>
      <c r="S26" s="22">
        <v>392.74</v>
      </c>
      <c r="T26" s="22">
        <v>392.74</v>
      </c>
      <c r="U26" s="22">
        <v>392.74</v>
      </c>
      <c r="V26" s="22">
        <v>392.74</v>
      </c>
      <c r="W26" s="22">
        <v>392.74</v>
      </c>
      <c r="X26" s="22">
        <v>392.74</v>
      </c>
      <c r="Y26" s="22">
        <v>392.74</v>
      </c>
      <c r="Z26" s="22">
        <v>392.74</v>
      </c>
      <c r="AA26" s="22">
        <v>392.74</v>
      </c>
      <c r="AB26" s="22">
        <v>392.74</v>
      </c>
    </row>
    <row r="27" spans="1:28" x14ac:dyDescent="0.35">
      <c r="A27" s="12" t="s">
        <v>1163</v>
      </c>
      <c r="B27" s="22">
        <v>1.5165366412214076</v>
      </c>
      <c r="C27" s="22">
        <v>1.52</v>
      </c>
      <c r="D27" s="22">
        <v>1.52</v>
      </c>
      <c r="E27" s="22">
        <v>1.52</v>
      </c>
      <c r="F27" s="22">
        <v>1.52</v>
      </c>
      <c r="G27" s="22">
        <v>1.52</v>
      </c>
      <c r="H27" s="22">
        <v>1.52</v>
      </c>
      <c r="I27" s="22">
        <v>1.52</v>
      </c>
      <c r="J27" s="22">
        <v>1.52</v>
      </c>
      <c r="K27" s="22">
        <v>1.52</v>
      </c>
      <c r="L27" s="22">
        <v>1.52</v>
      </c>
      <c r="M27" s="22">
        <v>1.52</v>
      </c>
      <c r="N27" s="22">
        <v>1.52</v>
      </c>
      <c r="O27" s="22">
        <v>1.52</v>
      </c>
      <c r="P27" s="22">
        <v>1.52</v>
      </c>
      <c r="Q27" s="22">
        <v>1.52</v>
      </c>
      <c r="R27" s="22">
        <v>1.52</v>
      </c>
      <c r="S27" s="22">
        <v>1.52</v>
      </c>
      <c r="T27" s="22">
        <v>1.52</v>
      </c>
      <c r="U27" s="22">
        <v>1.52</v>
      </c>
      <c r="V27" s="22">
        <v>1.52</v>
      </c>
      <c r="W27" s="22">
        <v>1.52</v>
      </c>
      <c r="X27" s="22">
        <v>1.52</v>
      </c>
      <c r="Y27" s="22">
        <v>1.52</v>
      </c>
      <c r="Z27" s="22">
        <v>1.52</v>
      </c>
      <c r="AA27" s="22">
        <v>1.52</v>
      </c>
      <c r="AB27" s="22">
        <v>1.52</v>
      </c>
    </row>
    <row r="28" spans="1:28" x14ac:dyDescent="0.35">
      <c r="A28" s="12" t="s">
        <v>1164</v>
      </c>
      <c r="B28" s="22">
        <v>6.9297709923667119</v>
      </c>
      <c r="C28" s="22">
        <v>6.91</v>
      </c>
      <c r="D28" s="22">
        <v>6.91</v>
      </c>
      <c r="E28" s="22">
        <v>6.91</v>
      </c>
      <c r="F28" s="22">
        <v>6.91</v>
      </c>
      <c r="G28" s="22">
        <v>6.91</v>
      </c>
      <c r="H28" s="22">
        <v>6.91</v>
      </c>
      <c r="I28" s="22">
        <v>6.91</v>
      </c>
      <c r="J28" s="22">
        <v>6.91</v>
      </c>
      <c r="K28" s="22">
        <v>6.91</v>
      </c>
      <c r="L28" s="22">
        <v>6.91</v>
      </c>
      <c r="M28" s="22">
        <v>6.91</v>
      </c>
      <c r="N28" s="22">
        <v>6.91</v>
      </c>
      <c r="O28" s="22">
        <v>6.91</v>
      </c>
      <c r="P28" s="22">
        <v>6.91</v>
      </c>
      <c r="Q28" s="22">
        <v>6.91</v>
      </c>
      <c r="R28" s="22">
        <v>6.91</v>
      </c>
      <c r="S28" s="22">
        <v>6.91</v>
      </c>
      <c r="T28" s="22">
        <v>6.91</v>
      </c>
      <c r="U28" s="22">
        <v>6.91</v>
      </c>
      <c r="V28" s="22">
        <v>6.91</v>
      </c>
      <c r="W28" s="22">
        <v>6.91</v>
      </c>
      <c r="X28" s="22">
        <v>6.91</v>
      </c>
      <c r="Y28" s="22">
        <v>6.91</v>
      </c>
      <c r="Z28" s="22">
        <v>6.91</v>
      </c>
      <c r="AA28" s="22">
        <v>6.91</v>
      </c>
      <c r="AB28" s="22">
        <v>6.91</v>
      </c>
    </row>
    <row r="29" spans="1:28" x14ac:dyDescent="0.35">
      <c r="A29" s="12" t="s">
        <v>1165</v>
      </c>
      <c r="B29" s="22">
        <v>13.56129541984771</v>
      </c>
      <c r="C29" s="22">
        <v>13.56</v>
      </c>
      <c r="D29" s="22">
        <v>13.56</v>
      </c>
      <c r="E29" s="22">
        <v>13.56</v>
      </c>
      <c r="F29" s="22">
        <v>13.56</v>
      </c>
      <c r="G29" s="22">
        <v>13.56</v>
      </c>
      <c r="H29" s="22">
        <v>13.56</v>
      </c>
      <c r="I29" s="22">
        <v>13.56</v>
      </c>
      <c r="J29" s="22">
        <v>13.56</v>
      </c>
      <c r="K29" s="22">
        <v>13.56</v>
      </c>
      <c r="L29" s="22">
        <v>13.56</v>
      </c>
      <c r="M29" s="22">
        <v>13.56</v>
      </c>
      <c r="N29" s="22">
        <v>13.56</v>
      </c>
      <c r="O29" s="22">
        <v>13.56</v>
      </c>
      <c r="P29" s="22">
        <v>13.56</v>
      </c>
      <c r="Q29" s="22">
        <v>13.56</v>
      </c>
      <c r="R29" s="22">
        <v>13.56</v>
      </c>
      <c r="S29" s="22">
        <v>13.56</v>
      </c>
      <c r="T29" s="22">
        <v>13.56</v>
      </c>
      <c r="U29" s="22">
        <v>13.56</v>
      </c>
      <c r="V29" s="22">
        <v>13.56</v>
      </c>
      <c r="W29" s="22">
        <v>13.56</v>
      </c>
      <c r="X29" s="22">
        <v>13.56</v>
      </c>
      <c r="Y29" s="22">
        <v>13.56</v>
      </c>
      <c r="Z29" s="22">
        <v>13.56</v>
      </c>
      <c r="AA29" s="22">
        <v>13.56</v>
      </c>
      <c r="AB29" s="22">
        <v>13.56</v>
      </c>
    </row>
    <row r="30" spans="1:28" x14ac:dyDescent="0.35">
      <c r="A30" s="12" t="s">
        <v>1166</v>
      </c>
      <c r="B30" s="22">
        <v>5.3914694656487665</v>
      </c>
      <c r="C30" s="22">
        <v>5.39</v>
      </c>
      <c r="D30" s="22">
        <v>5.39</v>
      </c>
      <c r="E30" s="22">
        <v>5.39</v>
      </c>
      <c r="F30" s="22">
        <v>5.39</v>
      </c>
      <c r="G30" s="22">
        <v>5.39</v>
      </c>
      <c r="H30" s="22">
        <v>5.39</v>
      </c>
      <c r="I30" s="22">
        <v>5.39</v>
      </c>
      <c r="J30" s="22">
        <v>5.39</v>
      </c>
      <c r="K30" s="22">
        <v>5.39</v>
      </c>
      <c r="L30" s="22">
        <v>5.39</v>
      </c>
      <c r="M30" s="22">
        <v>5.39</v>
      </c>
      <c r="N30" s="22">
        <v>5.39</v>
      </c>
      <c r="O30" s="22">
        <v>5.39</v>
      </c>
      <c r="P30" s="22">
        <v>5.39</v>
      </c>
      <c r="Q30" s="22">
        <v>5.39</v>
      </c>
      <c r="R30" s="22">
        <v>5.39</v>
      </c>
      <c r="S30" s="22">
        <v>5.39</v>
      </c>
      <c r="T30" s="22">
        <v>5.39</v>
      </c>
      <c r="U30" s="22">
        <v>5.39</v>
      </c>
      <c r="V30" s="22">
        <v>5.39</v>
      </c>
      <c r="W30" s="22">
        <v>5.39</v>
      </c>
      <c r="X30" s="22">
        <v>5.39</v>
      </c>
      <c r="Y30" s="22">
        <v>5.39</v>
      </c>
      <c r="Z30" s="22">
        <v>5.39</v>
      </c>
      <c r="AA30" s="22">
        <v>5.39</v>
      </c>
      <c r="AB30" s="22">
        <v>5.39</v>
      </c>
    </row>
    <row r="31" spans="1:28" x14ac:dyDescent="0.35">
      <c r="A31" s="12" t="s">
        <v>1167</v>
      </c>
      <c r="B31" s="22">
        <v>0.92458511450381553</v>
      </c>
      <c r="C31" s="22">
        <v>1.81</v>
      </c>
      <c r="D31" s="22">
        <v>1.81</v>
      </c>
      <c r="E31" s="22">
        <v>1.81</v>
      </c>
      <c r="F31" s="22">
        <v>1.81</v>
      </c>
      <c r="G31" s="22">
        <v>1.81</v>
      </c>
      <c r="H31" s="22">
        <v>1.81</v>
      </c>
      <c r="I31" s="22">
        <v>1.81</v>
      </c>
      <c r="J31" s="22">
        <v>1.81</v>
      </c>
      <c r="K31" s="22">
        <v>1.81</v>
      </c>
      <c r="L31" s="22">
        <v>1.81</v>
      </c>
      <c r="M31" s="22">
        <v>1.81</v>
      </c>
      <c r="N31" s="22">
        <v>1.81</v>
      </c>
      <c r="O31" s="22">
        <v>1.81</v>
      </c>
      <c r="P31" s="22">
        <v>1.81</v>
      </c>
      <c r="Q31" s="22">
        <v>1.81</v>
      </c>
      <c r="R31" s="22">
        <v>1.81</v>
      </c>
      <c r="S31" s="22">
        <v>1.81</v>
      </c>
      <c r="T31" s="22">
        <v>1.81</v>
      </c>
      <c r="U31" s="22">
        <v>1.81</v>
      </c>
      <c r="V31" s="22">
        <v>1.81</v>
      </c>
      <c r="W31" s="22">
        <v>1.81</v>
      </c>
      <c r="X31" s="22">
        <v>1.81</v>
      </c>
      <c r="Y31" s="22">
        <v>1.81</v>
      </c>
      <c r="Z31" s="22">
        <v>1.81</v>
      </c>
      <c r="AA31" s="22">
        <v>1.81</v>
      </c>
      <c r="AB31" s="22">
        <v>1.81</v>
      </c>
    </row>
    <row r="32" spans="1:28" x14ac:dyDescent="0.35">
      <c r="A32" s="12" t="s">
        <v>1168</v>
      </c>
      <c r="B32" s="22">
        <v>1.3700603244274725</v>
      </c>
      <c r="C32" s="22">
        <v>1.37</v>
      </c>
      <c r="D32" s="22">
        <v>1.37</v>
      </c>
      <c r="E32" s="22">
        <v>1.37</v>
      </c>
      <c r="F32" s="22">
        <v>1.37</v>
      </c>
      <c r="G32" s="22">
        <v>1.37</v>
      </c>
      <c r="H32" s="22">
        <v>1.37</v>
      </c>
      <c r="I32" s="22">
        <v>1.37</v>
      </c>
      <c r="J32" s="22">
        <v>1.37</v>
      </c>
      <c r="K32" s="22">
        <v>1.37</v>
      </c>
      <c r="L32" s="22">
        <v>1.37</v>
      </c>
      <c r="M32" s="22">
        <v>1.37</v>
      </c>
      <c r="N32" s="22">
        <v>1.37</v>
      </c>
      <c r="O32" s="22">
        <v>1.37</v>
      </c>
      <c r="P32" s="22">
        <v>1.37</v>
      </c>
      <c r="Q32" s="22">
        <v>1.37</v>
      </c>
      <c r="R32" s="22">
        <v>1.37</v>
      </c>
      <c r="S32" s="22">
        <v>1.37</v>
      </c>
      <c r="T32" s="22">
        <v>1.37</v>
      </c>
      <c r="U32" s="22">
        <v>1.37</v>
      </c>
      <c r="V32" s="22">
        <v>1.37</v>
      </c>
      <c r="W32" s="22">
        <v>1.37</v>
      </c>
      <c r="X32" s="22">
        <v>1.37</v>
      </c>
      <c r="Y32" s="22">
        <v>1.37</v>
      </c>
      <c r="Z32" s="22">
        <v>1.37</v>
      </c>
      <c r="AA32" s="22">
        <v>1.37</v>
      </c>
      <c r="AB32" s="22">
        <v>1.37</v>
      </c>
    </row>
    <row r="33" spans="1:28" x14ac:dyDescent="0.35">
      <c r="A33" s="12" t="s">
        <v>1169</v>
      </c>
      <c r="B33" s="22">
        <v>943.9583969465599</v>
      </c>
      <c r="C33" s="22">
        <v>943.69</v>
      </c>
      <c r="D33" s="22">
        <v>943.69</v>
      </c>
      <c r="E33" s="22">
        <v>943.69</v>
      </c>
      <c r="F33" s="22">
        <v>943.69</v>
      </c>
      <c r="G33" s="22">
        <v>943.69</v>
      </c>
      <c r="H33" s="22">
        <v>943.69</v>
      </c>
      <c r="I33" s="22">
        <v>943.69</v>
      </c>
      <c r="J33" s="22">
        <v>943.69</v>
      </c>
      <c r="K33" s="22">
        <v>943.69</v>
      </c>
      <c r="L33" s="22">
        <v>943.69</v>
      </c>
      <c r="M33" s="22">
        <v>943.69</v>
      </c>
      <c r="N33" s="22">
        <v>943.69</v>
      </c>
      <c r="O33" s="22">
        <v>943.69</v>
      </c>
      <c r="P33" s="22">
        <v>943.69</v>
      </c>
      <c r="Q33" s="22">
        <v>943.69</v>
      </c>
      <c r="R33" s="22">
        <v>943.69</v>
      </c>
      <c r="S33" s="22">
        <v>943.69</v>
      </c>
      <c r="T33" s="22">
        <v>943.69</v>
      </c>
      <c r="U33" s="22">
        <v>943.69</v>
      </c>
      <c r="V33" s="22">
        <v>943.69</v>
      </c>
      <c r="W33" s="22">
        <v>943.69</v>
      </c>
      <c r="X33" s="22">
        <v>943.69</v>
      </c>
      <c r="Y33" s="22">
        <v>943.69</v>
      </c>
      <c r="Z33" s="22">
        <v>943.69</v>
      </c>
      <c r="AA33" s="22">
        <v>943.69</v>
      </c>
      <c r="AB33" s="22">
        <v>943.69</v>
      </c>
    </row>
    <row r="34" spans="1:28" x14ac:dyDescent="0.35">
      <c r="A34" s="12" t="s">
        <v>1170</v>
      </c>
      <c r="B34" s="22">
        <v>7.1940595419846503</v>
      </c>
      <c r="C34" s="22">
        <v>7.12</v>
      </c>
      <c r="D34" s="22">
        <v>7.12</v>
      </c>
      <c r="E34" s="22">
        <v>7.12</v>
      </c>
      <c r="F34" s="22">
        <v>7.12</v>
      </c>
      <c r="G34" s="22">
        <v>7.12</v>
      </c>
      <c r="H34" s="22">
        <v>7.12</v>
      </c>
      <c r="I34" s="22">
        <v>7.12</v>
      </c>
      <c r="J34" s="22">
        <v>7.12</v>
      </c>
      <c r="K34" s="22">
        <v>7.12</v>
      </c>
      <c r="L34" s="22">
        <v>7.12</v>
      </c>
      <c r="M34" s="22">
        <v>7.12</v>
      </c>
      <c r="N34" s="22">
        <v>7.12</v>
      </c>
      <c r="O34" s="22">
        <v>7.12</v>
      </c>
      <c r="P34" s="22">
        <v>7.12</v>
      </c>
      <c r="Q34" s="22">
        <v>7.12</v>
      </c>
      <c r="R34" s="22">
        <v>7.12</v>
      </c>
      <c r="S34" s="22">
        <v>7.12</v>
      </c>
      <c r="T34" s="22">
        <v>7.12</v>
      </c>
      <c r="U34" s="22">
        <v>7.12</v>
      </c>
      <c r="V34" s="22">
        <v>7.12</v>
      </c>
      <c r="W34" s="22">
        <v>7.12</v>
      </c>
      <c r="X34" s="22">
        <v>7.12</v>
      </c>
      <c r="Y34" s="22">
        <v>7.12</v>
      </c>
      <c r="Z34" s="22">
        <v>7.12</v>
      </c>
      <c r="AA34" s="22">
        <v>7.12</v>
      </c>
      <c r="AB34" s="22">
        <v>7.12</v>
      </c>
    </row>
    <row r="35" spans="1:28" x14ac:dyDescent="0.35">
      <c r="A35" s="12" t="s">
        <v>1171</v>
      </c>
      <c r="B35" s="22">
        <v>2793.7624618320278</v>
      </c>
      <c r="C35" s="22">
        <v>2802.3</v>
      </c>
      <c r="D35" s="22">
        <v>2802.3</v>
      </c>
      <c r="E35" s="22">
        <v>2802.3</v>
      </c>
      <c r="F35" s="22">
        <v>2802.3</v>
      </c>
      <c r="G35" s="22">
        <v>2802.3</v>
      </c>
      <c r="H35" s="22">
        <v>2802.3</v>
      </c>
      <c r="I35" s="22">
        <v>2802.3</v>
      </c>
      <c r="J35" s="22">
        <v>2802.3</v>
      </c>
      <c r="K35" s="22">
        <v>2802.3</v>
      </c>
      <c r="L35" s="22">
        <v>2802.3</v>
      </c>
      <c r="M35" s="22">
        <v>2802.3</v>
      </c>
      <c r="N35" s="22">
        <v>2802.3</v>
      </c>
      <c r="O35" s="22">
        <v>2802.3</v>
      </c>
      <c r="P35" s="22">
        <v>2802.3</v>
      </c>
      <c r="Q35" s="22">
        <v>2802.3</v>
      </c>
      <c r="R35" s="22">
        <v>2802.3</v>
      </c>
      <c r="S35" s="22">
        <v>2802.3</v>
      </c>
      <c r="T35" s="22">
        <v>2802.3</v>
      </c>
      <c r="U35" s="22">
        <v>2802.3</v>
      </c>
      <c r="V35" s="22">
        <v>2802.3</v>
      </c>
      <c r="W35" s="22">
        <v>2802.3</v>
      </c>
      <c r="X35" s="22">
        <v>2802.3</v>
      </c>
      <c r="Y35" s="22">
        <v>2802.3</v>
      </c>
      <c r="Z35" s="22">
        <v>2802.3</v>
      </c>
      <c r="AA35" s="22">
        <v>2802.3</v>
      </c>
      <c r="AB35" s="22">
        <v>2802.3</v>
      </c>
    </row>
    <row r="36" spans="1:28" x14ac:dyDescent="0.35">
      <c r="A36" s="12" t="s">
        <v>1172</v>
      </c>
      <c r="B36" s="22">
        <v>59.389646946564973</v>
      </c>
      <c r="C36" s="22">
        <v>59.57</v>
      </c>
      <c r="D36" s="22">
        <v>59.57</v>
      </c>
      <c r="E36" s="22">
        <v>59.57</v>
      </c>
      <c r="F36" s="22">
        <v>59.57</v>
      </c>
      <c r="G36" s="22">
        <v>59.57</v>
      </c>
      <c r="H36" s="22">
        <v>59.57</v>
      </c>
      <c r="I36" s="22">
        <v>59.57</v>
      </c>
      <c r="J36" s="22">
        <v>59.57</v>
      </c>
      <c r="K36" s="22">
        <v>59.57</v>
      </c>
      <c r="L36" s="22">
        <v>59.57</v>
      </c>
      <c r="M36" s="22">
        <v>59.57</v>
      </c>
      <c r="N36" s="22">
        <v>59.57</v>
      </c>
      <c r="O36" s="22">
        <v>59.57</v>
      </c>
      <c r="P36" s="22">
        <v>59.57</v>
      </c>
      <c r="Q36" s="22">
        <v>59.57</v>
      </c>
      <c r="R36" s="22">
        <v>59.57</v>
      </c>
      <c r="S36" s="22">
        <v>59.57</v>
      </c>
      <c r="T36" s="22">
        <v>59.57</v>
      </c>
      <c r="U36" s="22">
        <v>59.57</v>
      </c>
      <c r="V36" s="22">
        <v>59.57</v>
      </c>
      <c r="W36" s="22">
        <v>59.57</v>
      </c>
      <c r="X36" s="22">
        <v>59.57</v>
      </c>
      <c r="Y36" s="22">
        <v>59.57</v>
      </c>
      <c r="Z36" s="22">
        <v>59.57</v>
      </c>
      <c r="AA36" s="22">
        <v>59.57</v>
      </c>
      <c r="AB36" s="22">
        <v>59.57</v>
      </c>
    </row>
    <row r="37" spans="1:28" x14ac:dyDescent="0.35">
      <c r="A37" s="12" t="s">
        <v>1173</v>
      </c>
      <c r="B37" s="22">
        <v>1</v>
      </c>
      <c r="C37" s="22">
        <v>1</v>
      </c>
      <c r="D37" s="22">
        <v>1</v>
      </c>
      <c r="E37" s="22">
        <v>1</v>
      </c>
      <c r="F37" s="22">
        <v>1</v>
      </c>
      <c r="G37" s="22">
        <v>1</v>
      </c>
      <c r="H37" s="22">
        <v>1</v>
      </c>
      <c r="I37" s="22">
        <v>1</v>
      </c>
      <c r="J37" s="22">
        <v>1</v>
      </c>
      <c r="K37" s="22">
        <v>1</v>
      </c>
      <c r="L37" s="22">
        <v>1</v>
      </c>
      <c r="M37" s="22">
        <v>1</v>
      </c>
      <c r="N37" s="22">
        <v>1</v>
      </c>
      <c r="O37" s="22">
        <v>1</v>
      </c>
      <c r="P37" s="22">
        <v>1</v>
      </c>
      <c r="Q37" s="22">
        <v>1</v>
      </c>
      <c r="R37" s="22">
        <v>1</v>
      </c>
      <c r="S37" s="22">
        <v>1</v>
      </c>
      <c r="T37" s="22">
        <v>1</v>
      </c>
      <c r="U37" s="22">
        <v>1</v>
      </c>
      <c r="V37" s="22">
        <v>1</v>
      </c>
      <c r="W37" s="22">
        <v>1</v>
      </c>
      <c r="X37" s="22">
        <v>1</v>
      </c>
      <c r="Y37" s="22">
        <v>1</v>
      </c>
      <c r="Z37" s="22">
        <v>1</v>
      </c>
      <c r="AA37" s="22">
        <v>1</v>
      </c>
      <c r="AB37" s="22">
        <v>1</v>
      </c>
    </row>
    <row r="38" spans="1:28" x14ac:dyDescent="0.35">
      <c r="A38" s="12" t="s">
        <v>1174</v>
      </c>
      <c r="B38" s="22">
        <v>15.21675572519076</v>
      </c>
      <c r="C38" s="22">
        <v>1</v>
      </c>
      <c r="D38" s="22">
        <v>1</v>
      </c>
      <c r="E38" s="22">
        <v>1</v>
      </c>
      <c r="F38" s="22">
        <v>1</v>
      </c>
      <c r="G38" s="22">
        <v>1</v>
      </c>
      <c r="H38" s="22">
        <v>1</v>
      </c>
      <c r="I38" s="22">
        <v>1</v>
      </c>
      <c r="J38" s="22">
        <v>1</v>
      </c>
      <c r="K38" s="22">
        <v>1</v>
      </c>
      <c r="L38" s="22">
        <v>1</v>
      </c>
      <c r="M38" s="22">
        <v>1</v>
      </c>
      <c r="N38" s="22">
        <v>1</v>
      </c>
      <c r="O38" s="22">
        <v>1</v>
      </c>
      <c r="P38" s="22">
        <v>1</v>
      </c>
      <c r="Q38" s="22">
        <v>1</v>
      </c>
      <c r="R38" s="22">
        <v>1</v>
      </c>
      <c r="S38" s="22">
        <v>1</v>
      </c>
      <c r="T38" s="22">
        <v>1</v>
      </c>
      <c r="U38" s="22">
        <v>1</v>
      </c>
      <c r="V38" s="22">
        <v>1</v>
      </c>
      <c r="W38" s="22">
        <v>1</v>
      </c>
      <c r="X38" s="22">
        <v>1</v>
      </c>
      <c r="Y38" s="22">
        <v>1</v>
      </c>
      <c r="Z38" s="22">
        <v>1</v>
      </c>
      <c r="AA38" s="22">
        <v>1</v>
      </c>
      <c r="AB38" s="22">
        <v>1</v>
      </c>
    </row>
    <row r="39" spans="1:28" x14ac:dyDescent="0.35">
      <c r="A39" s="12" t="s">
        <v>1175</v>
      </c>
      <c r="B39" s="22">
        <v>0.92458511450381553</v>
      </c>
      <c r="C39" s="22">
        <v>0.92</v>
      </c>
      <c r="D39" s="22">
        <v>0.92</v>
      </c>
      <c r="E39" s="22">
        <v>0.92</v>
      </c>
      <c r="F39" s="22">
        <v>0.92</v>
      </c>
      <c r="G39" s="22">
        <v>0.92</v>
      </c>
      <c r="H39" s="22">
        <v>0.92</v>
      </c>
      <c r="I39" s="22">
        <v>0.92</v>
      </c>
      <c r="J39" s="22">
        <v>0.92</v>
      </c>
      <c r="K39" s="22">
        <v>0.92</v>
      </c>
      <c r="L39" s="22">
        <v>0.92</v>
      </c>
      <c r="M39" s="22">
        <v>0.92</v>
      </c>
      <c r="N39" s="22">
        <v>0.92</v>
      </c>
      <c r="O39" s="22">
        <v>0.92</v>
      </c>
      <c r="P39" s="22">
        <v>0.92</v>
      </c>
      <c r="Q39" s="22">
        <v>0.92</v>
      </c>
      <c r="R39" s="22">
        <v>0.92</v>
      </c>
      <c r="S39" s="22">
        <v>0.92</v>
      </c>
      <c r="T39" s="22">
        <v>0.92</v>
      </c>
      <c r="U39" s="22">
        <v>0.92</v>
      </c>
      <c r="V39" s="22">
        <v>0.92</v>
      </c>
      <c r="W39" s="22">
        <v>0.92</v>
      </c>
      <c r="X39" s="22">
        <v>0.92</v>
      </c>
      <c r="Y39" s="22">
        <v>0.92</v>
      </c>
      <c r="Z39" s="22">
        <v>0.92</v>
      </c>
      <c r="AA39" s="22">
        <v>0.92</v>
      </c>
      <c r="AB39" s="22">
        <v>0.92</v>
      </c>
    </row>
    <row r="40" spans="1:28" x14ac:dyDescent="0.35">
      <c r="A40" s="12" t="s">
        <v>1176</v>
      </c>
      <c r="B40" s="22">
        <v>15847.980916030534</v>
      </c>
      <c r="C40" s="22">
        <v>15854.53</v>
      </c>
      <c r="D40" s="22">
        <v>15854.53</v>
      </c>
      <c r="E40" s="22">
        <v>15854.53</v>
      </c>
      <c r="F40" s="22">
        <v>15854.53</v>
      </c>
      <c r="G40" s="22">
        <v>15854.53</v>
      </c>
      <c r="H40" s="22">
        <v>15854.53</v>
      </c>
      <c r="I40" s="22">
        <v>15854.53</v>
      </c>
      <c r="J40" s="22">
        <v>15854.53</v>
      </c>
      <c r="K40" s="22">
        <v>15854.53</v>
      </c>
      <c r="L40" s="22">
        <v>15854.53</v>
      </c>
      <c r="M40" s="22">
        <v>15854.53</v>
      </c>
      <c r="N40" s="22">
        <v>15854.53</v>
      </c>
      <c r="O40" s="22">
        <v>15854.53</v>
      </c>
      <c r="P40" s="22">
        <v>15854.53</v>
      </c>
      <c r="Q40" s="22">
        <v>15854.53</v>
      </c>
      <c r="R40" s="22">
        <v>15854.53</v>
      </c>
      <c r="S40" s="22">
        <v>15854.53</v>
      </c>
      <c r="T40" s="22">
        <v>15854.53</v>
      </c>
      <c r="U40" s="22">
        <v>15854.53</v>
      </c>
      <c r="V40" s="22">
        <v>15854.53</v>
      </c>
      <c r="W40" s="22">
        <v>15854.53</v>
      </c>
      <c r="X40" s="22">
        <v>15854.53</v>
      </c>
      <c r="Y40" s="22">
        <v>15854.53</v>
      </c>
      <c r="Z40" s="22">
        <v>15854.53</v>
      </c>
      <c r="AA40" s="22">
        <v>15854.53</v>
      </c>
      <c r="AB40" s="22">
        <v>15854.53</v>
      </c>
    </row>
    <row r="41" spans="1:28" x14ac:dyDescent="0.35">
      <c r="A41" s="12" t="s">
        <v>1177</v>
      </c>
      <c r="B41" s="22">
        <v>42007.423664122136</v>
      </c>
      <c r="C41" s="22">
        <v>42007.29</v>
      </c>
      <c r="D41" s="22">
        <v>42007.29</v>
      </c>
      <c r="E41" s="22">
        <v>42007.29</v>
      </c>
      <c r="F41" s="22">
        <v>42007.29</v>
      </c>
      <c r="G41" s="22">
        <v>42007.29</v>
      </c>
      <c r="H41" s="22">
        <v>42007.29</v>
      </c>
      <c r="I41" s="22">
        <v>42007.29</v>
      </c>
      <c r="J41" s="22">
        <v>42007.29</v>
      </c>
      <c r="K41" s="22">
        <v>42007.29</v>
      </c>
      <c r="L41" s="22">
        <v>42007.29</v>
      </c>
      <c r="M41" s="22">
        <v>42007.29</v>
      </c>
      <c r="N41" s="22">
        <v>42007.29</v>
      </c>
      <c r="O41" s="22">
        <v>42007.29</v>
      </c>
      <c r="P41" s="22">
        <v>42007.29</v>
      </c>
      <c r="Q41" s="22">
        <v>42007.29</v>
      </c>
      <c r="R41" s="22">
        <v>42007.29</v>
      </c>
      <c r="S41" s="22">
        <v>42007.29</v>
      </c>
      <c r="T41" s="22">
        <v>42007.29</v>
      </c>
      <c r="U41" s="22">
        <v>42007.29</v>
      </c>
      <c r="V41" s="22">
        <v>42007.29</v>
      </c>
      <c r="W41" s="22">
        <v>42007.29</v>
      </c>
      <c r="X41" s="22">
        <v>42007.29</v>
      </c>
      <c r="Y41" s="22">
        <v>42007.29</v>
      </c>
      <c r="Z41" s="22">
        <v>42007.29</v>
      </c>
      <c r="AA41" s="22">
        <v>42007.29</v>
      </c>
      <c r="AB41" s="22">
        <v>42007.29</v>
      </c>
    </row>
    <row r="42" spans="1:28" x14ac:dyDescent="0.35">
      <c r="A42" s="12" t="s">
        <v>1178</v>
      </c>
      <c r="B42" s="22">
        <v>469.18106870229167</v>
      </c>
      <c r="C42" s="22">
        <v>468.97</v>
      </c>
      <c r="D42" s="22">
        <v>468.97</v>
      </c>
      <c r="E42" s="22">
        <v>468.97</v>
      </c>
      <c r="F42" s="22">
        <v>468.97</v>
      </c>
      <c r="G42" s="22">
        <v>468.97</v>
      </c>
      <c r="H42" s="22">
        <v>468.97</v>
      </c>
      <c r="I42" s="22">
        <v>468.97</v>
      </c>
      <c r="J42" s="22">
        <v>468.97</v>
      </c>
      <c r="K42" s="22">
        <v>468.97</v>
      </c>
      <c r="L42" s="22">
        <v>468.97</v>
      </c>
      <c r="M42" s="22">
        <v>468.97</v>
      </c>
      <c r="N42" s="22">
        <v>468.97</v>
      </c>
      <c r="O42" s="22">
        <v>468.97</v>
      </c>
      <c r="P42" s="22">
        <v>468.97</v>
      </c>
      <c r="Q42" s="22">
        <v>468.97</v>
      </c>
      <c r="R42" s="22">
        <v>468.97</v>
      </c>
      <c r="S42" s="22">
        <v>468.97</v>
      </c>
      <c r="T42" s="22">
        <v>468.97</v>
      </c>
      <c r="U42" s="22">
        <v>468.97</v>
      </c>
      <c r="V42" s="22">
        <v>468.97</v>
      </c>
      <c r="W42" s="22">
        <v>468.97</v>
      </c>
      <c r="X42" s="22">
        <v>468.97</v>
      </c>
      <c r="Y42" s="22">
        <v>468.97</v>
      </c>
      <c r="Z42" s="22">
        <v>468.97</v>
      </c>
      <c r="AA42" s="22">
        <v>468.97</v>
      </c>
      <c r="AB42" s="22">
        <v>468.97</v>
      </c>
    </row>
    <row r="43" spans="1:28" x14ac:dyDescent="0.35">
      <c r="A43" s="12" t="s">
        <v>1179</v>
      </c>
      <c r="B43" s="22">
        <v>87.138025572519254</v>
      </c>
      <c r="C43" s="22">
        <v>87.15</v>
      </c>
      <c r="D43" s="22">
        <v>87.15</v>
      </c>
      <c r="E43" s="22">
        <v>87.15</v>
      </c>
      <c r="F43" s="22">
        <v>87.15</v>
      </c>
      <c r="G43" s="22">
        <v>87.15</v>
      </c>
      <c r="H43" s="22">
        <v>87.15</v>
      </c>
      <c r="I43" s="22">
        <v>87.15</v>
      </c>
      <c r="J43" s="22">
        <v>87.15</v>
      </c>
      <c r="K43" s="22">
        <v>87.15</v>
      </c>
      <c r="L43" s="22">
        <v>87.15</v>
      </c>
      <c r="M43" s="22">
        <v>87.15</v>
      </c>
      <c r="N43" s="22">
        <v>87.15</v>
      </c>
      <c r="O43" s="22">
        <v>87.15</v>
      </c>
      <c r="P43" s="22">
        <v>87.15</v>
      </c>
      <c r="Q43" s="22">
        <v>87.15</v>
      </c>
      <c r="R43" s="22">
        <v>87.15</v>
      </c>
      <c r="S43" s="22">
        <v>87.15</v>
      </c>
      <c r="T43" s="22">
        <v>87.15</v>
      </c>
      <c r="U43" s="22">
        <v>87.15</v>
      </c>
      <c r="V43" s="22">
        <v>87.15</v>
      </c>
      <c r="W43" s="22">
        <v>87.15</v>
      </c>
      <c r="X43" s="22">
        <v>87.15</v>
      </c>
      <c r="Y43" s="22">
        <v>87.15</v>
      </c>
      <c r="Z43" s="22">
        <v>87.15</v>
      </c>
      <c r="AA43" s="22">
        <v>87.15</v>
      </c>
      <c r="AB43" s="22">
        <v>87.15</v>
      </c>
    </row>
    <row r="44" spans="1:28" x14ac:dyDescent="0.35">
      <c r="A44" s="12" t="s">
        <v>1180</v>
      </c>
      <c r="B44" s="22">
        <v>21586.649999999987</v>
      </c>
      <c r="C44" s="22">
        <v>20166.830000000002</v>
      </c>
      <c r="D44" s="22">
        <v>20166.830000000002</v>
      </c>
      <c r="E44" s="22">
        <v>20166.830000000002</v>
      </c>
      <c r="F44" s="22">
        <v>20166.830000000002</v>
      </c>
      <c r="G44" s="22">
        <v>20166.830000000002</v>
      </c>
      <c r="H44" s="22">
        <v>20166.830000000002</v>
      </c>
      <c r="I44" s="22">
        <v>20166.830000000002</v>
      </c>
      <c r="J44" s="22">
        <v>20166.830000000002</v>
      </c>
      <c r="K44" s="22">
        <v>20166.830000000002</v>
      </c>
      <c r="L44" s="22">
        <v>20166.830000000002</v>
      </c>
      <c r="M44" s="22">
        <v>20166.830000000002</v>
      </c>
      <c r="N44" s="22">
        <v>20166.830000000002</v>
      </c>
      <c r="O44" s="22">
        <v>20166.830000000002</v>
      </c>
      <c r="P44" s="22">
        <v>20166.830000000002</v>
      </c>
      <c r="Q44" s="22">
        <v>20166.830000000002</v>
      </c>
      <c r="R44" s="22">
        <v>20166.830000000002</v>
      </c>
      <c r="S44" s="22">
        <v>20166.830000000002</v>
      </c>
      <c r="T44" s="22">
        <v>20166.830000000002</v>
      </c>
      <c r="U44" s="22">
        <v>20166.830000000002</v>
      </c>
      <c r="V44" s="22">
        <v>20166.830000000002</v>
      </c>
      <c r="W44" s="22">
        <v>20166.830000000002</v>
      </c>
      <c r="X44" s="22">
        <v>20166.830000000002</v>
      </c>
      <c r="Y44" s="22">
        <v>20166.830000000002</v>
      </c>
      <c r="Z44" s="22">
        <v>20166.830000000002</v>
      </c>
      <c r="AA44" s="22">
        <v>20166.830000000002</v>
      </c>
      <c r="AB44" s="22">
        <v>20166.830000000002</v>
      </c>
    </row>
    <row r="45" spans="1:28" x14ac:dyDescent="0.35">
      <c r="A45" s="12" t="s">
        <v>1181</v>
      </c>
      <c r="B45" s="22">
        <v>39.827213740458284</v>
      </c>
      <c r="C45" s="22">
        <v>39.630000000000003</v>
      </c>
      <c r="D45" s="22">
        <v>39.630000000000003</v>
      </c>
      <c r="E45" s="22">
        <v>39.630000000000003</v>
      </c>
      <c r="F45" s="22">
        <v>39.630000000000003</v>
      </c>
      <c r="G45" s="22">
        <v>39.630000000000003</v>
      </c>
      <c r="H45" s="22">
        <v>39.630000000000003</v>
      </c>
      <c r="I45" s="22">
        <v>39.630000000000003</v>
      </c>
      <c r="J45" s="22">
        <v>39.630000000000003</v>
      </c>
      <c r="K45" s="22">
        <v>39.630000000000003</v>
      </c>
      <c r="L45" s="22">
        <v>39.630000000000003</v>
      </c>
      <c r="M45" s="22">
        <v>39.630000000000003</v>
      </c>
      <c r="N45" s="22">
        <v>39.630000000000003</v>
      </c>
      <c r="O45" s="22">
        <v>39.630000000000003</v>
      </c>
      <c r="P45" s="22">
        <v>39.630000000000003</v>
      </c>
      <c r="Q45" s="22">
        <v>39.630000000000003</v>
      </c>
      <c r="R45" s="22">
        <v>39.630000000000003</v>
      </c>
      <c r="S45" s="22">
        <v>39.630000000000003</v>
      </c>
      <c r="T45" s="22">
        <v>39.630000000000003</v>
      </c>
      <c r="U45" s="22">
        <v>39.630000000000003</v>
      </c>
      <c r="V45" s="22">
        <v>39.630000000000003</v>
      </c>
      <c r="W45" s="22">
        <v>39.630000000000003</v>
      </c>
      <c r="X45" s="22">
        <v>39.630000000000003</v>
      </c>
      <c r="Y45" s="22">
        <v>39.630000000000003</v>
      </c>
      <c r="Z45" s="22">
        <v>39.630000000000003</v>
      </c>
      <c r="AA45" s="22">
        <v>39.630000000000003</v>
      </c>
      <c r="AB45" s="22">
        <v>39.630000000000003</v>
      </c>
    </row>
    <row r="46" spans="1:28" x14ac:dyDescent="0.35">
      <c r="A46" s="12" t="s">
        <v>1182</v>
      </c>
      <c r="B46" s="22">
        <v>18.321824427481246</v>
      </c>
      <c r="C46" s="22">
        <v>18.329999999999998</v>
      </c>
      <c r="D46" s="22">
        <v>18.329999999999998</v>
      </c>
      <c r="E46" s="22">
        <v>18.329999999999998</v>
      </c>
      <c r="F46" s="22">
        <v>18.329999999999998</v>
      </c>
      <c r="G46" s="22">
        <v>18.329999999999998</v>
      </c>
      <c r="H46" s="22">
        <v>18.329999999999998</v>
      </c>
      <c r="I46" s="22">
        <v>18.329999999999998</v>
      </c>
      <c r="J46" s="22">
        <v>18.329999999999998</v>
      </c>
      <c r="K46" s="22">
        <v>18.329999999999998</v>
      </c>
      <c r="L46" s="22">
        <v>18.329999999999998</v>
      </c>
      <c r="M46" s="22">
        <v>18.329999999999998</v>
      </c>
      <c r="N46" s="22">
        <v>18.329999999999998</v>
      </c>
      <c r="O46" s="22">
        <v>18.329999999999998</v>
      </c>
      <c r="P46" s="22">
        <v>18.329999999999998</v>
      </c>
      <c r="Q46" s="22">
        <v>18.329999999999998</v>
      </c>
      <c r="R46" s="22">
        <v>18.329999999999998</v>
      </c>
      <c r="S46" s="22">
        <v>18.329999999999998</v>
      </c>
      <c r="T46" s="22">
        <v>18.329999999999998</v>
      </c>
      <c r="U46" s="22">
        <v>18.329999999999998</v>
      </c>
      <c r="V46" s="22">
        <v>18.329999999999998</v>
      </c>
      <c r="W46" s="22">
        <v>18.329999999999998</v>
      </c>
      <c r="X46" s="22">
        <v>18.329999999999998</v>
      </c>
      <c r="Y46" s="22">
        <v>18.329999999999998</v>
      </c>
      <c r="Z46" s="22">
        <v>18.329999999999998</v>
      </c>
      <c r="AA46" s="22">
        <v>18.329999999999998</v>
      </c>
      <c r="AB46" s="22">
        <v>18.329999999999998</v>
      </c>
    </row>
    <row r="47" spans="1:28" x14ac:dyDescent="0.35">
      <c r="A47" s="12" t="s">
        <v>1183</v>
      </c>
      <c r="B47" s="22">
        <v>3393.5533969465869</v>
      </c>
      <c r="C47" s="22">
        <v>3390</v>
      </c>
      <c r="D47" s="22">
        <v>3390</v>
      </c>
      <c r="E47" s="22">
        <v>3390</v>
      </c>
      <c r="F47" s="22">
        <v>3390</v>
      </c>
      <c r="G47" s="22">
        <v>3390</v>
      </c>
      <c r="H47" s="22">
        <v>3390</v>
      </c>
      <c r="I47" s="22">
        <v>3390</v>
      </c>
      <c r="J47" s="22">
        <v>3390</v>
      </c>
      <c r="K47" s="22">
        <v>3390</v>
      </c>
      <c r="L47" s="22">
        <v>3390</v>
      </c>
      <c r="M47" s="22">
        <v>3390</v>
      </c>
      <c r="N47" s="22">
        <v>3390</v>
      </c>
      <c r="O47" s="22">
        <v>3390</v>
      </c>
      <c r="P47" s="22">
        <v>3390</v>
      </c>
      <c r="Q47" s="22">
        <v>3390</v>
      </c>
      <c r="R47" s="22">
        <v>3390</v>
      </c>
      <c r="S47" s="22">
        <v>3390</v>
      </c>
      <c r="T47" s="22">
        <v>3390</v>
      </c>
      <c r="U47" s="22">
        <v>3390</v>
      </c>
      <c r="V47" s="22">
        <v>3390</v>
      </c>
      <c r="W47" s="22">
        <v>3390</v>
      </c>
      <c r="X47" s="22">
        <v>3390</v>
      </c>
      <c r="Y47" s="22">
        <v>3390</v>
      </c>
      <c r="Z47" s="22">
        <v>3390</v>
      </c>
      <c r="AA47" s="22">
        <v>3390</v>
      </c>
      <c r="AB47" s="22">
        <v>3390</v>
      </c>
    </row>
    <row r="48" spans="1:28" x14ac:dyDescent="0.35">
      <c r="A48" s="12" t="s">
        <v>1184</v>
      </c>
      <c r="B48" s="22">
        <v>3.8556293893130116</v>
      </c>
      <c r="C48" s="22">
        <v>3.85</v>
      </c>
      <c r="D48" s="22">
        <v>3.85</v>
      </c>
      <c r="E48" s="22">
        <v>3.85</v>
      </c>
      <c r="F48" s="22">
        <v>3.85</v>
      </c>
      <c r="G48" s="22">
        <v>3.85</v>
      </c>
      <c r="H48" s="22">
        <v>3.85</v>
      </c>
      <c r="I48" s="22">
        <v>3.85</v>
      </c>
      <c r="J48" s="22">
        <v>3.85</v>
      </c>
      <c r="K48" s="22">
        <v>3.85</v>
      </c>
      <c r="L48" s="22">
        <v>3.85</v>
      </c>
      <c r="M48" s="22">
        <v>3.85</v>
      </c>
      <c r="N48" s="22">
        <v>3.85</v>
      </c>
      <c r="O48" s="22">
        <v>3.85</v>
      </c>
      <c r="P48" s="22">
        <v>3.85</v>
      </c>
      <c r="Q48" s="22">
        <v>3.85</v>
      </c>
      <c r="R48" s="22">
        <v>3.85</v>
      </c>
      <c r="S48" s="22">
        <v>3.85</v>
      </c>
      <c r="T48" s="22">
        <v>3.85</v>
      </c>
      <c r="U48" s="22">
        <v>3.85</v>
      </c>
      <c r="V48" s="22">
        <v>3.85</v>
      </c>
      <c r="W48" s="22">
        <v>3.85</v>
      </c>
      <c r="X48" s="22">
        <v>3.85</v>
      </c>
      <c r="Y48" s="22">
        <v>3.85</v>
      </c>
      <c r="Z48" s="22">
        <v>3.85</v>
      </c>
      <c r="AA48" s="22">
        <v>3.85</v>
      </c>
      <c r="AB48" s="22">
        <v>3.85</v>
      </c>
    </row>
    <row r="49" spans="1:28" x14ac:dyDescent="0.35">
      <c r="A49" s="12" t="s">
        <v>1185</v>
      </c>
      <c r="B49" s="22">
        <v>3.754094656488681</v>
      </c>
      <c r="C49" s="22">
        <v>3.75</v>
      </c>
      <c r="D49" s="22">
        <v>3.75</v>
      </c>
      <c r="E49" s="22">
        <v>3.75</v>
      </c>
      <c r="F49" s="22">
        <v>3.75</v>
      </c>
      <c r="G49" s="22">
        <v>3.75</v>
      </c>
      <c r="H49" s="22">
        <v>3.75</v>
      </c>
      <c r="I49" s="22">
        <v>3.75</v>
      </c>
      <c r="J49" s="22">
        <v>3.75</v>
      </c>
      <c r="K49" s="22">
        <v>3.75</v>
      </c>
      <c r="L49" s="22">
        <v>3.75</v>
      </c>
      <c r="M49" s="22">
        <v>3.75</v>
      </c>
      <c r="N49" s="22">
        <v>3.75</v>
      </c>
      <c r="O49" s="22">
        <v>3.75</v>
      </c>
      <c r="P49" s="22">
        <v>3.75</v>
      </c>
      <c r="Q49" s="22">
        <v>3.75</v>
      </c>
      <c r="R49" s="22">
        <v>3.75</v>
      </c>
      <c r="S49" s="22">
        <v>3.75</v>
      </c>
      <c r="T49" s="22">
        <v>3.75</v>
      </c>
      <c r="U49" s="22">
        <v>3.75</v>
      </c>
      <c r="V49" s="22">
        <v>3.75</v>
      </c>
      <c r="W49" s="22">
        <v>3.75</v>
      </c>
      <c r="X49" s="22">
        <v>3.75</v>
      </c>
      <c r="Y49" s="22">
        <v>3.75</v>
      </c>
      <c r="Z49" s="22">
        <v>3.75</v>
      </c>
      <c r="AA49" s="22">
        <v>3.75</v>
      </c>
      <c r="AB49" s="22">
        <v>3.75</v>
      </c>
    </row>
    <row r="50" spans="1:28" x14ac:dyDescent="0.35">
      <c r="A50" s="12" t="s">
        <v>1186</v>
      </c>
      <c r="B50" s="22">
        <v>57.295076335877852</v>
      </c>
      <c r="C50" s="22">
        <v>56.56</v>
      </c>
      <c r="D50" s="22">
        <v>56.56</v>
      </c>
      <c r="E50" s="22">
        <v>56.56</v>
      </c>
      <c r="F50" s="22">
        <v>56.56</v>
      </c>
      <c r="G50" s="22">
        <v>56.56</v>
      </c>
      <c r="H50" s="22">
        <v>56.56</v>
      </c>
      <c r="I50" s="22">
        <v>56.56</v>
      </c>
      <c r="J50" s="22">
        <v>56.56</v>
      </c>
      <c r="K50" s="22">
        <v>56.56</v>
      </c>
      <c r="L50" s="22">
        <v>56.56</v>
      </c>
      <c r="M50" s="22">
        <v>56.56</v>
      </c>
      <c r="N50" s="22">
        <v>56.56</v>
      </c>
      <c r="O50" s="22">
        <v>56.56</v>
      </c>
      <c r="P50" s="22">
        <v>56.56</v>
      </c>
      <c r="Q50" s="22">
        <v>56.56</v>
      </c>
      <c r="R50" s="22">
        <v>56.56</v>
      </c>
      <c r="S50" s="22">
        <v>56.56</v>
      </c>
      <c r="T50" s="22">
        <v>56.56</v>
      </c>
      <c r="U50" s="22">
        <v>56.56</v>
      </c>
      <c r="V50" s="22">
        <v>56.56</v>
      </c>
      <c r="W50" s="22">
        <v>56.56</v>
      </c>
      <c r="X50" s="22">
        <v>56.56</v>
      </c>
      <c r="Y50" s="22">
        <v>56.56</v>
      </c>
      <c r="Z50" s="22">
        <v>56.56</v>
      </c>
      <c r="AA50" s="22">
        <v>56.56</v>
      </c>
      <c r="AB50" s="22">
        <v>56.56</v>
      </c>
    </row>
    <row r="51" spans="1:28" x14ac:dyDescent="0.35">
      <c r="A51" s="12" t="s">
        <v>1187</v>
      </c>
      <c r="B51" s="22">
        <v>3.9807200381679193</v>
      </c>
      <c r="C51" s="22">
        <v>4.0199999999999996</v>
      </c>
      <c r="D51" s="22">
        <v>4.0199999999999996</v>
      </c>
      <c r="E51" s="22">
        <v>4.0199999999999996</v>
      </c>
      <c r="F51" s="22">
        <v>4.0199999999999996</v>
      </c>
      <c r="G51" s="22">
        <v>4.0199999999999996</v>
      </c>
      <c r="H51" s="22">
        <v>4.0199999999999996</v>
      </c>
      <c r="I51" s="22">
        <v>4.0199999999999996</v>
      </c>
      <c r="J51" s="22">
        <v>4.0199999999999996</v>
      </c>
      <c r="K51" s="22">
        <v>4.0199999999999996</v>
      </c>
      <c r="L51" s="22">
        <v>4.0199999999999996</v>
      </c>
      <c r="M51" s="22">
        <v>4.0199999999999996</v>
      </c>
      <c r="N51" s="22">
        <v>4.0199999999999996</v>
      </c>
      <c r="O51" s="22">
        <v>4.0199999999999996</v>
      </c>
      <c r="P51" s="22">
        <v>4.0199999999999996</v>
      </c>
      <c r="Q51" s="22">
        <v>4.0199999999999996</v>
      </c>
      <c r="R51" s="22">
        <v>4.0199999999999996</v>
      </c>
      <c r="S51" s="22">
        <v>4.0199999999999996</v>
      </c>
      <c r="T51" s="22">
        <v>4.0199999999999996</v>
      </c>
      <c r="U51" s="22">
        <v>4.0199999999999996</v>
      </c>
      <c r="V51" s="22">
        <v>4.0199999999999996</v>
      </c>
      <c r="W51" s="22">
        <v>4.0199999999999996</v>
      </c>
      <c r="X51" s="22">
        <v>4.0199999999999996</v>
      </c>
      <c r="Y51" s="22">
        <v>4.0199999999999996</v>
      </c>
      <c r="Z51" s="22">
        <v>4.0199999999999996</v>
      </c>
      <c r="AA51" s="22">
        <v>4.0199999999999996</v>
      </c>
      <c r="AB51" s="22">
        <v>4.0199999999999996</v>
      </c>
    </row>
    <row r="52" spans="1:28" x14ac:dyDescent="0.35">
      <c r="A52" s="12" t="s">
        <v>1188</v>
      </c>
      <c r="B52" s="22">
        <v>0.92458511450381553</v>
      </c>
      <c r="C52" s="22">
        <v>0.92</v>
      </c>
      <c r="D52" s="22">
        <v>0.92</v>
      </c>
      <c r="E52" s="22">
        <v>0.92</v>
      </c>
      <c r="F52" s="22">
        <v>0.92</v>
      </c>
      <c r="G52" s="22">
        <v>0.92</v>
      </c>
      <c r="H52" s="22">
        <v>0.92</v>
      </c>
      <c r="I52" s="22">
        <v>0.92</v>
      </c>
      <c r="J52" s="22">
        <v>0.92</v>
      </c>
      <c r="K52" s="22">
        <v>0.92</v>
      </c>
      <c r="L52" s="22">
        <v>0.92</v>
      </c>
      <c r="M52" s="22">
        <v>0.92</v>
      </c>
      <c r="N52" s="22">
        <v>0.92</v>
      </c>
      <c r="O52" s="22">
        <v>0.92</v>
      </c>
      <c r="P52" s="22">
        <v>0.92</v>
      </c>
      <c r="Q52" s="22">
        <v>0.92</v>
      </c>
      <c r="R52" s="22">
        <v>0.92</v>
      </c>
      <c r="S52" s="22">
        <v>0.92</v>
      </c>
      <c r="T52" s="22">
        <v>0.92</v>
      </c>
      <c r="U52" s="22">
        <v>0.92</v>
      </c>
      <c r="V52" s="22">
        <v>0.92</v>
      </c>
      <c r="W52" s="22">
        <v>0.92</v>
      </c>
      <c r="X52" s="22">
        <v>0.92</v>
      </c>
      <c r="Y52" s="22">
        <v>0.92</v>
      </c>
      <c r="Z52" s="22">
        <v>0.92</v>
      </c>
      <c r="AA52" s="22">
        <v>0.92</v>
      </c>
      <c r="AB52" s="22">
        <v>0.92</v>
      </c>
    </row>
    <row r="53" spans="1:28" x14ac:dyDescent="0.35">
      <c r="A53" s="12" t="s">
        <v>1189</v>
      </c>
      <c r="B53" s="22">
        <v>4.599424236641231</v>
      </c>
      <c r="C53" s="22">
        <v>4.5999999999999996</v>
      </c>
      <c r="D53" s="22">
        <v>4.5999999999999996</v>
      </c>
      <c r="E53" s="22">
        <v>4.5999999999999996</v>
      </c>
      <c r="F53" s="22">
        <v>4.5999999999999996</v>
      </c>
      <c r="G53" s="22">
        <v>4.5999999999999996</v>
      </c>
      <c r="H53" s="22">
        <v>4.5999999999999996</v>
      </c>
      <c r="I53" s="22">
        <v>4.5999999999999996</v>
      </c>
      <c r="J53" s="22">
        <v>4.5999999999999996</v>
      </c>
      <c r="K53" s="22">
        <v>4.5999999999999996</v>
      </c>
      <c r="L53" s="22">
        <v>4.5999999999999996</v>
      </c>
      <c r="M53" s="22">
        <v>4.5999999999999996</v>
      </c>
      <c r="N53" s="22">
        <v>4.5999999999999996</v>
      </c>
      <c r="O53" s="22">
        <v>4.5999999999999996</v>
      </c>
      <c r="P53" s="22">
        <v>4.5999999999999996</v>
      </c>
      <c r="Q53" s="22">
        <v>4.5999999999999996</v>
      </c>
      <c r="R53" s="22">
        <v>4.5999999999999996</v>
      </c>
      <c r="S53" s="22">
        <v>4.5999999999999996</v>
      </c>
      <c r="T53" s="22">
        <v>4.5999999999999996</v>
      </c>
      <c r="U53" s="22">
        <v>4.5999999999999996</v>
      </c>
      <c r="V53" s="22">
        <v>4.5999999999999996</v>
      </c>
      <c r="W53" s="22">
        <v>4.5999999999999996</v>
      </c>
      <c r="X53" s="22">
        <v>4.5999999999999996</v>
      </c>
      <c r="Y53" s="22">
        <v>4.5999999999999996</v>
      </c>
      <c r="Z53" s="22">
        <v>4.5999999999999996</v>
      </c>
      <c r="AA53" s="22">
        <v>4.5999999999999996</v>
      </c>
      <c r="AB53" s="22">
        <v>4.5999999999999996</v>
      </c>
    </row>
    <row r="54" spans="1:28" x14ac:dyDescent="0.35">
      <c r="A54" s="12" t="s">
        <v>1190</v>
      </c>
      <c r="B54" s="22">
        <v>92.851939694655357</v>
      </c>
      <c r="C54" s="22">
        <v>92.6</v>
      </c>
      <c r="D54" s="22">
        <v>92.6</v>
      </c>
      <c r="E54" s="22">
        <v>92.6</v>
      </c>
      <c r="F54" s="22">
        <v>92.6</v>
      </c>
      <c r="G54" s="22">
        <v>92.6</v>
      </c>
      <c r="H54" s="22">
        <v>92.6</v>
      </c>
      <c r="I54" s="22">
        <v>92.6</v>
      </c>
      <c r="J54" s="22">
        <v>92.6</v>
      </c>
      <c r="K54" s="22">
        <v>92.6</v>
      </c>
      <c r="L54" s="22">
        <v>92.6</v>
      </c>
      <c r="M54" s="22">
        <v>92.6</v>
      </c>
      <c r="N54" s="22">
        <v>92.6</v>
      </c>
      <c r="O54" s="22">
        <v>92.6</v>
      </c>
      <c r="P54" s="22">
        <v>92.6</v>
      </c>
      <c r="Q54" s="22">
        <v>92.6</v>
      </c>
      <c r="R54" s="22">
        <v>92.6</v>
      </c>
      <c r="S54" s="22">
        <v>92.6</v>
      </c>
      <c r="T54" s="22">
        <v>92.6</v>
      </c>
      <c r="U54" s="22">
        <v>92.6</v>
      </c>
      <c r="V54" s="22">
        <v>92.6</v>
      </c>
      <c r="W54" s="22">
        <v>92.6</v>
      </c>
      <c r="X54" s="22">
        <v>92.6</v>
      </c>
      <c r="Y54" s="22">
        <v>92.6</v>
      </c>
      <c r="Z54" s="22">
        <v>92.6</v>
      </c>
      <c r="AA54" s="22">
        <v>92.6</v>
      </c>
      <c r="AB54" s="22">
        <v>92.6</v>
      </c>
    </row>
    <row r="55" spans="1:28" x14ac:dyDescent="0.35">
      <c r="A55" s="12" t="s">
        <v>1191</v>
      </c>
      <c r="B55" s="22">
        <v>3.7519547709921808</v>
      </c>
      <c r="C55" s="22">
        <v>3.75</v>
      </c>
      <c r="D55" s="22">
        <v>3.75</v>
      </c>
      <c r="E55" s="22">
        <v>3.75</v>
      </c>
      <c r="F55" s="22">
        <v>3.75</v>
      </c>
      <c r="G55" s="22">
        <v>3.75</v>
      </c>
      <c r="H55" s="22">
        <v>3.75</v>
      </c>
      <c r="I55" s="22">
        <v>3.75</v>
      </c>
      <c r="J55" s="22">
        <v>3.75</v>
      </c>
      <c r="K55" s="22">
        <v>3.75</v>
      </c>
      <c r="L55" s="22">
        <v>3.75</v>
      </c>
      <c r="M55" s="22">
        <v>3.75</v>
      </c>
      <c r="N55" s="22">
        <v>3.75</v>
      </c>
      <c r="O55" s="22">
        <v>3.75</v>
      </c>
      <c r="P55" s="22">
        <v>3.75</v>
      </c>
      <c r="Q55" s="22">
        <v>3.75</v>
      </c>
      <c r="R55" s="22">
        <v>3.75</v>
      </c>
      <c r="S55" s="22">
        <v>3.75</v>
      </c>
      <c r="T55" s="22">
        <v>3.75</v>
      </c>
      <c r="U55" s="22">
        <v>3.75</v>
      </c>
      <c r="V55" s="22">
        <v>3.75</v>
      </c>
      <c r="W55" s="22">
        <v>3.75</v>
      </c>
      <c r="X55" s="22">
        <v>3.75</v>
      </c>
      <c r="Y55" s="22">
        <v>3.75</v>
      </c>
      <c r="Z55" s="22">
        <v>3.75</v>
      </c>
      <c r="AA55" s="22">
        <v>3.75</v>
      </c>
      <c r="AB55" s="22">
        <v>3.75</v>
      </c>
    </row>
    <row r="56" spans="1:28" x14ac:dyDescent="0.35">
      <c r="A56" s="12" t="s">
        <v>1192</v>
      </c>
      <c r="B56" s="22">
        <v>108.25838778626004</v>
      </c>
      <c r="C56" s="22">
        <v>108.26</v>
      </c>
      <c r="D56" s="22">
        <v>108.26</v>
      </c>
      <c r="E56" s="22">
        <v>108.26</v>
      </c>
      <c r="F56" s="22">
        <v>108.26</v>
      </c>
      <c r="G56" s="22">
        <v>108.26</v>
      </c>
      <c r="H56" s="22">
        <v>108.26</v>
      </c>
      <c r="I56" s="22">
        <v>108.26</v>
      </c>
      <c r="J56" s="22">
        <v>108.26</v>
      </c>
      <c r="K56" s="22">
        <v>108.26</v>
      </c>
      <c r="L56" s="22">
        <v>108.26</v>
      </c>
      <c r="M56" s="22">
        <v>108.26</v>
      </c>
      <c r="N56" s="22">
        <v>108.26</v>
      </c>
      <c r="O56" s="22">
        <v>108.26</v>
      </c>
      <c r="P56" s="22">
        <v>108.26</v>
      </c>
      <c r="Q56" s="22">
        <v>108.26</v>
      </c>
      <c r="R56" s="22">
        <v>108.26</v>
      </c>
      <c r="S56" s="22">
        <v>108.26</v>
      </c>
      <c r="T56" s="22">
        <v>108.26</v>
      </c>
      <c r="U56" s="22">
        <v>108.26</v>
      </c>
      <c r="V56" s="22">
        <v>108.26</v>
      </c>
      <c r="W56" s="22">
        <v>108.26</v>
      </c>
      <c r="X56" s="22">
        <v>108.26</v>
      </c>
      <c r="Y56" s="22">
        <v>108.26</v>
      </c>
      <c r="Z56" s="22">
        <v>108.26</v>
      </c>
      <c r="AA56" s="22">
        <v>108.26</v>
      </c>
      <c r="AB56" s="22">
        <v>108.26</v>
      </c>
    </row>
    <row r="57" spans="1:28" x14ac:dyDescent="0.35">
      <c r="A57" s="12" t="s">
        <v>1193</v>
      </c>
      <c r="B57" s="22">
        <v>18.335521374045697</v>
      </c>
      <c r="C57" s="22">
        <v>18.329999999999998</v>
      </c>
      <c r="D57" s="22">
        <v>18.329999999999998</v>
      </c>
      <c r="E57" s="22">
        <v>18.329999999999998</v>
      </c>
      <c r="F57" s="22">
        <v>18.329999999999998</v>
      </c>
      <c r="G57" s="22">
        <v>18.329999999999998</v>
      </c>
      <c r="H57" s="22">
        <v>18.329999999999998</v>
      </c>
      <c r="I57" s="22">
        <v>18.329999999999998</v>
      </c>
      <c r="J57" s="22">
        <v>18.329999999999998</v>
      </c>
      <c r="K57" s="22">
        <v>18.329999999999998</v>
      </c>
      <c r="L57" s="22">
        <v>18.329999999999998</v>
      </c>
      <c r="M57" s="22">
        <v>18.329999999999998</v>
      </c>
      <c r="N57" s="22">
        <v>18.329999999999998</v>
      </c>
      <c r="O57" s="22">
        <v>18.329999999999998</v>
      </c>
      <c r="P57" s="22">
        <v>18.329999999999998</v>
      </c>
      <c r="Q57" s="22">
        <v>18.329999999999998</v>
      </c>
      <c r="R57" s="22">
        <v>18.329999999999998</v>
      </c>
      <c r="S57" s="22">
        <v>18.329999999999998</v>
      </c>
      <c r="T57" s="22">
        <v>18.329999999999998</v>
      </c>
      <c r="U57" s="22">
        <v>18.329999999999998</v>
      </c>
      <c r="V57" s="22">
        <v>18.329999999999998</v>
      </c>
      <c r="W57" s="22">
        <v>18.329999999999998</v>
      </c>
      <c r="X57" s="22">
        <v>18.329999999999998</v>
      </c>
      <c r="Y57" s="22">
        <v>18.329999999999998</v>
      </c>
      <c r="Z57" s="22">
        <v>18.329999999999998</v>
      </c>
      <c r="AA57" s="22">
        <v>18.329999999999998</v>
      </c>
      <c r="AB57" s="22">
        <v>18.329999999999998</v>
      </c>
    </row>
    <row r="58" spans="1:28" x14ac:dyDescent="0.35">
      <c r="A58" s="12" t="s">
        <v>1194</v>
      </c>
      <c r="B58" s="22">
        <v>0.92458511450381553</v>
      </c>
      <c r="C58" s="22">
        <v>0.92</v>
      </c>
      <c r="D58" s="22">
        <v>0.92</v>
      </c>
      <c r="E58" s="22">
        <v>0.92</v>
      </c>
      <c r="F58" s="22">
        <v>0.92</v>
      </c>
      <c r="G58" s="22">
        <v>0.92</v>
      </c>
      <c r="H58" s="22">
        <v>0.92</v>
      </c>
      <c r="I58" s="22">
        <v>0.92</v>
      </c>
      <c r="J58" s="22">
        <v>0.92</v>
      </c>
      <c r="K58" s="22">
        <v>0.92</v>
      </c>
      <c r="L58" s="22">
        <v>0.92</v>
      </c>
      <c r="M58" s="22">
        <v>0.92</v>
      </c>
      <c r="N58" s="22">
        <v>0.92</v>
      </c>
      <c r="O58" s="22">
        <v>0.92</v>
      </c>
      <c r="P58" s="22">
        <v>0.92</v>
      </c>
      <c r="Q58" s="22">
        <v>0.92</v>
      </c>
      <c r="R58" s="22">
        <v>0.92</v>
      </c>
      <c r="S58" s="22">
        <v>0.92</v>
      </c>
      <c r="T58" s="22">
        <v>0.92</v>
      </c>
      <c r="U58" s="22">
        <v>0.92</v>
      </c>
      <c r="V58" s="22">
        <v>0.92</v>
      </c>
      <c r="W58" s="22">
        <v>0.92</v>
      </c>
      <c r="X58" s="22">
        <v>0.92</v>
      </c>
      <c r="Y58" s="22">
        <v>0.92</v>
      </c>
      <c r="Z58" s="22">
        <v>0.92</v>
      </c>
      <c r="AA58" s="22">
        <v>0.92</v>
      </c>
      <c r="AB58" s="22">
        <v>0.92</v>
      </c>
    </row>
    <row r="59" spans="1:28" x14ac:dyDescent="0.35">
      <c r="A59" s="12" t="s">
        <v>1195</v>
      </c>
      <c r="B59" s="22">
        <v>10.573773148854697</v>
      </c>
      <c r="C59" s="22">
        <v>10.57</v>
      </c>
      <c r="D59" s="22">
        <v>10.57</v>
      </c>
      <c r="E59" s="22">
        <v>10.57</v>
      </c>
      <c r="F59" s="22">
        <v>10.57</v>
      </c>
      <c r="G59" s="22">
        <v>10.57</v>
      </c>
      <c r="H59" s="22">
        <v>10.57</v>
      </c>
      <c r="I59" s="22">
        <v>10.57</v>
      </c>
      <c r="J59" s="22">
        <v>10.57</v>
      </c>
      <c r="K59" s="22">
        <v>10.57</v>
      </c>
      <c r="L59" s="22">
        <v>10.57</v>
      </c>
      <c r="M59" s="22">
        <v>10.57</v>
      </c>
      <c r="N59" s="22">
        <v>10.57</v>
      </c>
      <c r="O59" s="22">
        <v>10.57</v>
      </c>
      <c r="P59" s="22">
        <v>10.57</v>
      </c>
      <c r="Q59" s="22">
        <v>10.57</v>
      </c>
      <c r="R59" s="22">
        <v>10.57</v>
      </c>
      <c r="S59" s="22">
        <v>10.57</v>
      </c>
      <c r="T59" s="22">
        <v>10.57</v>
      </c>
      <c r="U59" s="22">
        <v>10.57</v>
      </c>
      <c r="V59" s="22">
        <v>10.57</v>
      </c>
      <c r="W59" s="22">
        <v>10.57</v>
      </c>
      <c r="X59" s="22">
        <v>10.57</v>
      </c>
      <c r="Y59" s="22">
        <v>10.57</v>
      </c>
      <c r="Z59" s="22">
        <v>10.57</v>
      </c>
      <c r="AA59" s="22">
        <v>10.57</v>
      </c>
      <c r="AB59" s="22">
        <v>10.57</v>
      </c>
    </row>
    <row r="60" spans="1:28" x14ac:dyDescent="0.35">
      <c r="A60" s="12" t="s">
        <v>1196</v>
      </c>
      <c r="B60" s="22">
        <v>2610.5152671755727</v>
      </c>
      <c r="C60" s="22">
        <v>2597.64</v>
      </c>
      <c r="D60" s="22">
        <v>2597.64</v>
      </c>
      <c r="E60" s="22">
        <v>2597.64</v>
      </c>
      <c r="F60" s="22">
        <v>2597.64</v>
      </c>
      <c r="G60" s="22">
        <v>2597.64</v>
      </c>
      <c r="H60" s="22">
        <v>2597.64</v>
      </c>
      <c r="I60" s="22">
        <v>2597.64</v>
      </c>
      <c r="J60" s="22">
        <v>2597.64</v>
      </c>
      <c r="K60" s="22">
        <v>2597.64</v>
      </c>
      <c r="L60" s="22">
        <v>2597.64</v>
      </c>
      <c r="M60" s="22">
        <v>2597.64</v>
      </c>
      <c r="N60" s="22">
        <v>2597.64</v>
      </c>
      <c r="O60" s="22">
        <v>2597.64</v>
      </c>
      <c r="P60" s="22">
        <v>2597.64</v>
      </c>
      <c r="Q60" s="22">
        <v>2597.64</v>
      </c>
      <c r="R60" s="22">
        <v>2597.64</v>
      </c>
      <c r="S60" s="22">
        <v>2597.64</v>
      </c>
      <c r="T60" s="22">
        <v>2597.64</v>
      </c>
      <c r="U60" s="22">
        <v>2597.64</v>
      </c>
      <c r="V60" s="22">
        <v>2597.64</v>
      </c>
      <c r="W60" s="22">
        <v>2597.64</v>
      </c>
      <c r="X60" s="22">
        <v>2597.64</v>
      </c>
      <c r="Y60" s="22">
        <v>2597.64</v>
      </c>
      <c r="Z60" s="22">
        <v>2597.64</v>
      </c>
      <c r="AA60" s="22">
        <v>2597.64</v>
      </c>
      <c r="AB60" s="22">
        <v>2597.64</v>
      </c>
    </row>
    <row r="61" spans="1:28" x14ac:dyDescent="0.35">
      <c r="A61" s="12" t="s">
        <v>1197</v>
      </c>
      <c r="B61" s="22">
        <v>32.862697328244217</v>
      </c>
      <c r="C61" s="22">
        <v>32.83</v>
      </c>
      <c r="D61" s="22">
        <v>32.83</v>
      </c>
      <c r="E61" s="22">
        <v>32.83</v>
      </c>
      <c r="F61" s="22">
        <v>32.83</v>
      </c>
      <c r="G61" s="22">
        <v>32.83</v>
      </c>
      <c r="H61" s="22">
        <v>32.83</v>
      </c>
      <c r="I61" s="22">
        <v>32.83</v>
      </c>
      <c r="J61" s="22">
        <v>32.83</v>
      </c>
      <c r="K61" s="22">
        <v>32.83</v>
      </c>
      <c r="L61" s="22">
        <v>32.83</v>
      </c>
      <c r="M61" s="22">
        <v>32.83</v>
      </c>
      <c r="N61" s="22">
        <v>32.83</v>
      </c>
      <c r="O61" s="22">
        <v>32.83</v>
      </c>
      <c r="P61" s="22">
        <v>32.83</v>
      </c>
      <c r="Q61" s="22">
        <v>32.83</v>
      </c>
      <c r="R61" s="22">
        <v>32.83</v>
      </c>
      <c r="S61" s="22">
        <v>32.83</v>
      </c>
      <c r="T61" s="22">
        <v>32.83</v>
      </c>
      <c r="U61" s="22">
        <v>32.83</v>
      </c>
      <c r="V61" s="22">
        <v>32.83</v>
      </c>
      <c r="W61" s="22">
        <v>32.83</v>
      </c>
      <c r="X61" s="22">
        <v>32.83</v>
      </c>
      <c r="Y61" s="22">
        <v>32.83</v>
      </c>
      <c r="Z61" s="22">
        <v>32.83</v>
      </c>
      <c r="AA61" s="22">
        <v>32.83</v>
      </c>
      <c r="AB61" s="22">
        <v>32.83</v>
      </c>
    </row>
    <row r="62" spans="1:28" x14ac:dyDescent="0.35">
      <c r="A62" s="12" t="s">
        <v>1198</v>
      </c>
      <c r="B62" s="22">
        <v>26.182251908396893</v>
      </c>
      <c r="C62" s="22">
        <v>26.16</v>
      </c>
      <c r="D62" s="22">
        <v>26.16</v>
      </c>
      <c r="E62" s="22">
        <v>26.16</v>
      </c>
      <c r="F62" s="22">
        <v>26.16</v>
      </c>
      <c r="G62" s="22">
        <v>26.16</v>
      </c>
      <c r="H62" s="22">
        <v>26.16</v>
      </c>
      <c r="I62" s="22">
        <v>26.16</v>
      </c>
      <c r="J62" s="22">
        <v>26.16</v>
      </c>
      <c r="K62" s="22">
        <v>26.16</v>
      </c>
      <c r="L62" s="22">
        <v>26.16</v>
      </c>
      <c r="M62" s="22">
        <v>26.16</v>
      </c>
      <c r="N62" s="22">
        <v>26.16</v>
      </c>
      <c r="O62" s="22">
        <v>26.16</v>
      </c>
      <c r="P62" s="22">
        <v>26.16</v>
      </c>
      <c r="Q62" s="22">
        <v>26.16</v>
      </c>
      <c r="R62" s="22">
        <v>26.16</v>
      </c>
      <c r="S62" s="22">
        <v>26.16</v>
      </c>
      <c r="T62" s="22">
        <v>26.16</v>
      </c>
      <c r="U62" s="22">
        <v>26.16</v>
      </c>
      <c r="V62" s="22">
        <v>26.16</v>
      </c>
      <c r="W62" s="22">
        <v>26.16</v>
      </c>
      <c r="X62" s="22">
        <v>26.16</v>
      </c>
      <c r="Y62" s="22">
        <v>26.16</v>
      </c>
      <c r="Z62" s="22">
        <v>26.16</v>
      </c>
      <c r="AA62" s="22">
        <v>26.16</v>
      </c>
      <c r="AB62" s="22">
        <v>26.16</v>
      </c>
    </row>
    <row r="63" spans="1:28" x14ac:dyDescent="0.35">
      <c r="A63" s="12" t="s">
        <v>1199</v>
      </c>
      <c r="B63" s="22">
        <v>0.12906586489219762</v>
      </c>
      <c r="C63" s="22">
        <v>1</v>
      </c>
      <c r="D63" s="22">
        <v>1</v>
      </c>
      <c r="E63" s="22">
        <v>1</v>
      </c>
      <c r="F63" s="22">
        <v>1</v>
      </c>
      <c r="G63" s="22">
        <v>1</v>
      </c>
      <c r="H63" s="22">
        <v>1</v>
      </c>
      <c r="I63" s="22">
        <v>1</v>
      </c>
      <c r="J63" s="22">
        <v>1</v>
      </c>
      <c r="K63" s="22">
        <v>1</v>
      </c>
      <c r="L63" s="22">
        <v>1</v>
      </c>
      <c r="M63" s="22">
        <v>1</v>
      </c>
      <c r="N63" s="22">
        <v>1</v>
      </c>
      <c r="O63" s="22">
        <v>1</v>
      </c>
      <c r="P63" s="22">
        <v>1</v>
      </c>
      <c r="Q63" s="22">
        <v>1</v>
      </c>
      <c r="R63" s="22">
        <v>1</v>
      </c>
      <c r="S63" s="22">
        <v>1</v>
      </c>
      <c r="T63" s="22">
        <v>1</v>
      </c>
      <c r="U63" s="22">
        <v>1</v>
      </c>
      <c r="V63" s="22">
        <v>1</v>
      </c>
      <c r="W63" s="22">
        <v>1</v>
      </c>
      <c r="X63" s="22">
        <v>1</v>
      </c>
      <c r="Y63" s="22">
        <v>1</v>
      </c>
      <c r="Z63" s="22">
        <v>1</v>
      </c>
      <c r="AA63" s="22">
        <v>1</v>
      </c>
      <c r="AB63" s="22">
        <v>1</v>
      </c>
    </row>
    <row r="64" spans="1:28" x14ac:dyDescent="0.35">
      <c r="A64" s="10" t="s">
        <v>1200</v>
      </c>
    </row>
    <row r="65" spans="1:28" x14ac:dyDescent="0.35">
      <c r="A65" s="12" t="s">
        <v>546</v>
      </c>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row>
    <row r="66" spans="1:28" x14ac:dyDescent="0.35">
      <c r="A66" s="12" t="s">
        <v>1201</v>
      </c>
      <c r="B66" s="22">
        <v>0</v>
      </c>
      <c r="C66" s="22">
        <v>0</v>
      </c>
      <c r="D66" s="22">
        <v>0</v>
      </c>
      <c r="E66" s="22">
        <v>0</v>
      </c>
      <c r="F66" s="22">
        <v>0</v>
      </c>
      <c r="G66" s="22">
        <v>0</v>
      </c>
      <c r="H66" s="22">
        <v>0</v>
      </c>
      <c r="I66" s="22">
        <v>0</v>
      </c>
      <c r="J66" s="22">
        <v>0</v>
      </c>
      <c r="K66" s="22">
        <v>0</v>
      </c>
      <c r="L66" s="22">
        <v>0</v>
      </c>
      <c r="M66" s="22">
        <v>0</v>
      </c>
      <c r="N66" s="22">
        <v>0</v>
      </c>
      <c r="O66" s="22">
        <v>0</v>
      </c>
      <c r="P66" s="22">
        <v>0</v>
      </c>
      <c r="Q66" s="22">
        <v>0</v>
      </c>
      <c r="R66" s="22">
        <v>0</v>
      </c>
      <c r="S66" s="22">
        <v>0</v>
      </c>
      <c r="T66" s="22">
        <v>0</v>
      </c>
      <c r="U66" s="22">
        <v>0</v>
      </c>
      <c r="V66" s="22">
        <v>0</v>
      </c>
      <c r="W66" s="22">
        <v>0</v>
      </c>
      <c r="X66" s="22">
        <v>0</v>
      </c>
      <c r="Y66" s="22">
        <v>0</v>
      </c>
      <c r="Z66" s="22">
        <v>0</v>
      </c>
      <c r="AA66" s="22">
        <v>0</v>
      </c>
      <c r="AB66" s="22">
        <v>0</v>
      </c>
    </row>
    <row r="67" spans="1:28" x14ac:dyDescent="0.35">
      <c r="A67" s="12" t="s">
        <v>1202</v>
      </c>
      <c r="B67" s="22">
        <v>0</v>
      </c>
      <c r="C67" s="22">
        <v>0</v>
      </c>
      <c r="D67" s="22">
        <v>0</v>
      </c>
      <c r="E67" s="22">
        <v>0</v>
      </c>
      <c r="F67" s="22">
        <v>0</v>
      </c>
      <c r="G67" s="22">
        <v>0</v>
      </c>
      <c r="H67" s="22">
        <v>0</v>
      </c>
      <c r="I67" s="22">
        <v>0</v>
      </c>
      <c r="J67" s="22">
        <v>0</v>
      </c>
      <c r="K67" s="22">
        <v>0</v>
      </c>
      <c r="L67" s="22">
        <v>0</v>
      </c>
      <c r="M67" s="22">
        <v>0</v>
      </c>
      <c r="N67" s="22">
        <v>0</v>
      </c>
      <c r="O67" s="22">
        <v>0</v>
      </c>
      <c r="P67" s="22">
        <v>0</v>
      </c>
      <c r="Q67" s="22">
        <v>0</v>
      </c>
      <c r="R67" s="22">
        <v>0</v>
      </c>
      <c r="S67" s="22">
        <v>0</v>
      </c>
      <c r="T67" s="22">
        <v>0</v>
      </c>
      <c r="U67" s="22">
        <v>0</v>
      </c>
      <c r="V67" s="22">
        <v>0</v>
      </c>
      <c r="W67" s="22">
        <v>0</v>
      </c>
      <c r="X67" s="22">
        <v>0</v>
      </c>
      <c r="Y67" s="22">
        <v>0</v>
      </c>
      <c r="Z67" s="22">
        <v>0</v>
      </c>
      <c r="AA67" s="22">
        <v>0</v>
      </c>
      <c r="AB67" s="22">
        <v>0</v>
      </c>
    </row>
    <row r="68" spans="1:28" x14ac:dyDescent="0.35">
      <c r="A68" s="12" t="s">
        <v>1203</v>
      </c>
      <c r="B68" s="22">
        <v>0</v>
      </c>
      <c r="C68" s="22">
        <v>0</v>
      </c>
      <c r="D68" s="22">
        <v>0</v>
      </c>
      <c r="E68" s="22">
        <v>0</v>
      </c>
      <c r="F68" s="22">
        <v>0</v>
      </c>
      <c r="G68" s="22">
        <v>0</v>
      </c>
      <c r="H68" s="22">
        <v>0</v>
      </c>
      <c r="I68" s="22">
        <v>0</v>
      </c>
      <c r="J68" s="22">
        <v>0</v>
      </c>
      <c r="K68" s="22">
        <v>0</v>
      </c>
      <c r="L68" s="22">
        <v>0</v>
      </c>
      <c r="M68" s="22">
        <v>0</v>
      </c>
      <c r="N68" s="22">
        <v>0</v>
      </c>
      <c r="O68" s="22">
        <v>0</v>
      </c>
      <c r="P68" s="22">
        <v>0</v>
      </c>
      <c r="Q68" s="22">
        <v>0</v>
      </c>
      <c r="R68" s="22">
        <v>0</v>
      </c>
      <c r="S68" s="22">
        <v>0</v>
      </c>
      <c r="T68" s="22">
        <v>0</v>
      </c>
      <c r="U68" s="22">
        <v>0</v>
      </c>
      <c r="V68" s="22">
        <v>0</v>
      </c>
      <c r="W68" s="22">
        <v>0</v>
      </c>
      <c r="X68" s="22">
        <v>0</v>
      </c>
      <c r="Y68" s="22">
        <v>0</v>
      </c>
      <c r="Z68" s="22">
        <v>0</v>
      </c>
      <c r="AA68" s="22">
        <v>0</v>
      </c>
      <c r="AB68" s="22">
        <v>0</v>
      </c>
    </row>
    <row r="69" spans="1:28" x14ac:dyDescent="0.35">
      <c r="A69" s="12" t="s">
        <v>1204</v>
      </c>
      <c r="B69" s="22">
        <v>0</v>
      </c>
      <c r="C69" s="22">
        <v>0</v>
      </c>
      <c r="D69" s="22">
        <v>0</v>
      </c>
      <c r="E69" s="22">
        <v>0</v>
      </c>
      <c r="F69" s="22">
        <v>0</v>
      </c>
      <c r="G69" s="22">
        <v>0</v>
      </c>
      <c r="H69" s="22">
        <v>0</v>
      </c>
      <c r="I69" s="22">
        <v>0</v>
      </c>
      <c r="J69" s="22">
        <v>0</v>
      </c>
      <c r="K69" s="22">
        <v>0</v>
      </c>
      <c r="L69" s="22">
        <v>0</v>
      </c>
      <c r="M69" s="22">
        <v>0</v>
      </c>
      <c r="N69" s="22">
        <v>0</v>
      </c>
      <c r="O69" s="22">
        <v>0</v>
      </c>
      <c r="P69" s="22">
        <v>0</v>
      </c>
      <c r="Q69" s="22">
        <v>0</v>
      </c>
      <c r="R69" s="22">
        <v>0</v>
      </c>
      <c r="S69" s="22">
        <v>0</v>
      </c>
      <c r="T69" s="22">
        <v>0</v>
      </c>
      <c r="U69" s="22">
        <v>0</v>
      </c>
      <c r="V69" s="22">
        <v>0</v>
      </c>
      <c r="W69" s="22">
        <v>0</v>
      </c>
      <c r="X69" s="22">
        <v>0</v>
      </c>
      <c r="Y69" s="22">
        <v>0</v>
      </c>
      <c r="Z69" s="22">
        <v>0</v>
      </c>
      <c r="AA69" s="22">
        <v>0</v>
      </c>
      <c r="AB69" s="22">
        <v>0</v>
      </c>
    </row>
    <row r="70" spans="1:28" x14ac:dyDescent="0.35">
      <c r="A70" s="12" t="s">
        <v>402</v>
      </c>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row>
    <row r="71" spans="1:28" x14ac:dyDescent="0.35">
      <c r="A71" s="12" t="s">
        <v>1201</v>
      </c>
      <c r="B71" s="22">
        <v>0</v>
      </c>
      <c r="C71" s="22">
        <v>0</v>
      </c>
      <c r="D71" s="22">
        <v>0</v>
      </c>
      <c r="E71" s="22">
        <v>0</v>
      </c>
      <c r="F71" s="22">
        <v>0</v>
      </c>
      <c r="G71" s="22">
        <v>0</v>
      </c>
      <c r="H71" s="22">
        <v>0</v>
      </c>
      <c r="I71" s="22">
        <v>0</v>
      </c>
      <c r="J71" s="22">
        <v>0</v>
      </c>
      <c r="K71" s="22">
        <v>0</v>
      </c>
      <c r="L71" s="22">
        <v>0</v>
      </c>
      <c r="M71" s="22">
        <v>0</v>
      </c>
      <c r="N71" s="22">
        <v>0</v>
      </c>
      <c r="O71" s="22">
        <v>0</v>
      </c>
      <c r="P71" s="22">
        <v>0</v>
      </c>
      <c r="Q71" s="22">
        <v>0</v>
      </c>
      <c r="R71" s="22">
        <v>0</v>
      </c>
      <c r="S71" s="22">
        <v>0</v>
      </c>
      <c r="T71" s="22">
        <v>0</v>
      </c>
      <c r="U71" s="22">
        <v>0</v>
      </c>
      <c r="V71" s="22">
        <v>0</v>
      </c>
      <c r="W71" s="22">
        <v>0</v>
      </c>
      <c r="X71" s="22">
        <v>0</v>
      </c>
      <c r="Y71" s="22">
        <v>0</v>
      </c>
      <c r="Z71" s="22">
        <v>0</v>
      </c>
      <c r="AA71" s="22">
        <v>0</v>
      </c>
      <c r="AB71" s="22">
        <v>0</v>
      </c>
    </row>
    <row r="72" spans="1:28" x14ac:dyDescent="0.35">
      <c r="A72" s="12" t="s">
        <v>1202</v>
      </c>
      <c r="B72" s="22">
        <v>0</v>
      </c>
      <c r="C72" s="22">
        <v>0</v>
      </c>
      <c r="D72" s="22">
        <v>0</v>
      </c>
      <c r="E72" s="22">
        <v>0</v>
      </c>
      <c r="F72" s="22">
        <v>0</v>
      </c>
      <c r="G72" s="22">
        <v>0</v>
      </c>
      <c r="H72" s="22">
        <v>0</v>
      </c>
      <c r="I72" s="22">
        <v>0</v>
      </c>
      <c r="J72" s="22">
        <v>0</v>
      </c>
      <c r="K72" s="22">
        <v>0</v>
      </c>
      <c r="L72" s="22">
        <v>0</v>
      </c>
      <c r="M72" s="22">
        <v>0</v>
      </c>
      <c r="N72" s="22">
        <v>0</v>
      </c>
      <c r="O72" s="22">
        <v>0</v>
      </c>
      <c r="P72" s="22">
        <v>0</v>
      </c>
      <c r="Q72" s="22">
        <v>0</v>
      </c>
      <c r="R72" s="22">
        <v>0</v>
      </c>
      <c r="S72" s="22">
        <v>0</v>
      </c>
      <c r="T72" s="22">
        <v>0</v>
      </c>
      <c r="U72" s="22">
        <v>0</v>
      </c>
      <c r="V72" s="22">
        <v>0</v>
      </c>
      <c r="W72" s="22">
        <v>0</v>
      </c>
      <c r="X72" s="22">
        <v>0</v>
      </c>
      <c r="Y72" s="22">
        <v>0</v>
      </c>
      <c r="Z72" s="22">
        <v>0</v>
      </c>
      <c r="AA72" s="22">
        <v>0</v>
      </c>
      <c r="AB72" s="22">
        <v>0</v>
      </c>
    </row>
    <row r="73" spans="1:28" x14ac:dyDescent="0.35">
      <c r="A73" s="12" t="s">
        <v>1203</v>
      </c>
      <c r="B73" s="22">
        <v>0</v>
      </c>
      <c r="C73" s="22">
        <v>0</v>
      </c>
      <c r="D73" s="22">
        <v>0</v>
      </c>
      <c r="E73" s="22">
        <v>0</v>
      </c>
      <c r="F73" s="22">
        <v>0</v>
      </c>
      <c r="G73" s="22">
        <v>0</v>
      </c>
      <c r="H73" s="22">
        <v>0</v>
      </c>
      <c r="I73" s="22">
        <v>0</v>
      </c>
      <c r="J73" s="22">
        <v>0</v>
      </c>
      <c r="K73" s="22">
        <v>0</v>
      </c>
      <c r="L73" s="22">
        <v>0</v>
      </c>
      <c r="M73" s="22">
        <v>0</v>
      </c>
      <c r="N73" s="22">
        <v>0</v>
      </c>
      <c r="O73" s="22">
        <v>0</v>
      </c>
      <c r="P73" s="22">
        <v>0</v>
      </c>
      <c r="Q73" s="22">
        <v>0</v>
      </c>
      <c r="R73" s="22">
        <v>0</v>
      </c>
      <c r="S73" s="22">
        <v>0</v>
      </c>
      <c r="T73" s="22">
        <v>0</v>
      </c>
      <c r="U73" s="22">
        <v>0</v>
      </c>
      <c r="V73" s="22">
        <v>0</v>
      </c>
      <c r="W73" s="22">
        <v>0</v>
      </c>
      <c r="X73" s="22">
        <v>0</v>
      </c>
      <c r="Y73" s="22">
        <v>0</v>
      </c>
      <c r="Z73" s="22">
        <v>0</v>
      </c>
      <c r="AA73" s="22">
        <v>0</v>
      </c>
      <c r="AB73" s="22">
        <v>0</v>
      </c>
    </row>
    <row r="74" spans="1:28" x14ac:dyDescent="0.35">
      <c r="A74" s="12" t="s">
        <v>1204</v>
      </c>
      <c r="B74" s="22">
        <v>0</v>
      </c>
      <c r="C74" s="22">
        <v>0</v>
      </c>
      <c r="D74" s="22">
        <v>0</v>
      </c>
      <c r="E74" s="22">
        <v>0</v>
      </c>
      <c r="F74" s="22">
        <v>0</v>
      </c>
      <c r="G74" s="22">
        <v>0</v>
      </c>
      <c r="H74" s="22">
        <v>0</v>
      </c>
      <c r="I74" s="22">
        <v>0</v>
      </c>
      <c r="J74" s="22">
        <v>0</v>
      </c>
      <c r="K74" s="22">
        <v>0</v>
      </c>
      <c r="L74" s="22">
        <v>0</v>
      </c>
      <c r="M74" s="22">
        <v>0</v>
      </c>
      <c r="N74" s="22">
        <v>0</v>
      </c>
      <c r="O74" s="22">
        <v>0</v>
      </c>
      <c r="P74" s="22">
        <v>0</v>
      </c>
      <c r="Q74" s="22">
        <v>0</v>
      </c>
      <c r="R74" s="22">
        <v>0</v>
      </c>
      <c r="S74" s="22">
        <v>0</v>
      </c>
      <c r="T74" s="22">
        <v>0</v>
      </c>
      <c r="U74" s="22">
        <v>0</v>
      </c>
      <c r="V74" s="22">
        <v>0</v>
      </c>
      <c r="W74" s="22">
        <v>0</v>
      </c>
      <c r="X74" s="22">
        <v>0</v>
      </c>
      <c r="Y74" s="22">
        <v>0</v>
      </c>
      <c r="Z74" s="22">
        <v>0</v>
      </c>
      <c r="AA74" s="22">
        <v>0</v>
      </c>
      <c r="AB74" s="22">
        <v>0</v>
      </c>
    </row>
    <row r="75" spans="1:28" x14ac:dyDescent="0.35">
      <c r="A75" s="12" t="s">
        <v>130</v>
      </c>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row>
    <row r="76" spans="1:28" x14ac:dyDescent="0.35">
      <c r="A76" s="12" t="s">
        <v>1201</v>
      </c>
      <c r="B76" s="22">
        <v>0</v>
      </c>
      <c r="C76" s="22">
        <v>0</v>
      </c>
      <c r="D76" s="22">
        <v>0</v>
      </c>
      <c r="E76" s="22">
        <v>0</v>
      </c>
      <c r="F76" s="22">
        <v>0</v>
      </c>
      <c r="G76" s="22">
        <v>0</v>
      </c>
      <c r="H76" s="22">
        <v>0</v>
      </c>
      <c r="I76" s="22">
        <v>0</v>
      </c>
      <c r="J76" s="22">
        <v>0</v>
      </c>
      <c r="K76" s="22">
        <v>0</v>
      </c>
      <c r="L76" s="22">
        <v>0</v>
      </c>
      <c r="M76" s="22">
        <v>0</v>
      </c>
      <c r="N76" s="22">
        <v>0</v>
      </c>
      <c r="O76" s="22">
        <v>0</v>
      </c>
      <c r="P76" s="22">
        <v>0</v>
      </c>
      <c r="Q76" s="22">
        <v>0</v>
      </c>
      <c r="R76" s="22">
        <v>0</v>
      </c>
      <c r="S76" s="22">
        <v>0</v>
      </c>
      <c r="T76" s="22">
        <v>0</v>
      </c>
      <c r="U76" s="22">
        <v>0</v>
      </c>
      <c r="V76" s="22">
        <v>0</v>
      </c>
      <c r="W76" s="22">
        <v>0</v>
      </c>
      <c r="X76" s="22">
        <v>0</v>
      </c>
      <c r="Y76" s="22">
        <v>0</v>
      </c>
      <c r="Z76" s="22">
        <v>0</v>
      </c>
      <c r="AA76" s="22">
        <v>0</v>
      </c>
      <c r="AB76" s="22">
        <v>0</v>
      </c>
    </row>
    <row r="77" spans="1:28" x14ac:dyDescent="0.35">
      <c r="A77" s="12" t="s">
        <v>1202</v>
      </c>
      <c r="B77" s="22">
        <v>0</v>
      </c>
      <c r="C77" s="22">
        <v>0</v>
      </c>
      <c r="D77" s="22">
        <v>0</v>
      </c>
      <c r="E77" s="22">
        <v>0</v>
      </c>
      <c r="F77" s="22">
        <v>0</v>
      </c>
      <c r="G77" s="22">
        <v>0</v>
      </c>
      <c r="H77" s="22">
        <v>0</v>
      </c>
      <c r="I77" s="22">
        <v>0</v>
      </c>
      <c r="J77" s="22">
        <v>0</v>
      </c>
      <c r="K77" s="22">
        <v>0</v>
      </c>
      <c r="L77" s="22">
        <v>0</v>
      </c>
      <c r="M77" s="22">
        <v>0</v>
      </c>
      <c r="N77" s="22">
        <v>0</v>
      </c>
      <c r="O77" s="22">
        <v>0</v>
      </c>
      <c r="P77" s="22">
        <v>0</v>
      </c>
      <c r="Q77" s="22">
        <v>0</v>
      </c>
      <c r="R77" s="22">
        <v>0</v>
      </c>
      <c r="S77" s="22">
        <v>0</v>
      </c>
      <c r="T77" s="22">
        <v>0</v>
      </c>
      <c r="U77" s="22">
        <v>0</v>
      </c>
      <c r="V77" s="22">
        <v>0</v>
      </c>
      <c r="W77" s="22">
        <v>0</v>
      </c>
      <c r="X77" s="22">
        <v>0</v>
      </c>
      <c r="Y77" s="22">
        <v>0</v>
      </c>
      <c r="Z77" s="22">
        <v>0</v>
      </c>
      <c r="AA77" s="22">
        <v>0</v>
      </c>
      <c r="AB77" s="22">
        <v>0</v>
      </c>
    </row>
    <row r="78" spans="1:28" x14ac:dyDescent="0.35">
      <c r="A78" s="12" t="s">
        <v>1203</v>
      </c>
      <c r="B78" s="22">
        <v>0</v>
      </c>
      <c r="C78" s="22">
        <v>0</v>
      </c>
      <c r="D78" s="22">
        <v>0</v>
      </c>
      <c r="E78" s="22">
        <v>0</v>
      </c>
      <c r="F78" s="22">
        <v>0</v>
      </c>
      <c r="G78" s="22">
        <v>0</v>
      </c>
      <c r="H78" s="22">
        <v>0</v>
      </c>
      <c r="I78" s="22">
        <v>0</v>
      </c>
      <c r="J78" s="22">
        <v>0</v>
      </c>
      <c r="K78" s="22">
        <v>0</v>
      </c>
      <c r="L78" s="22">
        <v>0</v>
      </c>
      <c r="M78" s="22">
        <v>0</v>
      </c>
      <c r="N78" s="22">
        <v>0</v>
      </c>
      <c r="O78" s="22">
        <v>0</v>
      </c>
      <c r="P78" s="22">
        <v>0</v>
      </c>
      <c r="Q78" s="22">
        <v>0</v>
      </c>
      <c r="R78" s="22">
        <v>0</v>
      </c>
      <c r="S78" s="22">
        <v>0</v>
      </c>
      <c r="T78" s="22">
        <v>0</v>
      </c>
      <c r="U78" s="22">
        <v>0</v>
      </c>
      <c r="V78" s="22">
        <v>0</v>
      </c>
      <c r="W78" s="22">
        <v>0</v>
      </c>
      <c r="X78" s="22">
        <v>0</v>
      </c>
      <c r="Y78" s="22">
        <v>0</v>
      </c>
      <c r="Z78" s="22">
        <v>0</v>
      </c>
      <c r="AA78" s="22">
        <v>0</v>
      </c>
      <c r="AB78" s="22">
        <v>0</v>
      </c>
    </row>
    <row r="79" spans="1:28" x14ac:dyDescent="0.35">
      <c r="A79" s="12" t="s">
        <v>1204</v>
      </c>
      <c r="B79" s="22">
        <v>0</v>
      </c>
      <c r="C79" s="22">
        <v>0</v>
      </c>
      <c r="D79" s="22">
        <v>0</v>
      </c>
      <c r="E79" s="22">
        <v>0</v>
      </c>
      <c r="F79" s="22">
        <v>0</v>
      </c>
      <c r="G79" s="22">
        <v>0</v>
      </c>
      <c r="H79" s="22">
        <v>0</v>
      </c>
      <c r="I79" s="22">
        <v>0</v>
      </c>
      <c r="J79" s="22">
        <v>0</v>
      </c>
      <c r="K79" s="22">
        <v>0</v>
      </c>
      <c r="L79" s="22">
        <v>0</v>
      </c>
      <c r="M79" s="22">
        <v>0</v>
      </c>
      <c r="N79" s="22">
        <v>0</v>
      </c>
      <c r="O79" s="22">
        <v>0</v>
      </c>
      <c r="P79" s="22">
        <v>0</v>
      </c>
      <c r="Q79" s="22">
        <v>0</v>
      </c>
      <c r="R79" s="22">
        <v>0</v>
      </c>
      <c r="S79" s="22">
        <v>0</v>
      </c>
      <c r="T79" s="22">
        <v>0</v>
      </c>
      <c r="U79" s="22">
        <v>0</v>
      </c>
      <c r="V79" s="22">
        <v>0</v>
      </c>
      <c r="W79" s="22">
        <v>0</v>
      </c>
      <c r="X79" s="22">
        <v>0</v>
      </c>
      <c r="Y79" s="22">
        <v>0</v>
      </c>
      <c r="Z79" s="22">
        <v>0</v>
      </c>
      <c r="AA79" s="22">
        <v>0</v>
      </c>
      <c r="AB79" s="22">
        <v>0</v>
      </c>
    </row>
    <row r="80" spans="1:28" x14ac:dyDescent="0.35">
      <c r="A80" s="12" t="s">
        <v>857</v>
      </c>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row>
    <row r="81" spans="1:28" x14ac:dyDescent="0.35">
      <c r="A81" s="12" t="s">
        <v>1201</v>
      </c>
      <c r="B81" s="22">
        <v>0</v>
      </c>
      <c r="C81" s="22">
        <v>0</v>
      </c>
      <c r="D81" s="22">
        <v>0</v>
      </c>
      <c r="E81" s="22">
        <v>0</v>
      </c>
      <c r="F81" s="22">
        <v>0</v>
      </c>
      <c r="G81" s="22">
        <v>0</v>
      </c>
      <c r="H81" s="22">
        <v>0</v>
      </c>
      <c r="I81" s="22">
        <v>0</v>
      </c>
      <c r="J81" s="22">
        <v>0</v>
      </c>
      <c r="K81" s="22">
        <v>0</v>
      </c>
      <c r="L81" s="22">
        <v>0</v>
      </c>
      <c r="M81" s="22">
        <v>0</v>
      </c>
      <c r="N81" s="22">
        <v>0</v>
      </c>
      <c r="O81" s="22">
        <v>0</v>
      </c>
      <c r="P81" s="22">
        <v>0</v>
      </c>
      <c r="Q81" s="22">
        <v>0</v>
      </c>
      <c r="R81" s="22">
        <v>0</v>
      </c>
      <c r="S81" s="22">
        <v>0</v>
      </c>
      <c r="T81" s="22">
        <v>0</v>
      </c>
      <c r="U81" s="22">
        <v>0</v>
      </c>
      <c r="V81" s="22">
        <v>0</v>
      </c>
      <c r="W81" s="22">
        <v>0</v>
      </c>
      <c r="X81" s="22">
        <v>0</v>
      </c>
      <c r="Y81" s="22">
        <v>0</v>
      </c>
      <c r="Z81" s="22">
        <v>0</v>
      </c>
      <c r="AA81" s="22">
        <v>0</v>
      </c>
      <c r="AB81" s="22">
        <v>0</v>
      </c>
    </row>
    <row r="82" spans="1:28" x14ac:dyDescent="0.35">
      <c r="A82" s="12" t="s">
        <v>1202</v>
      </c>
      <c r="B82" s="22">
        <v>0</v>
      </c>
      <c r="C82" s="22">
        <v>0</v>
      </c>
      <c r="D82" s="22">
        <v>0</v>
      </c>
      <c r="E82" s="22">
        <v>0</v>
      </c>
      <c r="F82" s="22">
        <v>0</v>
      </c>
      <c r="G82" s="22">
        <v>0</v>
      </c>
      <c r="H82" s="22">
        <v>0</v>
      </c>
      <c r="I82" s="22">
        <v>0</v>
      </c>
      <c r="J82" s="22">
        <v>0</v>
      </c>
      <c r="K82" s="22">
        <v>0</v>
      </c>
      <c r="L82" s="22">
        <v>0</v>
      </c>
      <c r="M82" s="22">
        <v>0</v>
      </c>
      <c r="N82" s="22">
        <v>0</v>
      </c>
      <c r="O82" s="22">
        <v>0</v>
      </c>
      <c r="P82" s="22">
        <v>0</v>
      </c>
      <c r="Q82" s="22">
        <v>0</v>
      </c>
      <c r="R82" s="22">
        <v>0</v>
      </c>
      <c r="S82" s="22">
        <v>0</v>
      </c>
      <c r="T82" s="22">
        <v>0</v>
      </c>
      <c r="U82" s="22">
        <v>0</v>
      </c>
      <c r="V82" s="22">
        <v>0</v>
      </c>
      <c r="W82" s="22">
        <v>0</v>
      </c>
      <c r="X82" s="22">
        <v>0</v>
      </c>
      <c r="Y82" s="22">
        <v>0</v>
      </c>
      <c r="Z82" s="22">
        <v>0</v>
      </c>
      <c r="AA82" s="22">
        <v>0</v>
      </c>
      <c r="AB82" s="22">
        <v>0</v>
      </c>
    </row>
    <row r="83" spans="1:28" x14ac:dyDescent="0.35">
      <c r="A83" s="12" t="s">
        <v>1203</v>
      </c>
      <c r="B83" s="22">
        <v>0</v>
      </c>
      <c r="C83" s="22">
        <v>0</v>
      </c>
      <c r="D83" s="22">
        <v>0</v>
      </c>
      <c r="E83" s="22">
        <v>0</v>
      </c>
      <c r="F83" s="22">
        <v>0</v>
      </c>
      <c r="G83" s="22">
        <v>0</v>
      </c>
      <c r="H83" s="22">
        <v>0</v>
      </c>
      <c r="I83" s="22">
        <v>0</v>
      </c>
      <c r="J83" s="22">
        <v>0</v>
      </c>
      <c r="K83" s="22">
        <v>0</v>
      </c>
      <c r="L83" s="22">
        <v>0</v>
      </c>
      <c r="M83" s="22">
        <v>0</v>
      </c>
      <c r="N83" s="22">
        <v>0</v>
      </c>
      <c r="O83" s="22">
        <v>0</v>
      </c>
      <c r="P83" s="22">
        <v>0</v>
      </c>
      <c r="Q83" s="22">
        <v>0</v>
      </c>
      <c r="R83" s="22">
        <v>0</v>
      </c>
      <c r="S83" s="22">
        <v>0</v>
      </c>
      <c r="T83" s="22">
        <v>0</v>
      </c>
      <c r="U83" s="22">
        <v>0</v>
      </c>
      <c r="V83" s="22">
        <v>0</v>
      </c>
      <c r="W83" s="22">
        <v>0</v>
      </c>
      <c r="X83" s="22">
        <v>0</v>
      </c>
      <c r="Y83" s="22">
        <v>0</v>
      </c>
      <c r="Z83" s="22">
        <v>0</v>
      </c>
      <c r="AA83" s="22">
        <v>0</v>
      </c>
      <c r="AB83" s="22">
        <v>0</v>
      </c>
    </row>
    <row r="84" spans="1:28" x14ac:dyDescent="0.35">
      <c r="A84" s="12" t="s">
        <v>1204</v>
      </c>
      <c r="B84" s="22">
        <v>0</v>
      </c>
      <c r="C84" s="22">
        <v>0</v>
      </c>
      <c r="D84" s="22">
        <v>0</v>
      </c>
      <c r="E84" s="22">
        <v>0</v>
      </c>
      <c r="F84" s="22">
        <v>0</v>
      </c>
      <c r="G84" s="22">
        <v>0</v>
      </c>
      <c r="H84" s="22">
        <v>0</v>
      </c>
      <c r="I84" s="22">
        <v>0</v>
      </c>
      <c r="J84" s="22">
        <v>0</v>
      </c>
      <c r="K84" s="22">
        <v>0</v>
      </c>
      <c r="L84" s="22">
        <v>0</v>
      </c>
      <c r="M84" s="22">
        <v>0</v>
      </c>
      <c r="N84" s="22">
        <v>0</v>
      </c>
      <c r="O84" s="22">
        <v>0</v>
      </c>
      <c r="P84" s="22">
        <v>0</v>
      </c>
      <c r="Q84" s="22">
        <v>0</v>
      </c>
      <c r="R84" s="22">
        <v>0</v>
      </c>
      <c r="S84" s="22">
        <v>0</v>
      </c>
      <c r="T84" s="22">
        <v>0</v>
      </c>
      <c r="U84" s="22">
        <v>0</v>
      </c>
      <c r="V84" s="22">
        <v>0</v>
      </c>
      <c r="W84" s="22">
        <v>0</v>
      </c>
      <c r="X84" s="22">
        <v>0</v>
      </c>
      <c r="Y84" s="22">
        <v>0</v>
      </c>
      <c r="Z84" s="22">
        <v>0</v>
      </c>
      <c r="AA84" s="22">
        <v>0</v>
      </c>
      <c r="AB84" s="22">
        <v>0</v>
      </c>
    </row>
    <row r="85" spans="1:28" x14ac:dyDescent="0.35">
      <c r="A85" s="12" t="s">
        <v>482</v>
      </c>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row>
    <row r="86" spans="1:28" x14ac:dyDescent="0.35">
      <c r="A86" s="12" t="s">
        <v>1201</v>
      </c>
      <c r="B86" s="22">
        <v>0</v>
      </c>
      <c r="C86" s="22">
        <v>0</v>
      </c>
      <c r="D86" s="22">
        <v>0</v>
      </c>
      <c r="E86" s="22">
        <v>0</v>
      </c>
      <c r="F86" s="22">
        <v>0</v>
      </c>
      <c r="G86" s="22">
        <v>0</v>
      </c>
      <c r="H86" s="22">
        <v>0</v>
      </c>
      <c r="I86" s="22">
        <v>0</v>
      </c>
      <c r="J86" s="22">
        <v>0</v>
      </c>
      <c r="K86" s="22">
        <v>0</v>
      </c>
      <c r="L86" s="22">
        <v>0</v>
      </c>
      <c r="M86" s="22">
        <v>0</v>
      </c>
      <c r="N86" s="22">
        <v>0</v>
      </c>
      <c r="O86" s="22">
        <v>0</v>
      </c>
      <c r="P86" s="22">
        <v>0</v>
      </c>
      <c r="Q86" s="22">
        <v>0</v>
      </c>
      <c r="R86" s="22">
        <v>0</v>
      </c>
      <c r="S86" s="22">
        <v>0</v>
      </c>
      <c r="T86" s="22">
        <v>0</v>
      </c>
      <c r="U86" s="22">
        <v>0</v>
      </c>
      <c r="V86" s="22">
        <v>0</v>
      </c>
      <c r="W86" s="22">
        <v>0</v>
      </c>
      <c r="X86" s="22">
        <v>0</v>
      </c>
      <c r="Y86" s="22">
        <v>0</v>
      </c>
      <c r="Z86" s="22">
        <v>0</v>
      </c>
      <c r="AA86" s="22">
        <v>0</v>
      </c>
      <c r="AB86" s="22">
        <v>0</v>
      </c>
    </row>
    <row r="87" spans="1:28" x14ac:dyDescent="0.35">
      <c r="A87" s="12" t="s">
        <v>1202</v>
      </c>
      <c r="B87" s="22">
        <v>0</v>
      </c>
      <c r="C87" s="22">
        <v>0</v>
      </c>
      <c r="D87" s="22">
        <v>0</v>
      </c>
      <c r="E87" s="22">
        <v>0</v>
      </c>
      <c r="F87" s="22">
        <v>0</v>
      </c>
      <c r="G87" s="22">
        <v>0</v>
      </c>
      <c r="H87" s="22">
        <v>0</v>
      </c>
      <c r="I87" s="22">
        <v>0</v>
      </c>
      <c r="J87" s="22">
        <v>0</v>
      </c>
      <c r="K87" s="22">
        <v>0</v>
      </c>
      <c r="L87" s="22">
        <v>0</v>
      </c>
      <c r="M87" s="22">
        <v>0</v>
      </c>
      <c r="N87" s="22">
        <v>0</v>
      </c>
      <c r="O87" s="22">
        <v>0</v>
      </c>
      <c r="P87" s="22">
        <v>0</v>
      </c>
      <c r="Q87" s="22">
        <v>0</v>
      </c>
      <c r="R87" s="22">
        <v>0</v>
      </c>
      <c r="S87" s="22">
        <v>0</v>
      </c>
      <c r="T87" s="22">
        <v>0</v>
      </c>
      <c r="U87" s="22">
        <v>0</v>
      </c>
      <c r="V87" s="22">
        <v>0</v>
      </c>
      <c r="W87" s="22">
        <v>0</v>
      </c>
      <c r="X87" s="22">
        <v>0</v>
      </c>
      <c r="Y87" s="22">
        <v>0</v>
      </c>
      <c r="Z87" s="22">
        <v>0</v>
      </c>
      <c r="AA87" s="22">
        <v>0</v>
      </c>
      <c r="AB87" s="22">
        <v>0</v>
      </c>
    </row>
    <row r="88" spans="1:28" x14ac:dyDescent="0.35">
      <c r="A88" s="12" t="s">
        <v>1203</v>
      </c>
      <c r="B88" s="22">
        <v>0</v>
      </c>
      <c r="C88" s="22">
        <v>0</v>
      </c>
      <c r="D88" s="22">
        <v>0</v>
      </c>
      <c r="E88" s="22">
        <v>0</v>
      </c>
      <c r="F88" s="22">
        <v>0</v>
      </c>
      <c r="G88" s="22">
        <v>0</v>
      </c>
      <c r="H88" s="22">
        <v>0</v>
      </c>
      <c r="I88" s="22">
        <v>0</v>
      </c>
      <c r="J88" s="22">
        <v>0</v>
      </c>
      <c r="K88" s="22">
        <v>0</v>
      </c>
      <c r="L88" s="22">
        <v>0</v>
      </c>
      <c r="M88" s="22">
        <v>0</v>
      </c>
      <c r="N88" s="22">
        <v>0</v>
      </c>
      <c r="O88" s="22">
        <v>0</v>
      </c>
      <c r="P88" s="22">
        <v>0</v>
      </c>
      <c r="Q88" s="22">
        <v>0</v>
      </c>
      <c r="R88" s="22">
        <v>0</v>
      </c>
      <c r="S88" s="22">
        <v>0</v>
      </c>
      <c r="T88" s="22">
        <v>0</v>
      </c>
      <c r="U88" s="22">
        <v>0</v>
      </c>
      <c r="V88" s="22">
        <v>0</v>
      </c>
      <c r="W88" s="22">
        <v>0</v>
      </c>
      <c r="X88" s="22">
        <v>0</v>
      </c>
      <c r="Y88" s="22">
        <v>0</v>
      </c>
      <c r="Z88" s="22">
        <v>0</v>
      </c>
      <c r="AA88" s="22">
        <v>0</v>
      </c>
      <c r="AB88" s="22">
        <v>0</v>
      </c>
    </row>
    <row r="89" spans="1:28" x14ac:dyDescent="0.35">
      <c r="A89" s="12" t="s">
        <v>1204</v>
      </c>
      <c r="B89" s="22">
        <v>0</v>
      </c>
      <c r="C89" s="22">
        <v>0</v>
      </c>
      <c r="D89" s="22">
        <v>0</v>
      </c>
      <c r="E89" s="22">
        <v>0</v>
      </c>
      <c r="F89" s="22">
        <v>0</v>
      </c>
      <c r="G89" s="22">
        <v>0</v>
      </c>
      <c r="H89" s="22">
        <v>0</v>
      </c>
      <c r="I89" s="22">
        <v>0</v>
      </c>
      <c r="J89" s="22">
        <v>0</v>
      </c>
      <c r="K89" s="22">
        <v>0</v>
      </c>
      <c r="L89" s="22">
        <v>0</v>
      </c>
      <c r="M89" s="22">
        <v>0</v>
      </c>
      <c r="N89" s="22">
        <v>0</v>
      </c>
      <c r="O89" s="22">
        <v>0</v>
      </c>
      <c r="P89" s="22">
        <v>0</v>
      </c>
      <c r="Q89" s="22">
        <v>0</v>
      </c>
      <c r="R89" s="22">
        <v>0</v>
      </c>
      <c r="S89" s="22">
        <v>0</v>
      </c>
      <c r="T89" s="22">
        <v>0</v>
      </c>
      <c r="U89" s="22">
        <v>0</v>
      </c>
      <c r="V89" s="22">
        <v>0</v>
      </c>
      <c r="W89" s="22">
        <v>0</v>
      </c>
      <c r="X89" s="22">
        <v>0</v>
      </c>
      <c r="Y89" s="22">
        <v>0</v>
      </c>
      <c r="Z89" s="22">
        <v>0</v>
      </c>
      <c r="AA89" s="22">
        <v>0</v>
      </c>
      <c r="AB89" s="22">
        <v>0</v>
      </c>
    </row>
    <row r="90" spans="1:28" x14ac:dyDescent="0.35">
      <c r="A90" s="12" t="s">
        <v>76</v>
      </c>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row>
    <row r="91" spans="1:28" x14ac:dyDescent="0.35">
      <c r="A91" s="12" t="s">
        <v>1201</v>
      </c>
      <c r="B91" s="22">
        <v>0</v>
      </c>
      <c r="C91" s="22">
        <v>0</v>
      </c>
      <c r="D91" s="22">
        <v>0</v>
      </c>
      <c r="E91" s="22">
        <v>0</v>
      </c>
      <c r="F91" s="22">
        <v>0</v>
      </c>
      <c r="G91" s="22">
        <v>0</v>
      </c>
      <c r="H91" s="22">
        <v>0</v>
      </c>
      <c r="I91" s="22">
        <v>0</v>
      </c>
      <c r="J91" s="22">
        <v>0</v>
      </c>
      <c r="K91" s="22">
        <v>0</v>
      </c>
      <c r="L91" s="22">
        <v>0</v>
      </c>
      <c r="M91" s="22">
        <v>0</v>
      </c>
      <c r="N91" s="22">
        <v>0</v>
      </c>
      <c r="O91" s="22">
        <v>0</v>
      </c>
      <c r="P91" s="22">
        <v>0</v>
      </c>
      <c r="Q91" s="22">
        <v>0</v>
      </c>
      <c r="R91" s="22">
        <v>0</v>
      </c>
      <c r="S91" s="22">
        <v>0</v>
      </c>
      <c r="T91" s="22">
        <v>0</v>
      </c>
      <c r="U91" s="22">
        <v>0</v>
      </c>
      <c r="V91" s="22">
        <v>0</v>
      </c>
      <c r="W91" s="22">
        <v>0</v>
      </c>
      <c r="X91" s="22">
        <v>0</v>
      </c>
      <c r="Y91" s="22">
        <v>0</v>
      </c>
      <c r="Z91" s="22">
        <v>0</v>
      </c>
      <c r="AA91" s="22">
        <v>0</v>
      </c>
      <c r="AB91" s="22">
        <v>0</v>
      </c>
    </row>
    <row r="92" spans="1:28" x14ac:dyDescent="0.35">
      <c r="A92" s="12" t="s">
        <v>1202</v>
      </c>
      <c r="B92" s="22">
        <v>0</v>
      </c>
      <c r="C92" s="22">
        <v>0</v>
      </c>
      <c r="D92" s="22">
        <v>0</v>
      </c>
      <c r="E92" s="22">
        <v>0</v>
      </c>
      <c r="F92" s="22">
        <v>0</v>
      </c>
      <c r="G92" s="22">
        <v>0</v>
      </c>
      <c r="H92" s="22">
        <v>0</v>
      </c>
      <c r="I92" s="22">
        <v>0</v>
      </c>
      <c r="J92" s="22">
        <v>0</v>
      </c>
      <c r="K92" s="22">
        <v>0</v>
      </c>
      <c r="L92" s="22">
        <v>0</v>
      </c>
      <c r="M92" s="22">
        <v>0</v>
      </c>
      <c r="N92" s="22">
        <v>0</v>
      </c>
      <c r="O92" s="22">
        <v>0</v>
      </c>
      <c r="P92" s="22">
        <v>0</v>
      </c>
      <c r="Q92" s="22">
        <v>0</v>
      </c>
      <c r="R92" s="22">
        <v>0</v>
      </c>
      <c r="S92" s="22">
        <v>0</v>
      </c>
      <c r="T92" s="22">
        <v>0</v>
      </c>
      <c r="U92" s="22">
        <v>0</v>
      </c>
      <c r="V92" s="22">
        <v>0</v>
      </c>
      <c r="W92" s="22">
        <v>0</v>
      </c>
      <c r="X92" s="22">
        <v>0</v>
      </c>
      <c r="Y92" s="22">
        <v>0</v>
      </c>
      <c r="Z92" s="22">
        <v>0</v>
      </c>
      <c r="AA92" s="22">
        <v>0</v>
      </c>
      <c r="AB92" s="22">
        <v>0</v>
      </c>
    </row>
    <row r="93" spans="1:28" x14ac:dyDescent="0.35">
      <c r="A93" s="12" t="s">
        <v>1203</v>
      </c>
      <c r="B93" s="22">
        <v>0</v>
      </c>
      <c r="C93" s="22">
        <v>0</v>
      </c>
      <c r="D93" s="22">
        <v>0</v>
      </c>
      <c r="E93" s="22">
        <v>0</v>
      </c>
      <c r="F93" s="22">
        <v>0</v>
      </c>
      <c r="G93" s="22">
        <v>0</v>
      </c>
      <c r="H93" s="22">
        <v>0</v>
      </c>
      <c r="I93" s="22">
        <v>0</v>
      </c>
      <c r="J93" s="22">
        <v>0</v>
      </c>
      <c r="K93" s="22">
        <v>0</v>
      </c>
      <c r="L93" s="22">
        <v>0</v>
      </c>
      <c r="M93" s="22">
        <v>0</v>
      </c>
      <c r="N93" s="22">
        <v>0</v>
      </c>
      <c r="O93" s="22">
        <v>0</v>
      </c>
      <c r="P93" s="22">
        <v>0</v>
      </c>
      <c r="Q93" s="22">
        <v>0</v>
      </c>
      <c r="R93" s="22">
        <v>0</v>
      </c>
      <c r="S93" s="22">
        <v>0</v>
      </c>
      <c r="T93" s="22">
        <v>0</v>
      </c>
      <c r="U93" s="22">
        <v>0</v>
      </c>
      <c r="V93" s="22">
        <v>0</v>
      </c>
      <c r="W93" s="22">
        <v>0</v>
      </c>
      <c r="X93" s="22">
        <v>0</v>
      </c>
      <c r="Y93" s="22">
        <v>0</v>
      </c>
      <c r="Z93" s="22">
        <v>0</v>
      </c>
      <c r="AA93" s="22">
        <v>0</v>
      </c>
      <c r="AB93" s="22">
        <v>0</v>
      </c>
    </row>
    <row r="94" spans="1:28" x14ac:dyDescent="0.35">
      <c r="A94" s="12" t="s">
        <v>1204</v>
      </c>
      <c r="B94" s="22">
        <v>0</v>
      </c>
      <c r="C94" s="22">
        <v>0</v>
      </c>
      <c r="D94" s="22">
        <v>0</v>
      </c>
      <c r="E94" s="22">
        <v>0</v>
      </c>
      <c r="F94" s="22">
        <v>0</v>
      </c>
      <c r="G94" s="22">
        <v>0</v>
      </c>
      <c r="H94" s="22">
        <v>0</v>
      </c>
      <c r="I94" s="22">
        <v>0</v>
      </c>
      <c r="J94" s="22">
        <v>0</v>
      </c>
      <c r="K94" s="22">
        <v>0</v>
      </c>
      <c r="L94" s="22">
        <v>0</v>
      </c>
      <c r="M94" s="22">
        <v>0</v>
      </c>
      <c r="N94" s="22">
        <v>0</v>
      </c>
      <c r="O94" s="22">
        <v>0</v>
      </c>
      <c r="P94" s="22">
        <v>0</v>
      </c>
      <c r="Q94" s="22">
        <v>0</v>
      </c>
      <c r="R94" s="22">
        <v>0</v>
      </c>
      <c r="S94" s="22">
        <v>0</v>
      </c>
      <c r="T94" s="22">
        <v>0</v>
      </c>
      <c r="U94" s="22">
        <v>0</v>
      </c>
      <c r="V94" s="22">
        <v>0</v>
      </c>
      <c r="W94" s="22">
        <v>0</v>
      </c>
      <c r="X94" s="22">
        <v>0</v>
      </c>
      <c r="Y94" s="22">
        <v>0</v>
      </c>
      <c r="Z94" s="22">
        <v>0</v>
      </c>
      <c r="AA94" s="22">
        <v>0</v>
      </c>
      <c r="AB94" s="22">
        <v>0</v>
      </c>
    </row>
    <row r="95" spans="1:28" x14ac:dyDescent="0.35">
      <c r="A95" s="12" t="s">
        <v>564</v>
      </c>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row>
    <row r="96" spans="1:28" x14ac:dyDescent="0.35">
      <c r="A96" s="12" t="s">
        <v>1201</v>
      </c>
      <c r="B96" s="22">
        <v>0</v>
      </c>
      <c r="C96" s="22">
        <v>0</v>
      </c>
      <c r="D96" s="22">
        <v>0</v>
      </c>
      <c r="E96" s="22">
        <v>0</v>
      </c>
      <c r="F96" s="22">
        <v>0</v>
      </c>
      <c r="G96" s="22">
        <v>0</v>
      </c>
      <c r="H96" s="22">
        <v>0</v>
      </c>
      <c r="I96" s="22">
        <v>0</v>
      </c>
      <c r="J96" s="22">
        <v>0</v>
      </c>
      <c r="K96" s="22">
        <v>0</v>
      </c>
      <c r="L96" s="22">
        <v>0</v>
      </c>
      <c r="M96" s="22">
        <v>0</v>
      </c>
      <c r="N96" s="22">
        <v>0</v>
      </c>
      <c r="O96" s="22">
        <v>0</v>
      </c>
      <c r="P96" s="22">
        <v>0</v>
      </c>
      <c r="Q96" s="22">
        <v>0</v>
      </c>
      <c r="R96" s="22">
        <v>0</v>
      </c>
      <c r="S96" s="22">
        <v>0</v>
      </c>
      <c r="T96" s="22">
        <v>0</v>
      </c>
      <c r="U96" s="22">
        <v>0</v>
      </c>
      <c r="V96" s="22">
        <v>0</v>
      </c>
      <c r="W96" s="22">
        <v>0</v>
      </c>
      <c r="X96" s="22">
        <v>0</v>
      </c>
      <c r="Y96" s="22">
        <v>0</v>
      </c>
      <c r="Z96" s="22">
        <v>0</v>
      </c>
      <c r="AA96" s="22">
        <v>0</v>
      </c>
      <c r="AB96" s="22">
        <v>0</v>
      </c>
    </row>
    <row r="97" spans="1:28" x14ac:dyDescent="0.35">
      <c r="A97" s="12" t="s">
        <v>1202</v>
      </c>
      <c r="B97" s="22">
        <v>0</v>
      </c>
      <c r="C97" s="22">
        <v>0</v>
      </c>
      <c r="D97" s="22">
        <v>0</v>
      </c>
      <c r="E97" s="22">
        <v>0</v>
      </c>
      <c r="F97" s="22">
        <v>0</v>
      </c>
      <c r="G97" s="22">
        <v>0</v>
      </c>
      <c r="H97" s="22">
        <v>0</v>
      </c>
      <c r="I97" s="22">
        <v>0</v>
      </c>
      <c r="J97" s="22">
        <v>0</v>
      </c>
      <c r="K97" s="22">
        <v>0</v>
      </c>
      <c r="L97" s="22">
        <v>0</v>
      </c>
      <c r="M97" s="22">
        <v>0</v>
      </c>
      <c r="N97" s="22">
        <v>0</v>
      </c>
      <c r="O97" s="22">
        <v>0</v>
      </c>
      <c r="P97" s="22">
        <v>0</v>
      </c>
      <c r="Q97" s="22">
        <v>0</v>
      </c>
      <c r="R97" s="22">
        <v>0</v>
      </c>
      <c r="S97" s="22">
        <v>0</v>
      </c>
      <c r="T97" s="22">
        <v>0</v>
      </c>
      <c r="U97" s="22">
        <v>0</v>
      </c>
      <c r="V97" s="22">
        <v>0</v>
      </c>
      <c r="W97" s="22">
        <v>0</v>
      </c>
      <c r="X97" s="22">
        <v>0</v>
      </c>
      <c r="Y97" s="22">
        <v>0</v>
      </c>
      <c r="Z97" s="22">
        <v>0</v>
      </c>
      <c r="AA97" s="22">
        <v>0</v>
      </c>
      <c r="AB97" s="22">
        <v>0</v>
      </c>
    </row>
    <row r="98" spans="1:28" x14ac:dyDescent="0.35">
      <c r="A98" s="12" t="s">
        <v>1203</v>
      </c>
      <c r="B98" s="22">
        <v>0</v>
      </c>
      <c r="C98" s="22">
        <v>0</v>
      </c>
      <c r="D98" s="22">
        <v>0</v>
      </c>
      <c r="E98" s="22">
        <v>0</v>
      </c>
      <c r="F98" s="22">
        <v>0</v>
      </c>
      <c r="G98" s="22">
        <v>0</v>
      </c>
      <c r="H98" s="22">
        <v>0</v>
      </c>
      <c r="I98" s="22">
        <v>0</v>
      </c>
      <c r="J98" s="22">
        <v>0</v>
      </c>
      <c r="K98" s="22">
        <v>0</v>
      </c>
      <c r="L98" s="22">
        <v>0</v>
      </c>
      <c r="M98" s="22">
        <v>0</v>
      </c>
      <c r="N98" s="22">
        <v>0</v>
      </c>
      <c r="O98" s="22">
        <v>0</v>
      </c>
      <c r="P98" s="22">
        <v>0</v>
      </c>
      <c r="Q98" s="22">
        <v>0</v>
      </c>
      <c r="R98" s="22">
        <v>0</v>
      </c>
      <c r="S98" s="22">
        <v>0</v>
      </c>
      <c r="T98" s="22">
        <v>0</v>
      </c>
      <c r="U98" s="22">
        <v>0</v>
      </c>
      <c r="V98" s="22">
        <v>0</v>
      </c>
      <c r="W98" s="22">
        <v>0</v>
      </c>
      <c r="X98" s="22">
        <v>0</v>
      </c>
      <c r="Y98" s="22">
        <v>0</v>
      </c>
      <c r="Z98" s="22">
        <v>0</v>
      </c>
      <c r="AA98" s="22">
        <v>0</v>
      </c>
      <c r="AB98" s="22">
        <v>0</v>
      </c>
    </row>
    <row r="99" spans="1:28" x14ac:dyDescent="0.35">
      <c r="A99" s="12" t="s">
        <v>1204</v>
      </c>
      <c r="B99" s="22">
        <v>0</v>
      </c>
      <c r="C99" s="22">
        <v>0</v>
      </c>
      <c r="D99" s="22">
        <v>0</v>
      </c>
      <c r="E99" s="22">
        <v>0</v>
      </c>
      <c r="F99" s="22">
        <v>0</v>
      </c>
      <c r="G99" s="22">
        <v>0</v>
      </c>
      <c r="H99" s="22">
        <v>0</v>
      </c>
      <c r="I99" s="22">
        <v>0</v>
      </c>
      <c r="J99" s="22">
        <v>0</v>
      </c>
      <c r="K99" s="22">
        <v>0</v>
      </c>
      <c r="L99" s="22">
        <v>0</v>
      </c>
      <c r="M99" s="22">
        <v>0</v>
      </c>
      <c r="N99" s="22">
        <v>0</v>
      </c>
      <c r="O99" s="22">
        <v>0</v>
      </c>
      <c r="P99" s="22">
        <v>0</v>
      </c>
      <c r="Q99" s="22">
        <v>0</v>
      </c>
      <c r="R99" s="22">
        <v>0</v>
      </c>
      <c r="S99" s="22">
        <v>0</v>
      </c>
      <c r="T99" s="22">
        <v>0</v>
      </c>
      <c r="U99" s="22">
        <v>0</v>
      </c>
      <c r="V99" s="22">
        <v>0</v>
      </c>
      <c r="W99" s="22">
        <v>0</v>
      </c>
      <c r="X99" s="22">
        <v>0</v>
      </c>
      <c r="Y99" s="22">
        <v>0</v>
      </c>
      <c r="Z99" s="22">
        <v>0</v>
      </c>
      <c r="AA99" s="22">
        <v>0</v>
      </c>
      <c r="AB99" s="22">
        <v>0</v>
      </c>
    </row>
    <row r="100" spans="1:28" x14ac:dyDescent="0.35">
      <c r="A100" s="12" t="s">
        <v>111</v>
      </c>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row>
    <row r="101" spans="1:28" x14ac:dyDescent="0.35">
      <c r="A101" s="12" t="s">
        <v>1201</v>
      </c>
      <c r="B101" s="22">
        <v>0</v>
      </c>
      <c r="C101" s="22">
        <v>0</v>
      </c>
      <c r="D101" s="22">
        <v>0</v>
      </c>
      <c r="E101" s="22">
        <v>0</v>
      </c>
      <c r="F101" s="22">
        <v>0</v>
      </c>
      <c r="G101" s="22">
        <v>0</v>
      </c>
      <c r="H101" s="22">
        <v>0</v>
      </c>
      <c r="I101" s="22">
        <v>0</v>
      </c>
      <c r="J101" s="22">
        <v>0</v>
      </c>
      <c r="K101" s="22">
        <v>0</v>
      </c>
      <c r="L101" s="22">
        <v>0</v>
      </c>
      <c r="M101" s="22">
        <v>0</v>
      </c>
      <c r="N101" s="22">
        <v>0</v>
      </c>
      <c r="O101" s="22">
        <v>0</v>
      </c>
      <c r="P101" s="22">
        <v>0</v>
      </c>
      <c r="Q101" s="22">
        <v>0</v>
      </c>
      <c r="R101" s="22">
        <v>0</v>
      </c>
      <c r="S101" s="22">
        <v>0</v>
      </c>
      <c r="T101" s="22">
        <v>0</v>
      </c>
      <c r="U101" s="22">
        <v>0</v>
      </c>
      <c r="V101" s="22">
        <v>0</v>
      </c>
      <c r="W101" s="22">
        <v>0</v>
      </c>
      <c r="X101" s="22">
        <v>0</v>
      </c>
      <c r="Y101" s="22">
        <v>0</v>
      </c>
      <c r="Z101" s="22">
        <v>0</v>
      </c>
      <c r="AA101" s="22">
        <v>0</v>
      </c>
      <c r="AB101" s="22">
        <v>0</v>
      </c>
    </row>
    <row r="102" spans="1:28" x14ac:dyDescent="0.35">
      <c r="A102" s="12" t="s">
        <v>1202</v>
      </c>
      <c r="B102" s="22">
        <v>0</v>
      </c>
      <c r="C102" s="22">
        <v>0</v>
      </c>
      <c r="D102" s="22">
        <v>0</v>
      </c>
      <c r="E102" s="22">
        <v>0</v>
      </c>
      <c r="F102" s="22">
        <v>0</v>
      </c>
      <c r="G102" s="22">
        <v>0</v>
      </c>
      <c r="H102" s="22">
        <v>0</v>
      </c>
      <c r="I102" s="22">
        <v>0</v>
      </c>
      <c r="J102" s="22">
        <v>0</v>
      </c>
      <c r="K102" s="22">
        <v>0</v>
      </c>
      <c r="L102" s="22">
        <v>0</v>
      </c>
      <c r="M102" s="22">
        <v>0</v>
      </c>
      <c r="N102" s="22">
        <v>0</v>
      </c>
      <c r="O102" s="22">
        <v>0</v>
      </c>
      <c r="P102" s="22">
        <v>0</v>
      </c>
      <c r="Q102" s="22">
        <v>0</v>
      </c>
      <c r="R102" s="22">
        <v>0</v>
      </c>
      <c r="S102" s="22">
        <v>0</v>
      </c>
      <c r="T102" s="22">
        <v>0</v>
      </c>
      <c r="U102" s="22">
        <v>0</v>
      </c>
      <c r="V102" s="22">
        <v>0</v>
      </c>
      <c r="W102" s="22">
        <v>0</v>
      </c>
      <c r="X102" s="22">
        <v>0</v>
      </c>
      <c r="Y102" s="22">
        <v>0</v>
      </c>
      <c r="Z102" s="22">
        <v>0</v>
      </c>
      <c r="AA102" s="22">
        <v>0</v>
      </c>
      <c r="AB102" s="22">
        <v>0</v>
      </c>
    </row>
    <row r="103" spans="1:28" x14ac:dyDescent="0.35">
      <c r="A103" s="12" t="s">
        <v>1203</v>
      </c>
      <c r="B103" s="22">
        <v>0</v>
      </c>
      <c r="C103" s="22">
        <v>0</v>
      </c>
      <c r="D103" s="22">
        <v>0</v>
      </c>
      <c r="E103" s="22">
        <v>0</v>
      </c>
      <c r="F103" s="22">
        <v>0</v>
      </c>
      <c r="G103" s="22">
        <v>0</v>
      </c>
      <c r="H103" s="22">
        <v>0</v>
      </c>
      <c r="I103" s="22">
        <v>0</v>
      </c>
      <c r="J103" s="22">
        <v>0</v>
      </c>
      <c r="K103" s="22">
        <v>0</v>
      </c>
      <c r="L103" s="22">
        <v>0</v>
      </c>
      <c r="M103" s="22">
        <v>0</v>
      </c>
      <c r="N103" s="22">
        <v>0</v>
      </c>
      <c r="O103" s="22">
        <v>0</v>
      </c>
      <c r="P103" s="22">
        <v>0</v>
      </c>
      <c r="Q103" s="22">
        <v>0</v>
      </c>
      <c r="R103" s="22">
        <v>0</v>
      </c>
      <c r="S103" s="22">
        <v>0</v>
      </c>
      <c r="T103" s="22">
        <v>0</v>
      </c>
      <c r="U103" s="22">
        <v>0</v>
      </c>
      <c r="V103" s="22">
        <v>0</v>
      </c>
      <c r="W103" s="22">
        <v>0</v>
      </c>
      <c r="X103" s="22">
        <v>0</v>
      </c>
      <c r="Y103" s="22">
        <v>0</v>
      </c>
      <c r="Z103" s="22">
        <v>0</v>
      </c>
      <c r="AA103" s="22">
        <v>0</v>
      </c>
      <c r="AB103" s="22">
        <v>0</v>
      </c>
    </row>
    <row r="104" spans="1:28" x14ac:dyDescent="0.35">
      <c r="A104" s="12" t="s">
        <v>1204</v>
      </c>
      <c r="B104" s="22">
        <v>0</v>
      </c>
      <c r="C104" s="22">
        <v>0</v>
      </c>
      <c r="D104" s="22">
        <v>0</v>
      </c>
      <c r="E104" s="22">
        <v>0</v>
      </c>
      <c r="F104" s="22">
        <v>0</v>
      </c>
      <c r="G104" s="22">
        <v>0</v>
      </c>
      <c r="H104" s="22">
        <v>0</v>
      </c>
      <c r="I104" s="22">
        <v>0</v>
      </c>
      <c r="J104" s="22">
        <v>0</v>
      </c>
      <c r="K104" s="22">
        <v>0</v>
      </c>
      <c r="L104" s="22">
        <v>0</v>
      </c>
      <c r="M104" s="22">
        <v>0</v>
      </c>
      <c r="N104" s="22">
        <v>0</v>
      </c>
      <c r="O104" s="22">
        <v>0</v>
      </c>
      <c r="P104" s="22">
        <v>0</v>
      </c>
      <c r="Q104" s="22">
        <v>0</v>
      </c>
      <c r="R104" s="22">
        <v>0</v>
      </c>
      <c r="S104" s="22">
        <v>0</v>
      </c>
      <c r="T104" s="22">
        <v>0</v>
      </c>
      <c r="U104" s="22">
        <v>0</v>
      </c>
      <c r="V104" s="22">
        <v>0</v>
      </c>
      <c r="W104" s="22">
        <v>0</v>
      </c>
      <c r="X104" s="22">
        <v>0</v>
      </c>
      <c r="Y104" s="22">
        <v>0</v>
      </c>
      <c r="Z104" s="22">
        <v>0</v>
      </c>
      <c r="AA104" s="22">
        <v>0</v>
      </c>
      <c r="AB104" s="22">
        <v>0</v>
      </c>
    </row>
    <row r="105" spans="1:28" x14ac:dyDescent="0.35">
      <c r="A105" s="12" t="s">
        <v>80</v>
      </c>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row>
    <row r="106" spans="1:28" x14ac:dyDescent="0.35">
      <c r="A106" s="12" t="s">
        <v>1201</v>
      </c>
      <c r="B106" s="22">
        <v>0</v>
      </c>
      <c r="C106" s="22">
        <v>0</v>
      </c>
      <c r="D106" s="22">
        <v>0</v>
      </c>
      <c r="E106" s="22">
        <v>0</v>
      </c>
      <c r="F106" s="22">
        <v>0</v>
      </c>
      <c r="G106" s="22">
        <v>0</v>
      </c>
      <c r="H106" s="22">
        <v>0</v>
      </c>
      <c r="I106" s="22">
        <v>0</v>
      </c>
      <c r="J106" s="22">
        <v>0</v>
      </c>
      <c r="K106" s="22">
        <v>0</v>
      </c>
      <c r="L106" s="22">
        <v>0</v>
      </c>
      <c r="M106" s="22">
        <v>0</v>
      </c>
      <c r="N106" s="22">
        <v>0</v>
      </c>
      <c r="O106" s="22">
        <v>0</v>
      </c>
      <c r="P106" s="22">
        <v>0</v>
      </c>
      <c r="Q106" s="22">
        <v>0</v>
      </c>
      <c r="R106" s="22">
        <v>0</v>
      </c>
      <c r="S106" s="22">
        <v>0</v>
      </c>
      <c r="T106" s="22">
        <v>0</v>
      </c>
      <c r="U106" s="22">
        <v>0</v>
      </c>
      <c r="V106" s="22">
        <v>0</v>
      </c>
      <c r="W106" s="22">
        <v>0</v>
      </c>
      <c r="X106" s="22">
        <v>0</v>
      </c>
      <c r="Y106" s="22">
        <v>0</v>
      </c>
      <c r="Z106" s="22">
        <v>0</v>
      </c>
      <c r="AA106" s="22">
        <v>0</v>
      </c>
      <c r="AB106" s="22">
        <v>0</v>
      </c>
    </row>
    <row r="107" spans="1:28" x14ac:dyDescent="0.35">
      <c r="A107" s="12" t="s">
        <v>1202</v>
      </c>
      <c r="B107" s="22">
        <v>0</v>
      </c>
      <c r="C107" s="22">
        <v>0</v>
      </c>
      <c r="D107" s="22">
        <v>0</v>
      </c>
      <c r="E107" s="22">
        <v>0</v>
      </c>
      <c r="F107" s="22">
        <v>0</v>
      </c>
      <c r="G107" s="22">
        <v>0</v>
      </c>
      <c r="H107" s="22">
        <v>0</v>
      </c>
      <c r="I107" s="22">
        <v>0</v>
      </c>
      <c r="J107" s="22">
        <v>0</v>
      </c>
      <c r="K107" s="22">
        <v>0</v>
      </c>
      <c r="L107" s="22">
        <v>0</v>
      </c>
      <c r="M107" s="22">
        <v>0</v>
      </c>
      <c r="N107" s="22">
        <v>0</v>
      </c>
      <c r="O107" s="22">
        <v>0</v>
      </c>
      <c r="P107" s="22">
        <v>0</v>
      </c>
      <c r="Q107" s="22">
        <v>0</v>
      </c>
      <c r="R107" s="22">
        <v>0</v>
      </c>
      <c r="S107" s="22">
        <v>0</v>
      </c>
      <c r="T107" s="22">
        <v>0</v>
      </c>
      <c r="U107" s="22">
        <v>0</v>
      </c>
      <c r="V107" s="22">
        <v>0</v>
      </c>
      <c r="W107" s="22">
        <v>0</v>
      </c>
      <c r="X107" s="22">
        <v>0</v>
      </c>
      <c r="Y107" s="22">
        <v>0</v>
      </c>
      <c r="Z107" s="22">
        <v>0</v>
      </c>
      <c r="AA107" s="22">
        <v>0</v>
      </c>
      <c r="AB107" s="22">
        <v>0</v>
      </c>
    </row>
    <row r="108" spans="1:28" x14ac:dyDescent="0.35">
      <c r="A108" s="12" t="s">
        <v>1203</v>
      </c>
      <c r="B108" s="22">
        <v>0</v>
      </c>
      <c r="C108" s="22">
        <v>0</v>
      </c>
      <c r="D108" s="22">
        <v>0</v>
      </c>
      <c r="E108" s="22">
        <v>0</v>
      </c>
      <c r="F108" s="22">
        <v>0</v>
      </c>
      <c r="G108" s="22">
        <v>0</v>
      </c>
      <c r="H108" s="22">
        <v>0</v>
      </c>
      <c r="I108" s="22">
        <v>0</v>
      </c>
      <c r="J108" s="22">
        <v>0</v>
      </c>
      <c r="K108" s="22">
        <v>0</v>
      </c>
      <c r="L108" s="22">
        <v>0</v>
      </c>
      <c r="M108" s="22">
        <v>0</v>
      </c>
      <c r="N108" s="22">
        <v>0</v>
      </c>
      <c r="O108" s="22">
        <v>0</v>
      </c>
      <c r="P108" s="22">
        <v>0</v>
      </c>
      <c r="Q108" s="22">
        <v>0</v>
      </c>
      <c r="R108" s="22">
        <v>0</v>
      </c>
      <c r="S108" s="22">
        <v>0</v>
      </c>
      <c r="T108" s="22">
        <v>0</v>
      </c>
      <c r="U108" s="22">
        <v>0</v>
      </c>
      <c r="V108" s="22">
        <v>0</v>
      </c>
      <c r="W108" s="22">
        <v>0</v>
      </c>
      <c r="X108" s="22">
        <v>0</v>
      </c>
      <c r="Y108" s="22">
        <v>0</v>
      </c>
      <c r="Z108" s="22">
        <v>0</v>
      </c>
      <c r="AA108" s="22">
        <v>0</v>
      </c>
      <c r="AB108" s="22">
        <v>0</v>
      </c>
    </row>
    <row r="109" spans="1:28" x14ac:dyDescent="0.35">
      <c r="A109" s="12" t="s">
        <v>1204</v>
      </c>
      <c r="B109" s="22">
        <v>0</v>
      </c>
      <c r="C109" s="22">
        <v>0</v>
      </c>
      <c r="D109" s="22">
        <v>0</v>
      </c>
      <c r="E109" s="22">
        <v>0</v>
      </c>
      <c r="F109" s="22">
        <v>0</v>
      </c>
      <c r="G109" s="22">
        <v>0</v>
      </c>
      <c r="H109" s="22">
        <v>0</v>
      </c>
      <c r="I109" s="22">
        <v>0</v>
      </c>
      <c r="J109" s="22">
        <v>0</v>
      </c>
      <c r="K109" s="22">
        <v>0</v>
      </c>
      <c r="L109" s="22">
        <v>0</v>
      </c>
      <c r="M109" s="22">
        <v>0</v>
      </c>
      <c r="N109" s="22">
        <v>0</v>
      </c>
      <c r="O109" s="22">
        <v>0</v>
      </c>
      <c r="P109" s="22">
        <v>0</v>
      </c>
      <c r="Q109" s="22">
        <v>0</v>
      </c>
      <c r="R109" s="22">
        <v>0</v>
      </c>
      <c r="S109" s="22">
        <v>0</v>
      </c>
      <c r="T109" s="22">
        <v>0</v>
      </c>
      <c r="U109" s="22">
        <v>0</v>
      </c>
      <c r="V109" s="22">
        <v>0</v>
      </c>
      <c r="W109" s="22">
        <v>0</v>
      </c>
      <c r="X109" s="22">
        <v>0</v>
      </c>
      <c r="Y109" s="22">
        <v>0</v>
      </c>
      <c r="Z109" s="22">
        <v>0</v>
      </c>
      <c r="AA109" s="22">
        <v>0</v>
      </c>
      <c r="AB109" s="22">
        <v>0</v>
      </c>
    </row>
    <row r="110" spans="1:28" x14ac:dyDescent="0.35">
      <c r="A110" s="12" t="s">
        <v>37</v>
      </c>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row>
    <row r="111" spans="1:28" x14ac:dyDescent="0.35">
      <c r="A111" s="12" t="s">
        <v>1201</v>
      </c>
      <c r="B111" s="22">
        <v>0</v>
      </c>
      <c r="C111" s="22">
        <v>0</v>
      </c>
      <c r="D111" s="22">
        <v>0</v>
      </c>
      <c r="E111" s="22">
        <v>0</v>
      </c>
      <c r="F111" s="22">
        <v>0</v>
      </c>
      <c r="G111" s="22">
        <v>0</v>
      </c>
      <c r="H111" s="22">
        <v>0</v>
      </c>
      <c r="I111" s="22">
        <v>0</v>
      </c>
      <c r="J111" s="22">
        <v>0</v>
      </c>
      <c r="K111" s="22">
        <v>0</v>
      </c>
      <c r="L111" s="22">
        <v>0</v>
      </c>
      <c r="M111" s="22">
        <v>0</v>
      </c>
      <c r="N111" s="22">
        <v>0</v>
      </c>
      <c r="O111" s="22">
        <v>0</v>
      </c>
      <c r="P111" s="22">
        <v>0</v>
      </c>
      <c r="Q111" s="22">
        <v>0</v>
      </c>
      <c r="R111" s="22">
        <v>0</v>
      </c>
      <c r="S111" s="22">
        <v>0</v>
      </c>
      <c r="T111" s="22">
        <v>0</v>
      </c>
      <c r="U111" s="22">
        <v>0</v>
      </c>
      <c r="V111" s="22">
        <v>0</v>
      </c>
      <c r="W111" s="22">
        <v>0</v>
      </c>
      <c r="X111" s="22">
        <v>0</v>
      </c>
      <c r="Y111" s="22">
        <v>0</v>
      </c>
      <c r="Z111" s="22">
        <v>0</v>
      </c>
      <c r="AA111" s="22">
        <v>0</v>
      </c>
      <c r="AB111" s="22">
        <v>0</v>
      </c>
    </row>
    <row r="112" spans="1:28" x14ac:dyDescent="0.35">
      <c r="A112" s="12" t="s">
        <v>1202</v>
      </c>
      <c r="B112" s="22">
        <v>0</v>
      </c>
      <c r="C112" s="22">
        <v>0</v>
      </c>
      <c r="D112" s="22">
        <v>0</v>
      </c>
      <c r="E112" s="22">
        <v>0</v>
      </c>
      <c r="F112" s="22">
        <v>0</v>
      </c>
      <c r="G112" s="22">
        <v>0</v>
      </c>
      <c r="H112" s="22">
        <v>0</v>
      </c>
      <c r="I112" s="22">
        <v>0</v>
      </c>
      <c r="J112" s="22">
        <v>0</v>
      </c>
      <c r="K112" s="22">
        <v>0</v>
      </c>
      <c r="L112" s="22">
        <v>0</v>
      </c>
      <c r="M112" s="22">
        <v>0</v>
      </c>
      <c r="N112" s="22">
        <v>0</v>
      </c>
      <c r="O112" s="22">
        <v>0</v>
      </c>
      <c r="P112" s="22">
        <v>0</v>
      </c>
      <c r="Q112" s="22">
        <v>0</v>
      </c>
      <c r="R112" s="22">
        <v>0</v>
      </c>
      <c r="S112" s="22">
        <v>0</v>
      </c>
      <c r="T112" s="22">
        <v>0</v>
      </c>
      <c r="U112" s="22">
        <v>0</v>
      </c>
      <c r="V112" s="22">
        <v>0</v>
      </c>
      <c r="W112" s="22">
        <v>0</v>
      </c>
      <c r="X112" s="22">
        <v>0</v>
      </c>
      <c r="Y112" s="22">
        <v>0</v>
      </c>
      <c r="Z112" s="22">
        <v>0</v>
      </c>
      <c r="AA112" s="22">
        <v>0</v>
      </c>
      <c r="AB112" s="22">
        <v>0</v>
      </c>
    </row>
    <row r="113" spans="1:28" x14ac:dyDescent="0.35">
      <c r="A113" s="12" t="s">
        <v>1203</v>
      </c>
      <c r="B113" s="22">
        <v>0</v>
      </c>
      <c r="C113" s="22">
        <v>0</v>
      </c>
      <c r="D113" s="22">
        <v>0</v>
      </c>
      <c r="E113" s="22">
        <v>0</v>
      </c>
      <c r="F113" s="22">
        <v>0</v>
      </c>
      <c r="G113" s="22">
        <v>0</v>
      </c>
      <c r="H113" s="22">
        <v>0</v>
      </c>
      <c r="I113" s="22">
        <v>0</v>
      </c>
      <c r="J113" s="22">
        <v>0</v>
      </c>
      <c r="K113" s="22">
        <v>0</v>
      </c>
      <c r="L113" s="22">
        <v>0</v>
      </c>
      <c r="M113" s="22">
        <v>0</v>
      </c>
      <c r="N113" s="22">
        <v>0</v>
      </c>
      <c r="O113" s="22">
        <v>0</v>
      </c>
      <c r="P113" s="22">
        <v>0</v>
      </c>
      <c r="Q113" s="22">
        <v>0</v>
      </c>
      <c r="R113" s="22">
        <v>0</v>
      </c>
      <c r="S113" s="22">
        <v>0</v>
      </c>
      <c r="T113" s="22">
        <v>0</v>
      </c>
      <c r="U113" s="22">
        <v>0</v>
      </c>
      <c r="V113" s="22">
        <v>0</v>
      </c>
      <c r="W113" s="22">
        <v>0</v>
      </c>
      <c r="X113" s="22">
        <v>0</v>
      </c>
      <c r="Y113" s="22">
        <v>0</v>
      </c>
      <c r="Z113" s="22">
        <v>0</v>
      </c>
      <c r="AA113" s="22">
        <v>0</v>
      </c>
      <c r="AB113" s="22">
        <v>0</v>
      </c>
    </row>
    <row r="114" spans="1:28" x14ac:dyDescent="0.35">
      <c r="A114" s="12" t="s">
        <v>1204</v>
      </c>
      <c r="B114" s="22">
        <v>0</v>
      </c>
      <c r="C114" s="22">
        <v>0</v>
      </c>
      <c r="D114" s="22">
        <v>0</v>
      </c>
      <c r="E114" s="22">
        <v>0</v>
      </c>
      <c r="F114" s="22">
        <v>0</v>
      </c>
      <c r="G114" s="22">
        <v>0</v>
      </c>
      <c r="H114" s="22">
        <v>0</v>
      </c>
      <c r="I114" s="22">
        <v>0</v>
      </c>
      <c r="J114" s="22">
        <v>0</v>
      </c>
      <c r="K114" s="22">
        <v>0</v>
      </c>
      <c r="L114" s="22">
        <v>0</v>
      </c>
      <c r="M114" s="22">
        <v>0</v>
      </c>
      <c r="N114" s="22">
        <v>0</v>
      </c>
      <c r="O114" s="22">
        <v>0</v>
      </c>
      <c r="P114" s="22">
        <v>0</v>
      </c>
      <c r="Q114" s="22">
        <v>0</v>
      </c>
      <c r="R114" s="22">
        <v>0</v>
      </c>
      <c r="S114" s="22">
        <v>0</v>
      </c>
      <c r="T114" s="22">
        <v>0</v>
      </c>
      <c r="U114" s="22">
        <v>0</v>
      </c>
      <c r="V114" s="22">
        <v>0</v>
      </c>
      <c r="W114" s="22">
        <v>0</v>
      </c>
      <c r="X114" s="22">
        <v>0</v>
      </c>
      <c r="Y114" s="22">
        <v>0</v>
      </c>
      <c r="Z114" s="22">
        <v>0</v>
      </c>
      <c r="AA114" s="22">
        <v>0</v>
      </c>
      <c r="AB114" s="22">
        <v>0</v>
      </c>
    </row>
    <row r="115" spans="1:28" x14ac:dyDescent="0.35">
      <c r="A115" s="12" t="s">
        <v>27</v>
      </c>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row>
    <row r="116" spans="1:28" x14ac:dyDescent="0.35">
      <c r="A116" s="12" t="s">
        <v>1201</v>
      </c>
      <c r="B116" s="22">
        <v>0</v>
      </c>
      <c r="C116" s="22">
        <v>0</v>
      </c>
      <c r="D116" s="22">
        <v>0</v>
      </c>
      <c r="E116" s="22">
        <v>0</v>
      </c>
      <c r="F116" s="22">
        <v>0</v>
      </c>
      <c r="G116" s="22">
        <v>0</v>
      </c>
      <c r="H116" s="22">
        <v>0</v>
      </c>
      <c r="I116" s="22">
        <v>0</v>
      </c>
      <c r="J116" s="22">
        <v>0</v>
      </c>
      <c r="K116" s="22">
        <v>0</v>
      </c>
      <c r="L116" s="22">
        <v>0</v>
      </c>
      <c r="M116" s="22">
        <v>0</v>
      </c>
      <c r="N116" s="22">
        <v>0</v>
      </c>
      <c r="O116" s="22">
        <v>0</v>
      </c>
      <c r="P116" s="22">
        <v>0</v>
      </c>
      <c r="Q116" s="22">
        <v>0</v>
      </c>
      <c r="R116" s="22">
        <v>0</v>
      </c>
      <c r="S116" s="22">
        <v>0</v>
      </c>
      <c r="T116" s="22">
        <v>0</v>
      </c>
      <c r="U116" s="22">
        <v>0</v>
      </c>
      <c r="V116" s="22">
        <v>0</v>
      </c>
      <c r="W116" s="22">
        <v>0</v>
      </c>
      <c r="X116" s="22">
        <v>0</v>
      </c>
      <c r="Y116" s="22">
        <v>0</v>
      </c>
      <c r="Z116" s="22">
        <v>0</v>
      </c>
      <c r="AA116" s="22">
        <v>0</v>
      </c>
      <c r="AB116" s="22">
        <v>0</v>
      </c>
    </row>
    <row r="117" spans="1:28" x14ac:dyDescent="0.35">
      <c r="A117" s="12" t="s">
        <v>1202</v>
      </c>
      <c r="B117" s="22">
        <v>0</v>
      </c>
      <c r="C117" s="22">
        <v>0</v>
      </c>
      <c r="D117" s="22">
        <v>0</v>
      </c>
      <c r="E117" s="22">
        <v>0</v>
      </c>
      <c r="F117" s="22">
        <v>0</v>
      </c>
      <c r="G117" s="22">
        <v>0</v>
      </c>
      <c r="H117" s="22">
        <v>0</v>
      </c>
      <c r="I117" s="22">
        <v>0</v>
      </c>
      <c r="J117" s="22">
        <v>0</v>
      </c>
      <c r="K117" s="22">
        <v>0</v>
      </c>
      <c r="L117" s="22">
        <v>0</v>
      </c>
      <c r="M117" s="22">
        <v>0</v>
      </c>
      <c r="N117" s="22">
        <v>0</v>
      </c>
      <c r="O117" s="22">
        <v>0</v>
      </c>
      <c r="P117" s="22">
        <v>0</v>
      </c>
      <c r="Q117" s="22">
        <v>0</v>
      </c>
      <c r="R117" s="22">
        <v>0</v>
      </c>
      <c r="S117" s="22">
        <v>0</v>
      </c>
      <c r="T117" s="22">
        <v>0</v>
      </c>
      <c r="U117" s="22">
        <v>0</v>
      </c>
      <c r="V117" s="22">
        <v>0</v>
      </c>
      <c r="W117" s="22">
        <v>0</v>
      </c>
      <c r="X117" s="22">
        <v>0</v>
      </c>
      <c r="Y117" s="22">
        <v>0</v>
      </c>
      <c r="Z117" s="22">
        <v>0</v>
      </c>
      <c r="AA117" s="22">
        <v>0</v>
      </c>
      <c r="AB117" s="22">
        <v>0</v>
      </c>
    </row>
    <row r="118" spans="1:28" x14ac:dyDescent="0.35">
      <c r="A118" s="12" t="s">
        <v>1203</v>
      </c>
      <c r="B118" s="22">
        <v>0</v>
      </c>
      <c r="C118" s="22">
        <v>0</v>
      </c>
      <c r="D118" s="22">
        <v>0</v>
      </c>
      <c r="E118" s="22">
        <v>0</v>
      </c>
      <c r="F118" s="22">
        <v>0</v>
      </c>
      <c r="G118" s="22">
        <v>0</v>
      </c>
      <c r="H118" s="22">
        <v>0</v>
      </c>
      <c r="I118" s="22">
        <v>0</v>
      </c>
      <c r="J118" s="22">
        <v>0</v>
      </c>
      <c r="K118" s="22">
        <v>0</v>
      </c>
      <c r="L118" s="22">
        <v>0</v>
      </c>
      <c r="M118" s="22">
        <v>0</v>
      </c>
      <c r="N118" s="22">
        <v>0</v>
      </c>
      <c r="O118" s="22">
        <v>0</v>
      </c>
      <c r="P118" s="22">
        <v>0</v>
      </c>
      <c r="Q118" s="22">
        <v>0</v>
      </c>
      <c r="R118" s="22">
        <v>0</v>
      </c>
      <c r="S118" s="22">
        <v>0</v>
      </c>
      <c r="T118" s="22">
        <v>0</v>
      </c>
      <c r="U118" s="22">
        <v>0</v>
      </c>
      <c r="V118" s="22">
        <v>0</v>
      </c>
      <c r="W118" s="22">
        <v>0</v>
      </c>
      <c r="X118" s="22">
        <v>0</v>
      </c>
      <c r="Y118" s="22">
        <v>0</v>
      </c>
      <c r="Z118" s="22">
        <v>0</v>
      </c>
      <c r="AA118" s="22">
        <v>0</v>
      </c>
      <c r="AB118" s="22">
        <v>0</v>
      </c>
    </row>
    <row r="119" spans="1:28" x14ac:dyDescent="0.35">
      <c r="A119" s="12" t="s">
        <v>1204</v>
      </c>
      <c r="B119" s="22">
        <v>0</v>
      </c>
      <c r="C119" s="22">
        <v>0</v>
      </c>
      <c r="D119" s="22">
        <v>0</v>
      </c>
      <c r="E119" s="22">
        <v>0</v>
      </c>
      <c r="F119" s="22">
        <v>0</v>
      </c>
      <c r="G119" s="22">
        <v>0</v>
      </c>
      <c r="H119" s="22">
        <v>0</v>
      </c>
      <c r="I119" s="22">
        <v>0</v>
      </c>
      <c r="J119" s="22">
        <v>0</v>
      </c>
      <c r="K119" s="22">
        <v>0</v>
      </c>
      <c r="L119" s="22">
        <v>0</v>
      </c>
      <c r="M119" s="22">
        <v>0</v>
      </c>
      <c r="N119" s="22">
        <v>0</v>
      </c>
      <c r="O119" s="22">
        <v>0</v>
      </c>
      <c r="P119" s="22">
        <v>0</v>
      </c>
      <c r="Q119" s="22">
        <v>0</v>
      </c>
      <c r="R119" s="22">
        <v>0</v>
      </c>
      <c r="S119" s="22">
        <v>0</v>
      </c>
      <c r="T119" s="22">
        <v>0</v>
      </c>
      <c r="U119" s="22">
        <v>0</v>
      </c>
      <c r="V119" s="22">
        <v>0</v>
      </c>
      <c r="W119" s="22">
        <v>0</v>
      </c>
      <c r="X119" s="22">
        <v>0</v>
      </c>
      <c r="Y119" s="22">
        <v>0</v>
      </c>
      <c r="Z119" s="22">
        <v>0</v>
      </c>
      <c r="AA119" s="22">
        <v>0</v>
      </c>
      <c r="AB119" s="22">
        <v>0</v>
      </c>
    </row>
    <row r="120" spans="1:28" x14ac:dyDescent="0.35">
      <c r="A120" s="12" t="s">
        <v>398</v>
      </c>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row>
    <row r="121" spans="1:28" x14ac:dyDescent="0.35">
      <c r="A121" s="12" t="s">
        <v>1201</v>
      </c>
      <c r="B121" s="22">
        <v>0</v>
      </c>
      <c r="C121" s="22">
        <v>0</v>
      </c>
      <c r="D121" s="22">
        <v>0</v>
      </c>
      <c r="E121" s="22">
        <v>0</v>
      </c>
      <c r="F121" s="22">
        <v>0</v>
      </c>
      <c r="G121" s="22">
        <v>0</v>
      </c>
      <c r="H121" s="22">
        <v>0</v>
      </c>
      <c r="I121" s="22">
        <v>0</v>
      </c>
      <c r="J121" s="22">
        <v>0</v>
      </c>
      <c r="K121" s="22">
        <v>0</v>
      </c>
      <c r="L121" s="22">
        <v>0</v>
      </c>
      <c r="M121" s="22">
        <v>0</v>
      </c>
      <c r="N121" s="22">
        <v>0</v>
      </c>
      <c r="O121" s="22">
        <v>0</v>
      </c>
      <c r="P121" s="22">
        <v>0</v>
      </c>
      <c r="Q121" s="22">
        <v>0</v>
      </c>
      <c r="R121" s="22">
        <v>0</v>
      </c>
      <c r="S121" s="22">
        <v>0</v>
      </c>
      <c r="T121" s="22">
        <v>0</v>
      </c>
      <c r="U121" s="22">
        <v>0</v>
      </c>
      <c r="V121" s="22">
        <v>0</v>
      </c>
      <c r="W121" s="22">
        <v>0</v>
      </c>
      <c r="X121" s="22">
        <v>0</v>
      </c>
      <c r="Y121" s="22">
        <v>0</v>
      </c>
      <c r="Z121" s="22">
        <v>0</v>
      </c>
      <c r="AA121" s="22">
        <v>0</v>
      </c>
      <c r="AB121" s="22">
        <v>0</v>
      </c>
    </row>
    <row r="122" spans="1:28" x14ac:dyDescent="0.35">
      <c r="A122" s="12" t="s">
        <v>1202</v>
      </c>
      <c r="B122" s="22">
        <v>0</v>
      </c>
      <c r="C122" s="22">
        <v>0</v>
      </c>
      <c r="D122" s="22">
        <v>0</v>
      </c>
      <c r="E122" s="22">
        <v>0</v>
      </c>
      <c r="F122" s="22">
        <v>0</v>
      </c>
      <c r="G122" s="22">
        <v>0</v>
      </c>
      <c r="H122" s="22">
        <v>0</v>
      </c>
      <c r="I122" s="22">
        <v>0</v>
      </c>
      <c r="J122" s="22">
        <v>0</v>
      </c>
      <c r="K122" s="22">
        <v>0</v>
      </c>
      <c r="L122" s="22">
        <v>0</v>
      </c>
      <c r="M122" s="22">
        <v>0</v>
      </c>
      <c r="N122" s="22">
        <v>0</v>
      </c>
      <c r="O122" s="22">
        <v>0</v>
      </c>
      <c r="P122" s="22">
        <v>0</v>
      </c>
      <c r="Q122" s="22">
        <v>0</v>
      </c>
      <c r="R122" s="22">
        <v>0</v>
      </c>
      <c r="S122" s="22">
        <v>0</v>
      </c>
      <c r="T122" s="22">
        <v>0</v>
      </c>
      <c r="U122" s="22">
        <v>0</v>
      </c>
      <c r="V122" s="22">
        <v>0</v>
      </c>
      <c r="W122" s="22">
        <v>0</v>
      </c>
      <c r="X122" s="22">
        <v>0</v>
      </c>
      <c r="Y122" s="22">
        <v>0</v>
      </c>
      <c r="Z122" s="22">
        <v>0</v>
      </c>
      <c r="AA122" s="22">
        <v>0</v>
      </c>
      <c r="AB122" s="22">
        <v>0</v>
      </c>
    </row>
    <row r="123" spans="1:28" x14ac:dyDescent="0.35">
      <c r="A123" s="12" t="s">
        <v>1203</v>
      </c>
      <c r="B123" s="22">
        <v>0</v>
      </c>
      <c r="C123" s="22">
        <v>0</v>
      </c>
      <c r="D123" s="22">
        <v>0</v>
      </c>
      <c r="E123" s="22">
        <v>0</v>
      </c>
      <c r="F123" s="22">
        <v>0</v>
      </c>
      <c r="G123" s="22">
        <v>0</v>
      </c>
      <c r="H123" s="22">
        <v>0</v>
      </c>
      <c r="I123" s="22">
        <v>0</v>
      </c>
      <c r="J123" s="22">
        <v>0</v>
      </c>
      <c r="K123" s="22">
        <v>0</v>
      </c>
      <c r="L123" s="22">
        <v>0</v>
      </c>
      <c r="M123" s="22">
        <v>0</v>
      </c>
      <c r="N123" s="22">
        <v>0</v>
      </c>
      <c r="O123" s="22">
        <v>0</v>
      </c>
      <c r="P123" s="22">
        <v>0</v>
      </c>
      <c r="Q123" s="22">
        <v>0</v>
      </c>
      <c r="R123" s="22">
        <v>0</v>
      </c>
      <c r="S123" s="22">
        <v>0</v>
      </c>
      <c r="T123" s="22">
        <v>0</v>
      </c>
      <c r="U123" s="22">
        <v>0</v>
      </c>
      <c r="V123" s="22">
        <v>0</v>
      </c>
      <c r="W123" s="22">
        <v>0</v>
      </c>
      <c r="X123" s="22">
        <v>0</v>
      </c>
      <c r="Y123" s="22">
        <v>0</v>
      </c>
      <c r="Z123" s="22">
        <v>0</v>
      </c>
      <c r="AA123" s="22">
        <v>0</v>
      </c>
      <c r="AB123" s="22">
        <v>0</v>
      </c>
    </row>
    <row r="124" spans="1:28" x14ac:dyDescent="0.35">
      <c r="A124" s="12" t="s">
        <v>1204</v>
      </c>
      <c r="B124" s="22">
        <v>0</v>
      </c>
      <c r="C124" s="22">
        <v>0</v>
      </c>
      <c r="D124" s="22">
        <v>0</v>
      </c>
      <c r="E124" s="22">
        <v>0</v>
      </c>
      <c r="F124" s="22">
        <v>0</v>
      </c>
      <c r="G124" s="22">
        <v>0</v>
      </c>
      <c r="H124" s="22">
        <v>0</v>
      </c>
      <c r="I124" s="22">
        <v>0</v>
      </c>
      <c r="J124" s="22">
        <v>0</v>
      </c>
      <c r="K124" s="22">
        <v>0</v>
      </c>
      <c r="L124" s="22">
        <v>0</v>
      </c>
      <c r="M124" s="22">
        <v>0</v>
      </c>
      <c r="N124" s="22">
        <v>0</v>
      </c>
      <c r="O124" s="22">
        <v>0</v>
      </c>
      <c r="P124" s="22">
        <v>0</v>
      </c>
      <c r="Q124" s="22">
        <v>0</v>
      </c>
      <c r="R124" s="22">
        <v>0</v>
      </c>
      <c r="S124" s="22">
        <v>0</v>
      </c>
      <c r="T124" s="22">
        <v>0</v>
      </c>
      <c r="U124" s="22">
        <v>0</v>
      </c>
      <c r="V124" s="22">
        <v>0</v>
      </c>
      <c r="W124" s="22">
        <v>0</v>
      </c>
      <c r="X124" s="22">
        <v>0</v>
      </c>
      <c r="Y124" s="22">
        <v>0</v>
      </c>
      <c r="Z124" s="22">
        <v>0</v>
      </c>
      <c r="AA124" s="22">
        <v>0</v>
      </c>
      <c r="AB124" s="22">
        <v>0</v>
      </c>
    </row>
    <row r="125" spans="1:28" x14ac:dyDescent="0.35">
      <c r="A125" s="12" t="s">
        <v>237</v>
      </c>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row>
    <row r="126" spans="1:28" x14ac:dyDescent="0.35">
      <c r="A126" s="12" t="s">
        <v>1201</v>
      </c>
      <c r="B126" s="22">
        <v>0</v>
      </c>
      <c r="C126" s="22">
        <v>0</v>
      </c>
      <c r="D126" s="22">
        <v>0</v>
      </c>
      <c r="E126" s="22">
        <v>0</v>
      </c>
      <c r="F126" s="22">
        <v>0</v>
      </c>
      <c r="G126" s="22">
        <v>0</v>
      </c>
      <c r="H126" s="22">
        <v>0</v>
      </c>
      <c r="I126" s="22">
        <v>0</v>
      </c>
      <c r="J126" s="22">
        <v>0</v>
      </c>
      <c r="K126" s="22">
        <v>0</v>
      </c>
      <c r="L126" s="22">
        <v>0</v>
      </c>
      <c r="M126" s="22">
        <v>0</v>
      </c>
      <c r="N126" s="22">
        <v>0</v>
      </c>
      <c r="O126" s="22">
        <v>0</v>
      </c>
      <c r="P126" s="22">
        <v>0</v>
      </c>
      <c r="Q126" s="22">
        <v>0</v>
      </c>
      <c r="R126" s="22">
        <v>0</v>
      </c>
      <c r="S126" s="22">
        <v>0</v>
      </c>
      <c r="T126" s="22">
        <v>0</v>
      </c>
      <c r="U126" s="22">
        <v>0</v>
      </c>
      <c r="V126" s="22">
        <v>0</v>
      </c>
      <c r="W126" s="22">
        <v>0</v>
      </c>
      <c r="X126" s="22">
        <v>0</v>
      </c>
      <c r="Y126" s="22">
        <v>0</v>
      </c>
      <c r="Z126" s="22">
        <v>0</v>
      </c>
      <c r="AA126" s="22">
        <v>0</v>
      </c>
      <c r="AB126" s="22">
        <v>0</v>
      </c>
    </row>
    <row r="127" spans="1:28" x14ac:dyDescent="0.35">
      <c r="A127" s="12" t="s">
        <v>1202</v>
      </c>
      <c r="B127" s="22">
        <v>0</v>
      </c>
      <c r="C127" s="22">
        <v>0</v>
      </c>
      <c r="D127" s="22">
        <v>0</v>
      </c>
      <c r="E127" s="22">
        <v>0</v>
      </c>
      <c r="F127" s="22">
        <v>0</v>
      </c>
      <c r="G127" s="22">
        <v>0</v>
      </c>
      <c r="H127" s="22">
        <v>0</v>
      </c>
      <c r="I127" s="22">
        <v>0</v>
      </c>
      <c r="J127" s="22">
        <v>0</v>
      </c>
      <c r="K127" s="22">
        <v>0</v>
      </c>
      <c r="L127" s="22">
        <v>0</v>
      </c>
      <c r="M127" s="22">
        <v>0</v>
      </c>
      <c r="N127" s="22">
        <v>0</v>
      </c>
      <c r="O127" s="22">
        <v>0</v>
      </c>
      <c r="P127" s="22">
        <v>0</v>
      </c>
      <c r="Q127" s="22">
        <v>0</v>
      </c>
      <c r="R127" s="22">
        <v>0</v>
      </c>
      <c r="S127" s="22">
        <v>0</v>
      </c>
      <c r="T127" s="22">
        <v>0</v>
      </c>
      <c r="U127" s="22">
        <v>0</v>
      </c>
      <c r="V127" s="22">
        <v>0</v>
      </c>
      <c r="W127" s="22">
        <v>0</v>
      </c>
      <c r="X127" s="22">
        <v>0</v>
      </c>
      <c r="Y127" s="22">
        <v>0</v>
      </c>
      <c r="Z127" s="22">
        <v>0</v>
      </c>
      <c r="AA127" s="22">
        <v>0</v>
      </c>
      <c r="AB127" s="22">
        <v>0</v>
      </c>
    </row>
    <row r="128" spans="1:28" x14ac:dyDescent="0.35">
      <c r="A128" s="12" t="s">
        <v>1203</v>
      </c>
      <c r="B128" s="22">
        <v>0</v>
      </c>
      <c r="C128" s="22">
        <v>0</v>
      </c>
      <c r="D128" s="22">
        <v>0</v>
      </c>
      <c r="E128" s="22">
        <v>0</v>
      </c>
      <c r="F128" s="22">
        <v>0</v>
      </c>
      <c r="G128" s="22">
        <v>0</v>
      </c>
      <c r="H128" s="22">
        <v>0</v>
      </c>
      <c r="I128" s="22">
        <v>0</v>
      </c>
      <c r="J128" s="22">
        <v>0</v>
      </c>
      <c r="K128" s="22">
        <v>0</v>
      </c>
      <c r="L128" s="22">
        <v>0</v>
      </c>
      <c r="M128" s="22">
        <v>0</v>
      </c>
      <c r="N128" s="22">
        <v>0</v>
      </c>
      <c r="O128" s="22">
        <v>0</v>
      </c>
      <c r="P128" s="22">
        <v>0</v>
      </c>
      <c r="Q128" s="22">
        <v>0</v>
      </c>
      <c r="R128" s="22">
        <v>0</v>
      </c>
      <c r="S128" s="22">
        <v>0</v>
      </c>
      <c r="T128" s="22">
        <v>0</v>
      </c>
      <c r="U128" s="22">
        <v>0</v>
      </c>
      <c r="V128" s="22">
        <v>0</v>
      </c>
      <c r="W128" s="22">
        <v>0</v>
      </c>
      <c r="X128" s="22">
        <v>0</v>
      </c>
      <c r="Y128" s="22">
        <v>0</v>
      </c>
      <c r="Z128" s="22">
        <v>0</v>
      </c>
      <c r="AA128" s="22">
        <v>0</v>
      </c>
      <c r="AB128" s="22">
        <v>0</v>
      </c>
    </row>
    <row r="129" spans="1:28" x14ac:dyDescent="0.35">
      <c r="A129" s="12" t="s">
        <v>1204</v>
      </c>
      <c r="B129" s="22">
        <v>0</v>
      </c>
      <c r="C129" s="22">
        <v>0</v>
      </c>
      <c r="D129" s="22">
        <v>0</v>
      </c>
      <c r="E129" s="22">
        <v>0</v>
      </c>
      <c r="F129" s="22">
        <v>0</v>
      </c>
      <c r="G129" s="22">
        <v>0</v>
      </c>
      <c r="H129" s="22">
        <v>0</v>
      </c>
      <c r="I129" s="22">
        <v>0</v>
      </c>
      <c r="J129" s="22">
        <v>0</v>
      </c>
      <c r="K129" s="22">
        <v>0</v>
      </c>
      <c r="L129" s="22">
        <v>0</v>
      </c>
      <c r="M129" s="22">
        <v>0</v>
      </c>
      <c r="N129" s="22">
        <v>0</v>
      </c>
      <c r="O129" s="22">
        <v>0</v>
      </c>
      <c r="P129" s="22">
        <v>0</v>
      </c>
      <c r="Q129" s="22">
        <v>0</v>
      </c>
      <c r="R129" s="22">
        <v>0</v>
      </c>
      <c r="S129" s="22">
        <v>0</v>
      </c>
      <c r="T129" s="22">
        <v>0</v>
      </c>
      <c r="U129" s="22">
        <v>0</v>
      </c>
      <c r="V129" s="22">
        <v>0</v>
      </c>
      <c r="W129" s="22">
        <v>0</v>
      </c>
      <c r="X129" s="22">
        <v>0</v>
      </c>
      <c r="Y129" s="22">
        <v>0</v>
      </c>
      <c r="Z129" s="22">
        <v>0</v>
      </c>
      <c r="AA129" s="22">
        <v>0</v>
      </c>
      <c r="AB129" s="22">
        <v>0</v>
      </c>
    </row>
    <row r="130" spans="1:28" x14ac:dyDescent="0.35">
      <c r="A130" s="12" t="s">
        <v>453</v>
      </c>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row>
    <row r="131" spans="1:28" x14ac:dyDescent="0.35">
      <c r="A131" s="12" t="s">
        <v>1201</v>
      </c>
      <c r="B131" s="22">
        <v>0</v>
      </c>
      <c r="C131" s="22">
        <v>0</v>
      </c>
      <c r="D131" s="22">
        <v>0</v>
      </c>
      <c r="E131" s="22">
        <v>0</v>
      </c>
      <c r="F131" s="22">
        <v>0</v>
      </c>
      <c r="G131" s="22">
        <v>0</v>
      </c>
      <c r="H131" s="22">
        <v>0</v>
      </c>
      <c r="I131" s="22">
        <v>0</v>
      </c>
      <c r="J131" s="22">
        <v>0</v>
      </c>
      <c r="K131" s="22">
        <v>0</v>
      </c>
      <c r="L131" s="22">
        <v>0</v>
      </c>
      <c r="M131" s="22">
        <v>0</v>
      </c>
      <c r="N131" s="22">
        <v>0</v>
      </c>
      <c r="O131" s="22">
        <v>0</v>
      </c>
      <c r="P131" s="22">
        <v>0</v>
      </c>
      <c r="Q131" s="22">
        <v>0</v>
      </c>
      <c r="R131" s="22">
        <v>0</v>
      </c>
      <c r="S131" s="22">
        <v>0</v>
      </c>
      <c r="T131" s="22">
        <v>0</v>
      </c>
      <c r="U131" s="22">
        <v>0</v>
      </c>
      <c r="V131" s="22">
        <v>0</v>
      </c>
      <c r="W131" s="22">
        <v>0</v>
      </c>
      <c r="X131" s="22">
        <v>0</v>
      </c>
      <c r="Y131" s="22">
        <v>0</v>
      </c>
      <c r="Z131" s="22">
        <v>0</v>
      </c>
      <c r="AA131" s="22">
        <v>0</v>
      </c>
      <c r="AB131" s="22">
        <v>0</v>
      </c>
    </row>
    <row r="132" spans="1:28" x14ac:dyDescent="0.35">
      <c r="A132" s="12" t="s">
        <v>1202</v>
      </c>
      <c r="B132" s="22">
        <v>0</v>
      </c>
      <c r="C132" s="22">
        <v>0</v>
      </c>
      <c r="D132" s="22">
        <v>0</v>
      </c>
      <c r="E132" s="22">
        <v>0</v>
      </c>
      <c r="F132" s="22">
        <v>0</v>
      </c>
      <c r="G132" s="22">
        <v>0</v>
      </c>
      <c r="H132" s="22">
        <v>0</v>
      </c>
      <c r="I132" s="22">
        <v>0</v>
      </c>
      <c r="J132" s="22">
        <v>0</v>
      </c>
      <c r="K132" s="22">
        <v>0</v>
      </c>
      <c r="L132" s="22">
        <v>0</v>
      </c>
      <c r="M132" s="22">
        <v>0</v>
      </c>
      <c r="N132" s="22">
        <v>0</v>
      </c>
      <c r="O132" s="22">
        <v>0</v>
      </c>
      <c r="P132" s="22">
        <v>0</v>
      </c>
      <c r="Q132" s="22">
        <v>0</v>
      </c>
      <c r="R132" s="22">
        <v>0</v>
      </c>
      <c r="S132" s="22">
        <v>0</v>
      </c>
      <c r="T132" s="22">
        <v>0</v>
      </c>
      <c r="U132" s="22">
        <v>0</v>
      </c>
      <c r="V132" s="22">
        <v>0</v>
      </c>
      <c r="W132" s="22">
        <v>0</v>
      </c>
      <c r="X132" s="22">
        <v>0</v>
      </c>
      <c r="Y132" s="22">
        <v>0</v>
      </c>
      <c r="Z132" s="22">
        <v>0</v>
      </c>
      <c r="AA132" s="22">
        <v>0</v>
      </c>
      <c r="AB132" s="22">
        <v>0</v>
      </c>
    </row>
    <row r="133" spans="1:28" x14ac:dyDescent="0.35">
      <c r="A133" s="12" t="s">
        <v>1203</v>
      </c>
      <c r="B133" s="22">
        <v>0</v>
      </c>
      <c r="C133" s="22">
        <v>0</v>
      </c>
      <c r="D133" s="22">
        <v>0</v>
      </c>
      <c r="E133" s="22">
        <v>0</v>
      </c>
      <c r="F133" s="22">
        <v>0</v>
      </c>
      <c r="G133" s="22">
        <v>0</v>
      </c>
      <c r="H133" s="22">
        <v>0</v>
      </c>
      <c r="I133" s="22">
        <v>0</v>
      </c>
      <c r="J133" s="22">
        <v>0</v>
      </c>
      <c r="K133" s="22">
        <v>0</v>
      </c>
      <c r="L133" s="22">
        <v>0</v>
      </c>
      <c r="M133" s="22">
        <v>0</v>
      </c>
      <c r="N133" s="22">
        <v>0</v>
      </c>
      <c r="O133" s="22">
        <v>0</v>
      </c>
      <c r="P133" s="22">
        <v>0</v>
      </c>
      <c r="Q133" s="22">
        <v>0</v>
      </c>
      <c r="R133" s="22">
        <v>0</v>
      </c>
      <c r="S133" s="22">
        <v>0</v>
      </c>
      <c r="T133" s="22">
        <v>0</v>
      </c>
      <c r="U133" s="22">
        <v>0</v>
      </c>
      <c r="V133" s="22">
        <v>0</v>
      </c>
      <c r="W133" s="22">
        <v>0</v>
      </c>
      <c r="X133" s="22">
        <v>0</v>
      </c>
      <c r="Y133" s="22">
        <v>0</v>
      </c>
      <c r="Z133" s="22">
        <v>0</v>
      </c>
      <c r="AA133" s="22">
        <v>0</v>
      </c>
      <c r="AB133" s="22">
        <v>0</v>
      </c>
    </row>
    <row r="134" spans="1:28" x14ac:dyDescent="0.35">
      <c r="A134" s="12" t="s">
        <v>1204</v>
      </c>
      <c r="B134" s="22">
        <v>0</v>
      </c>
      <c r="C134" s="22">
        <v>0</v>
      </c>
      <c r="D134" s="22">
        <v>0</v>
      </c>
      <c r="E134" s="22">
        <v>0</v>
      </c>
      <c r="F134" s="22">
        <v>0</v>
      </c>
      <c r="G134" s="22">
        <v>0</v>
      </c>
      <c r="H134" s="22">
        <v>0</v>
      </c>
      <c r="I134" s="22">
        <v>0</v>
      </c>
      <c r="J134" s="22">
        <v>0</v>
      </c>
      <c r="K134" s="22">
        <v>0</v>
      </c>
      <c r="L134" s="22">
        <v>0</v>
      </c>
      <c r="M134" s="22">
        <v>0</v>
      </c>
      <c r="N134" s="22">
        <v>0</v>
      </c>
      <c r="O134" s="22">
        <v>0</v>
      </c>
      <c r="P134" s="22">
        <v>0</v>
      </c>
      <c r="Q134" s="22">
        <v>0</v>
      </c>
      <c r="R134" s="22">
        <v>0</v>
      </c>
      <c r="S134" s="22">
        <v>0</v>
      </c>
      <c r="T134" s="22">
        <v>0</v>
      </c>
      <c r="U134" s="22">
        <v>0</v>
      </c>
      <c r="V134" s="22">
        <v>0</v>
      </c>
      <c r="W134" s="22">
        <v>0</v>
      </c>
      <c r="X134" s="22">
        <v>0</v>
      </c>
      <c r="Y134" s="22">
        <v>0</v>
      </c>
      <c r="Z134" s="22">
        <v>0</v>
      </c>
      <c r="AA134" s="22">
        <v>0</v>
      </c>
      <c r="AB134" s="22">
        <v>0</v>
      </c>
    </row>
    <row r="135" spans="1:28" x14ac:dyDescent="0.35">
      <c r="A135" s="12" t="s">
        <v>45</v>
      </c>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row>
    <row r="136" spans="1:28" x14ac:dyDescent="0.35">
      <c r="A136" s="12" t="s">
        <v>1201</v>
      </c>
      <c r="B136" s="22">
        <v>0</v>
      </c>
      <c r="C136" s="22">
        <v>0</v>
      </c>
      <c r="D136" s="22">
        <v>0</v>
      </c>
      <c r="E136" s="22">
        <v>0</v>
      </c>
      <c r="F136" s="22">
        <v>0</v>
      </c>
      <c r="G136" s="22">
        <v>0</v>
      </c>
      <c r="H136" s="22">
        <v>0</v>
      </c>
      <c r="I136" s="22">
        <v>0</v>
      </c>
      <c r="J136" s="22">
        <v>0</v>
      </c>
      <c r="K136" s="22">
        <v>0</v>
      </c>
      <c r="L136" s="22">
        <v>0</v>
      </c>
      <c r="M136" s="22">
        <v>0</v>
      </c>
      <c r="N136" s="22">
        <v>0</v>
      </c>
      <c r="O136" s="22">
        <v>0</v>
      </c>
      <c r="P136" s="22">
        <v>0</v>
      </c>
      <c r="Q136" s="22">
        <v>0</v>
      </c>
      <c r="R136" s="22">
        <v>0</v>
      </c>
      <c r="S136" s="22">
        <v>0</v>
      </c>
      <c r="T136" s="22">
        <v>0</v>
      </c>
      <c r="U136" s="22">
        <v>0</v>
      </c>
      <c r="V136" s="22">
        <v>0</v>
      </c>
      <c r="W136" s="22">
        <v>0</v>
      </c>
      <c r="X136" s="22">
        <v>0</v>
      </c>
      <c r="Y136" s="22">
        <v>0</v>
      </c>
      <c r="Z136" s="22">
        <v>0</v>
      </c>
      <c r="AA136" s="22">
        <v>0</v>
      </c>
      <c r="AB136" s="22">
        <v>0</v>
      </c>
    </row>
    <row r="137" spans="1:28" x14ac:dyDescent="0.35">
      <c r="A137" s="12" t="s">
        <v>1202</v>
      </c>
      <c r="B137" s="22">
        <v>0</v>
      </c>
      <c r="C137" s="22">
        <v>0</v>
      </c>
      <c r="D137" s="22">
        <v>0</v>
      </c>
      <c r="E137" s="22">
        <v>0</v>
      </c>
      <c r="F137" s="22">
        <v>0</v>
      </c>
      <c r="G137" s="22">
        <v>0</v>
      </c>
      <c r="H137" s="22">
        <v>0</v>
      </c>
      <c r="I137" s="22">
        <v>0</v>
      </c>
      <c r="J137" s="22">
        <v>0</v>
      </c>
      <c r="K137" s="22">
        <v>0</v>
      </c>
      <c r="L137" s="22">
        <v>0</v>
      </c>
      <c r="M137" s="22">
        <v>0</v>
      </c>
      <c r="N137" s="22">
        <v>0</v>
      </c>
      <c r="O137" s="22">
        <v>0</v>
      </c>
      <c r="P137" s="22">
        <v>0</v>
      </c>
      <c r="Q137" s="22">
        <v>0</v>
      </c>
      <c r="R137" s="22">
        <v>0</v>
      </c>
      <c r="S137" s="22">
        <v>0</v>
      </c>
      <c r="T137" s="22">
        <v>0</v>
      </c>
      <c r="U137" s="22">
        <v>0</v>
      </c>
      <c r="V137" s="22">
        <v>0</v>
      </c>
      <c r="W137" s="22">
        <v>0</v>
      </c>
      <c r="X137" s="22">
        <v>0</v>
      </c>
      <c r="Y137" s="22">
        <v>0</v>
      </c>
      <c r="Z137" s="22">
        <v>0</v>
      </c>
      <c r="AA137" s="22">
        <v>0</v>
      </c>
      <c r="AB137" s="22">
        <v>0</v>
      </c>
    </row>
    <row r="138" spans="1:28" x14ac:dyDescent="0.35">
      <c r="A138" s="12" t="s">
        <v>1203</v>
      </c>
      <c r="B138" s="22">
        <v>0</v>
      </c>
      <c r="C138" s="22">
        <v>0</v>
      </c>
      <c r="D138" s="22">
        <v>0</v>
      </c>
      <c r="E138" s="22">
        <v>0</v>
      </c>
      <c r="F138" s="22">
        <v>0</v>
      </c>
      <c r="G138" s="22">
        <v>0</v>
      </c>
      <c r="H138" s="22">
        <v>0</v>
      </c>
      <c r="I138" s="22">
        <v>0</v>
      </c>
      <c r="J138" s="22">
        <v>0</v>
      </c>
      <c r="K138" s="22">
        <v>0</v>
      </c>
      <c r="L138" s="22">
        <v>0</v>
      </c>
      <c r="M138" s="22">
        <v>0</v>
      </c>
      <c r="N138" s="22">
        <v>0</v>
      </c>
      <c r="O138" s="22">
        <v>0</v>
      </c>
      <c r="P138" s="22">
        <v>0</v>
      </c>
      <c r="Q138" s="22">
        <v>0</v>
      </c>
      <c r="R138" s="22">
        <v>0</v>
      </c>
      <c r="S138" s="22">
        <v>0</v>
      </c>
      <c r="T138" s="22">
        <v>0</v>
      </c>
      <c r="U138" s="22">
        <v>0</v>
      </c>
      <c r="V138" s="22">
        <v>0</v>
      </c>
      <c r="W138" s="22">
        <v>0</v>
      </c>
      <c r="X138" s="22">
        <v>0</v>
      </c>
      <c r="Y138" s="22">
        <v>0</v>
      </c>
      <c r="Z138" s="22">
        <v>0</v>
      </c>
      <c r="AA138" s="22">
        <v>0</v>
      </c>
      <c r="AB138" s="22">
        <v>0</v>
      </c>
    </row>
    <row r="139" spans="1:28" x14ac:dyDescent="0.35">
      <c r="A139" s="12" t="s">
        <v>1204</v>
      </c>
      <c r="B139" s="22">
        <v>0</v>
      </c>
      <c r="C139" s="22">
        <v>0</v>
      </c>
      <c r="D139" s="22">
        <v>0</v>
      </c>
      <c r="E139" s="22">
        <v>0</v>
      </c>
      <c r="F139" s="22">
        <v>0</v>
      </c>
      <c r="G139" s="22">
        <v>0</v>
      </c>
      <c r="H139" s="22">
        <v>0</v>
      </c>
      <c r="I139" s="22">
        <v>0</v>
      </c>
      <c r="J139" s="22">
        <v>0</v>
      </c>
      <c r="K139" s="22">
        <v>0</v>
      </c>
      <c r="L139" s="22">
        <v>0</v>
      </c>
      <c r="M139" s="22">
        <v>0</v>
      </c>
      <c r="N139" s="22">
        <v>0</v>
      </c>
      <c r="O139" s="22">
        <v>0</v>
      </c>
      <c r="P139" s="22">
        <v>0</v>
      </c>
      <c r="Q139" s="22">
        <v>0</v>
      </c>
      <c r="R139" s="22">
        <v>0</v>
      </c>
      <c r="S139" s="22">
        <v>0</v>
      </c>
      <c r="T139" s="22">
        <v>0</v>
      </c>
      <c r="U139" s="22">
        <v>0</v>
      </c>
      <c r="V139" s="22">
        <v>0</v>
      </c>
      <c r="W139" s="22">
        <v>0</v>
      </c>
      <c r="X139" s="22">
        <v>0</v>
      </c>
      <c r="Y139" s="22">
        <v>0</v>
      </c>
      <c r="Z139" s="22">
        <v>0</v>
      </c>
      <c r="AA139" s="22">
        <v>0</v>
      </c>
      <c r="AB139" s="22">
        <v>0</v>
      </c>
    </row>
    <row r="140" spans="1:28" x14ac:dyDescent="0.35">
      <c r="A140" s="12" t="s">
        <v>221</v>
      </c>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row>
    <row r="141" spans="1:28" x14ac:dyDescent="0.35">
      <c r="A141" s="12" t="s">
        <v>1201</v>
      </c>
      <c r="B141" s="22">
        <v>0</v>
      </c>
      <c r="C141" s="22">
        <v>0</v>
      </c>
      <c r="D141" s="22">
        <v>0</v>
      </c>
      <c r="E141" s="22">
        <v>0</v>
      </c>
      <c r="F141" s="22">
        <v>0</v>
      </c>
      <c r="G141" s="22">
        <v>0</v>
      </c>
      <c r="H141" s="22">
        <v>0</v>
      </c>
      <c r="I141" s="22">
        <v>0</v>
      </c>
      <c r="J141" s="22">
        <v>0</v>
      </c>
      <c r="K141" s="22">
        <v>0</v>
      </c>
      <c r="L141" s="22">
        <v>0</v>
      </c>
      <c r="M141" s="22">
        <v>0</v>
      </c>
      <c r="N141" s="22">
        <v>0</v>
      </c>
      <c r="O141" s="22">
        <v>0</v>
      </c>
      <c r="P141" s="22">
        <v>0</v>
      </c>
      <c r="Q141" s="22">
        <v>0</v>
      </c>
      <c r="R141" s="22">
        <v>0</v>
      </c>
      <c r="S141" s="22">
        <v>0</v>
      </c>
      <c r="T141" s="22">
        <v>0</v>
      </c>
      <c r="U141" s="22">
        <v>0</v>
      </c>
      <c r="V141" s="22">
        <v>0</v>
      </c>
      <c r="W141" s="22">
        <v>0</v>
      </c>
      <c r="X141" s="22">
        <v>0</v>
      </c>
      <c r="Y141" s="22">
        <v>0</v>
      </c>
      <c r="Z141" s="22">
        <v>0</v>
      </c>
      <c r="AA141" s="22">
        <v>0</v>
      </c>
      <c r="AB141" s="22">
        <v>0</v>
      </c>
    </row>
    <row r="142" spans="1:28" x14ac:dyDescent="0.35">
      <c r="A142" s="12" t="s">
        <v>1202</v>
      </c>
      <c r="B142" s="22">
        <v>0</v>
      </c>
      <c r="C142" s="22">
        <v>0</v>
      </c>
      <c r="D142" s="22">
        <v>0</v>
      </c>
      <c r="E142" s="22">
        <v>0</v>
      </c>
      <c r="F142" s="22">
        <v>0</v>
      </c>
      <c r="G142" s="22">
        <v>0</v>
      </c>
      <c r="H142" s="22">
        <v>0</v>
      </c>
      <c r="I142" s="22">
        <v>0</v>
      </c>
      <c r="J142" s="22">
        <v>0</v>
      </c>
      <c r="K142" s="22">
        <v>0</v>
      </c>
      <c r="L142" s="22">
        <v>0</v>
      </c>
      <c r="M142" s="22">
        <v>0</v>
      </c>
      <c r="N142" s="22">
        <v>0</v>
      </c>
      <c r="O142" s="22">
        <v>0</v>
      </c>
      <c r="P142" s="22">
        <v>0</v>
      </c>
      <c r="Q142" s="22">
        <v>0</v>
      </c>
      <c r="R142" s="22">
        <v>0</v>
      </c>
      <c r="S142" s="22">
        <v>0</v>
      </c>
      <c r="T142" s="22">
        <v>0</v>
      </c>
      <c r="U142" s="22">
        <v>0</v>
      </c>
      <c r="V142" s="22">
        <v>0</v>
      </c>
      <c r="W142" s="22">
        <v>0</v>
      </c>
      <c r="X142" s="22">
        <v>0</v>
      </c>
      <c r="Y142" s="22">
        <v>0</v>
      </c>
      <c r="Z142" s="22">
        <v>0</v>
      </c>
      <c r="AA142" s="22">
        <v>0</v>
      </c>
      <c r="AB142" s="22">
        <v>0</v>
      </c>
    </row>
    <row r="143" spans="1:28" x14ac:dyDescent="0.35">
      <c r="A143" s="12" t="s">
        <v>1203</v>
      </c>
      <c r="B143" s="22">
        <v>0</v>
      </c>
      <c r="C143" s="22">
        <v>0</v>
      </c>
      <c r="D143" s="22">
        <v>0</v>
      </c>
      <c r="E143" s="22">
        <v>0</v>
      </c>
      <c r="F143" s="22">
        <v>0</v>
      </c>
      <c r="G143" s="22">
        <v>0</v>
      </c>
      <c r="H143" s="22">
        <v>0</v>
      </c>
      <c r="I143" s="22">
        <v>0</v>
      </c>
      <c r="J143" s="22">
        <v>0</v>
      </c>
      <c r="K143" s="22">
        <v>0</v>
      </c>
      <c r="L143" s="22">
        <v>0</v>
      </c>
      <c r="M143" s="22">
        <v>0</v>
      </c>
      <c r="N143" s="22">
        <v>0</v>
      </c>
      <c r="O143" s="22">
        <v>0</v>
      </c>
      <c r="P143" s="22">
        <v>0</v>
      </c>
      <c r="Q143" s="22">
        <v>0</v>
      </c>
      <c r="R143" s="22">
        <v>0</v>
      </c>
      <c r="S143" s="22">
        <v>0</v>
      </c>
      <c r="T143" s="22">
        <v>0</v>
      </c>
      <c r="U143" s="22">
        <v>0</v>
      </c>
      <c r="V143" s="22">
        <v>0</v>
      </c>
      <c r="W143" s="22">
        <v>0</v>
      </c>
      <c r="X143" s="22">
        <v>0</v>
      </c>
      <c r="Y143" s="22">
        <v>0</v>
      </c>
      <c r="Z143" s="22">
        <v>0</v>
      </c>
      <c r="AA143" s="22">
        <v>0</v>
      </c>
      <c r="AB143" s="22">
        <v>0</v>
      </c>
    </row>
    <row r="144" spans="1:28" x14ac:dyDescent="0.35">
      <c r="A144" s="12" t="s">
        <v>1204</v>
      </c>
      <c r="B144" s="22">
        <v>0</v>
      </c>
      <c r="C144" s="22">
        <v>0</v>
      </c>
      <c r="D144" s="22">
        <v>0</v>
      </c>
      <c r="E144" s="22">
        <v>0</v>
      </c>
      <c r="F144" s="22">
        <v>0</v>
      </c>
      <c r="G144" s="22">
        <v>0</v>
      </c>
      <c r="H144" s="22">
        <v>0</v>
      </c>
      <c r="I144" s="22">
        <v>0</v>
      </c>
      <c r="J144" s="22">
        <v>0</v>
      </c>
      <c r="K144" s="22">
        <v>0</v>
      </c>
      <c r="L144" s="22">
        <v>0</v>
      </c>
      <c r="M144" s="22">
        <v>0</v>
      </c>
      <c r="N144" s="22">
        <v>0</v>
      </c>
      <c r="O144" s="22">
        <v>0</v>
      </c>
      <c r="P144" s="22">
        <v>0</v>
      </c>
      <c r="Q144" s="22">
        <v>0</v>
      </c>
      <c r="R144" s="22">
        <v>0</v>
      </c>
      <c r="S144" s="22">
        <v>0</v>
      </c>
      <c r="T144" s="22">
        <v>0</v>
      </c>
      <c r="U144" s="22">
        <v>0</v>
      </c>
      <c r="V144" s="22">
        <v>0</v>
      </c>
      <c r="W144" s="22">
        <v>0</v>
      </c>
      <c r="X144" s="22">
        <v>0</v>
      </c>
      <c r="Y144" s="22">
        <v>0</v>
      </c>
      <c r="Z144" s="22">
        <v>0</v>
      </c>
      <c r="AA144" s="22">
        <v>0</v>
      </c>
      <c r="AB144" s="22">
        <v>0</v>
      </c>
    </row>
    <row r="145" spans="1:28" x14ac:dyDescent="0.35">
      <c r="A145" s="12" t="s">
        <v>524</v>
      </c>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row>
    <row r="146" spans="1:28" x14ac:dyDescent="0.35">
      <c r="A146" s="12" t="s">
        <v>1201</v>
      </c>
      <c r="B146" s="22">
        <v>0</v>
      </c>
      <c r="C146" s="22">
        <v>0</v>
      </c>
      <c r="D146" s="22">
        <v>0</v>
      </c>
      <c r="E146" s="22">
        <v>0</v>
      </c>
      <c r="F146" s="22">
        <v>0</v>
      </c>
      <c r="G146" s="22">
        <v>0</v>
      </c>
      <c r="H146" s="22">
        <v>0</v>
      </c>
      <c r="I146" s="22">
        <v>0</v>
      </c>
      <c r="J146" s="22">
        <v>0</v>
      </c>
      <c r="K146" s="22">
        <v>0</v>
      </c>
      <c r="L146" s="22">
        <v>0</v>
      </c>
      <c r="M146" s="22">
        <v>0</v>
      </c>
      <c r="N146" s="22">
        <v>0</v>
      </c>
      <c r="O146" s="22">
        <v>0</v>
      </c>
      <c r="P146" s="22">
        <v>0</v>
      </c>
      <c r="Q146" s="22">
        <v>0</v>
      </c>
      <c r="R146" s="22">
        <v>0</v>
      </c>
      <c r="S146" s="22">
        <v>0</v>
      </c>
      <c r="T146" s="22">
        <v>0</v>
      </c>
      <c r="U146" s="22">
        <v>0</v>
      </c>
      <c r="V146" s="22">
        <v>0</v>
      </c>
      <c r="W146" s="22">
        <v>0</v>
      </c>
      <c r="X146" s="22">
        <v>0</v>
      </c>
      <c r="Y146" s="22">
        <v>0</v>
      </c>
      <c r="Z146" s="22">
        <v>0</v>
      </c>
      <c r="AA146" s="22">
        <v>0</v>
      </c>
      <c r="AB146" s="22">
        <v>0</v>
      </c>
    </row>
    <row r="147" spans="1:28" x14ac:dyDescent="0.35">
      <c r="A147" s="12" t="s">
        <v>1202</v>
      </c>
      <c r="B147" s="22">
        <v>0</v>
      </c>
      <c r="C147" s="22">
        <v>0</v>
      </c>
      <c r="D147" s="22">
        <v>0</v>
      </c>
      <c r="E147" s="22">
        <v>0</v>
      </c>
      <c r="F147" s="22">
        <v>0</v>
      </c>
      <c r="G147" s="22">
        <v>0</v>
      </c>
      <c r="H147" s="22">
        <v>0</v>
      </c>
      <c r="I147" s="22">
        <v>0</v>
      </c>
      <c r="J147" s="22">
        <v>0</v>
      </c>
      <c r="K147" s="22">
        <v>0</v>
      </c>
      <c r="L147" s="22">
        <v>0</v>
      </c>
      <c r="M147" s="22">
        <v>0</v>
      </c>
      <c r="N147" s="22">
        <v>0</v>
      </c>
      <c r="O147" s="22">
        <v>0</v>
      </c>
      <c r="P147" s="22">
        <v>0</v>
      </c>
      <c r="Q147" s="22">
        <v>0</v>
      </c>
      <c r="R147" s="22">
        <v>0</v>
      </c>
      <c r="S147" s="22">
        <v>0</v>
      </c>
      <c r="T147" s="22">
        <v>0</v>
      </c>
      <c r="U147" s="22">
        <v>0</v>
      </c>
      <c r="V147" s="22">
        <v>0</v>
      </c>
      <c r="W147" s="22">
        <v>0</v>
      </c>
      <c r="X147" s="22">
        <v>0</v>
      </c>
      <c r="Y147" s="22">
        <v>0</v>
      </c>
      <c r="Z147" s="22">
        <v>0</v>
      </c>
      <c r="AA147" s="22">
        <v>0</v>
      </c>
      <c r="AB147" s="22">
        <v>0</v>
      </c>
    </row>
    <row r="148" spans="1:28" x14ac:dyDescent="0.35">
      <c r="A148" s="12" t="s">
        <v>1203</v>
      </c>
      <c r="B148" s="22">
        <v>0</v>
      </c>
      <c r="C148" s="22">
        <v>0</v>
      </c>
      <c r="D148" s="22">
        <v>0</v>
      </c>
      <c r="E148" s="22">
        <v>0</v>
      </c>
      <c r="F148" s="22">
        <v>0</v>
      </c>
      <c r="G148" s="22">
        <v>0</v>
      </c>
      <c r="H148" s="22">
        <v>0</v>
      </c>
      <c r="I148" s="22">
        <v>0</v>
      </c>
      <c r="J148" s="22">
        <v>0</v>
      </c>
      <c r="K148" s="22">
        <v>0</v>
      </c>
      <c r="L148" s="22">
        <v>0</v>
      </c>
      <c r="M148" s="22">
        <v>0</v>
      </c>
      <c r="N148" s="22">
        <v>0</v>
      </c>
      <c r="O148" s="22">
        <v>0</v>
      </c>
      <c r="P148" s="22">
        <v>0</v>
      </c>
      <c r="Q148" s="22">
        <v>0</v>
      </c>
      <c r="R148" s="22">
        <v>0</v>
      </c>
      <c r="S148" s="22">
        <v>0</v>
      </c>
      <c r="T148" s="22">
        <v>0</v>
      </c>
      <c r="U148" s="22">
        <v>0</v>
      </c>
      <c r="V148" s="22">
        <v>0</v>
      </c>
      <c r="W148" s="22">
        <v>0</v>
      </c>
      <c r="X148" s="22">
        <v>0</v>
      </c>
      <c r="Y148" s="22">
        <v>0</v>
      </c>
      <c r="Z148" s="22">
        <v>0</v>
      </c>
      <c r="AA148" s="22">
        <v>0</v>
      </c>
      <c r="AB148" s="22">
        <v>0</v>
      </c>
    </row>
    <row r="149" spans="1:28" x14ac:dyDescent="0.35">
      <c r="A149" s="12" t="s">
        <v>1204</v>
      </c>
      <c r="B149" s="22">
        <v>0</v>
      </c>
      <c r="C149" s="22">
        <v>0</v>
      </c>
      <c r="D149" s="22">
        <v>0</v>
      </c>
      <c r="E149" s="22">
        <v>0</v>
      </c>
      <c r="F149" s="22">
        <v>0</v>
      </c>
      <c r="G149" s="22">
        <v>0</v>
      </c>
      <c r="H149" s="22">
        <v>0</v>
      </c>
      <c r="I149" s="22">
        <v>0</v>
      </c>
      <c r="J149" s="22">
        <v>0</v>
      </c>
      <c r="K149" s="22">
        <v>0</v>
      </c>
      <c r="L149" s="22">
        <v>0</v>
      </c>
      <c r="M149" s="22">
        <v>0</v>
      </c>
      <c r="N149" s="22">
        <v>0</v>
      </c>
      <c r="O149" s="22">
        <v>0</v>
      </c>
      <c r="P149" s="22">
        <v>0</v>
      </c>
      <c r="Q149" s="22">
        <v>0</v>
      </c>
      <c r="R149" s="22">
        <v>0</v>
      </c>
      <c r="S149" s="22">
        <v>0</v>
      </c>
      <c r="T149" s="22">
        <v>0</v>
      </c>
      <c r="U149" s="22">
        <v>0</v>
      </c>
      <c r="V149" s="22">
        <v>0</v>
      </c>
      <c r="W149" s="22">
        <v>0</v>
      </c>
      <c r="X149" s="22">
        <v>0</v>
      </c>
      <c r="Y149" s="22">
        <v>0</v>
      </c>
      <c r="Z149" s="22">
        <v>0</v>
      </c>
      <c r="AA149" s="22">
        <v>0</v>
      </c>
      <c r="AB149" s="22">
        <v>0</v>
      </c>
    </row>
    <row r="150" spans="1:28" x14ac:dyDescent="0.35">
      <c r="A150" s="12" t="s">
        <v>23</v>
      </c>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row>
    <row r="151" spans="1:28" x14ac:dyDescent="0.35">
      <c r="A151" s="12" t="s">
        <v>1201</v>
      </c>
      <c r="B151" s="22">
        <v>0</v>
      </c>
      <c r="C151" s="22">
        <v>0</v>
      </c>
      <c r="D151" s="22">
        <v>0</v>
      </c>
      <c r="E151" s="22">
        <v>0</v>
      </c>
      <c r="F151" s="22">
        <v>0</v>
      </c>
      <c r="G151" s="22">
        <v>0</v>
      </c>
      <c r="H151" s="22">
        <v>0</v>
      </c>
      <c r="I151" s="22">
        <v>0</v>
      </c>
      <c r="J151" s="22">
        <v>0</v>
      </c>
      <c r="K151" s="22">
        <v>0</v>
      </c>
      <c r="L151" s="22">
        <v>0</v>
      </c>
      <c r="M151" s="22">
        <v>0</v>
      </c>
      <c r="N151" s="22">
        <v>0</v>
      </c>
      <c r="O151" s="22">
        <v>0</v>
      </c>
      <c r="P151" s="22">
        <v>0</v>
      </c>
      <c r="Q151" s="22">
        <v>0</v>
      </c>
      <c r="R151" s="22">
        <v>0</v>
      </c>
      <c r="S151" s="22">
        <v>0</v>
      </c>
      <c r="T151" s="22">
        <v>0</v>
      </c>
      <c r="U151" s="22">
        <v>0</v>
      </c>
      <c r="V151" s="22">
        <v>0</v>
      </c>
      <c r="W151" s="22">
        <v>0</v>
      </c>
      <c r="X151" s="22">
        <v>0</v>
      </c>
      <c r="Y151" s="22">
        <v>0</v>
      </c>
      <c r="Z151" s="22">
        <v>0</v>
      </c>
      <c r="AA151" s="22">
        <v>0</v>
      </c>
      <c r="AB151" s="22">
        <v>0</v>
      </c>
    </row>
    <row r="152" spans="1:28" x14ac:dyDescent="0.35">
      <c r="A152" s="12" t="s">
        <v>1202</v>
      </c>
      <c r="B152" s="22">
        <v>0</v>
      </c>
      <c r="C152" s="22">
        <v>0</v>
      </c>
      <c r="D152" s="22">
        <v>0</v>
      </c>
      <c r="E152" s="22">
        <v>0</v>
      </c>
      <c r="F152" s="22">
        <v>0</v>
      </c>
      <c r="G152" s="22">
        <v>0</v>
      </c>
      <c r="H152" s="22">
        <v>0</v>
      </c>
      <c r="I152" s="22">
        <v>0</v>
      </c>
      <c r="J152" s="22">
        <v>0</v>
      </c>
      <c r="K152" s="22">
        <v>0</v>
      </c>
      <c r="L152" s="22">
        <v>0</v>
      </c>
      <c r="M152" s="22">
        <v>0</v>
      </c>
      <c r="N152" s="22">
        <v>0</v>
      </c>
      <c r="O152" s="22">
        <v>0</v>
      </c>
      <c r="P152" s="22">
        <v>0</v>
      </c>
      <c r="Q152" s="22">
        <v>0</v>
      </c>
      <c r="R152" s="22">
        <v>0</v>
      </c>
      <c r="S152" s="22">
        <v>0</v>
      </c>
      <c r="T152" s="22">
        <v>0</v>
      </c>
      <c r="U152" s="22">
        <v>0</v>
      </c>
      <c r="V152" s="22">
        <v>0</v>
      </c>
      <c r="W152" s="22">
        <v>0</v>
      </c>
      <c r="X152" s="22">
        <v>0</v>
      </c>
      <c r="Y152" s="22">
        <v>0</v>
      </c>
      <c r="Z152" s="22">
        <v>0</v>
      </c>
      <c r="AA152" s="22">
        <v>0</v>
      </c>
      <c r="AB152" s="22">
        <v>0</v>
      </c>
    </row>
    <row r="153" spans="1:28" x14ac:dyDescent="0.35">
      <c r="A153" s="12" t="s">
        <v>1203</v>
      </c>
      <c r="B153" s="22">
        <v>0</v>
      </c>
      <c r="C153" s="22">
        <v>0</v>
      </c>
      <c r="D153" s="22">
        <v>0</v>
      </c>
      <c r="E153" s="22">
        <v>0</v>
      </c>
      <c r="F153" s="22">
        <v>0</v>
      </c>
      <c r="G153" s="22">
        <v>0</v>
      </c>
      <c r="H153" s="22">
        <v>0</v>
      </c>
      <c r="I153" s="22">
        <v>0</v>
      </c>
      <c r="J153" s="22">
        <v>0</v>
      </c>
      <c r="K153" s="22">
        <v>0</v>
      </c>
      <c r="L153" s="22">
        <v>0</v>
      </c>
      <c r="M153" s="22">
        <v>0</v>
      </c>
      <c r="N153" s="22">
        <v>0</v>
      </c>
      <c r="O153" s="22">
        <v>0</v>
      </c>
      <c r="P153" s="22">
        <v>0</v>
      </c>
      <c r="Q153" s="22">
        <v>0</v>
      </c>
      <c r="R153" s="22">
        <v>0</v>
      </c>
      <c r="S153" s="22">
        <v>0</v>
      </c>
      <c r="T153" s="22">
        <v>0</v>
      </c>
      <c r="U153" s="22">
        <v>0</v>
      </c>
      <c r="V153" s="22">
        <v>0</v>
      </c>
      <c r="W153" s="22">
        <v>0</v>
      </c>
      <c r="X153" s="22">
        <v>0</v>
      </c>
      <c r="Y153" s="22">
        <v>0</v>
      </c>
      <c r="Z153" s="22">
        <v>0</v>
      </c>
      <c r="AA153" s="22">
        <v>0</v>
      </c>
      <c r="AB153" s="22">
        <v>0</v>
      </c>
    </row>
    <row r="154" spans="1:28" x14ac:dyDescent="0.35">
      <c r="A154" s="12" t="s">
        <v>1204</v>
      </c>
      <c r="B154" s="22">
        <v>0</v>
      </c>
      <c r="C154" s="22">
        <v>0</v>
      </c>
      <c r="D154" s="22">
        <v>0</v>
      </c>
      <c r="E154" s="22">
        <v>0</v>
      </c>
      <c r="F154" s="22">
        <v>0</v>
      </c>
      <c r="G154" s="22">
        <v>0</v>
      </c>
      <c r="H154" s="22">
        <v>0</v>
      </c>
      <c r="I154" s="22">
        <v>0</v>
      </c>
      <c r="J154" s="22">
        <v>0</v>
      </c>
      <c r="K154" s="22">
        <v>0</v>
      </c>
      <c r="L154" s="22">
        <v>0</v>
      </c>
      <c r="M154" s="22">
        <v>0</v>
      </c>
      <c r="N154" s="22">
        <v>0</v>
      </c>
      <c r="O154" s="22">
        <v>0</v>
      </c>
      <c r="P154" s="22">
        <v>0</v>
      </c>
      <c r="Q154" s="22">
        <v>0</v>
      </c>
      <c r="R154" s="22">
        <v>0</v>
      </c>
      <c r="S154" s="22">
        <v>0</v>
      </c>
      <c r="T154" s="22">
        <v>0</v>
      </c>
      <c r="U154" s="22">
        <v>0</v>
      </c>
      <c r="V154" s="22">
        <v>0</v>
      </c>
      <c r="W154" s="22">
        <v>0</v>
      </c>
      <c r="X154" s="22">
        <v>0</v>
      </c>
      <c r="Y154" s="22">
        <v>0</v>
      </c>
      <c r="Z154" s="22">
        <v>0</v>
      </c>
      <c r="AA154" s="22">
        <v>0</v>
      </c>
      <c r="AB154" s="22">
        <v>0</v>
      </c>
    </row>
    <row r="155" spans="1:28" x14ac:dyDescent="0.35">
      <c r="A155" s="12" t="s">
        <v>704</v>
      </c>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row>
    <row r="156" spans="1:28" x14ac:dyDescent="0.35">
      <c r="A156" s="12" t="s">
        <v>1201</v>
      </c>
      <c r="B156" s="22">
        <v>0</v>
      </c>
      <c r="C156" s="22">
        <v>0</v>
      </c>
      <c r="D156" s="22">
        <v>0</v>
      </c>
      <c r="E156" s="22">
        <v>0</v>
      </c>
      <c r="F156" s="22">
        <v>0</v>
      </c>
      <c r="G156" s="22">
        <v>0</v>
      </c>
      <c r="H156" s="22">
        <v>0</v>
      </c>
      <c r="I156" s="22">
        <v>0</v>
      </c>
      <c r="J156" s="22">
        <v>0</v>
      </c>
      <c r="K156" s="22">
        <v>0</v>
      </c>
      <c r="L156" s="22">
        <v>0</v>
      </c>
      <c r="M156" s="22">
        <v>0</v>
      </c>
      <c r="N156" s="22">
        <v>0</v>
      </c>
      <c r="O156" s="22">
        <v>0</v>
      </c>
      <c r="P156" s="22">
        <v>0</v>
      </c>
      <c r="Q156" s="22">
        <v>0</v>
      </c>
      <c r="R156" s="22">
        <v>0</v>
      </c>
      <c r="S156" s="22">
        <v>0</v>
      </c>
      <c r="T156" s="22">
        <v>0</v>
      </c>
      <c r="U156" s="22">
        <v>0</v>
      </c>
      <c r="V156" s="22">
        <v>0</v>
      </c>
      <c r="W156" s="22">
        <v>0</v>
      </c>
      <c r="X156" s="22">
        <v>0</v>
      </c>
      <c r="Y156" s="22">
        <v>0</v>
      </c>
      <c r="Z156" s="22">
        <v>0</v>
      </c>
      <c r="AA156" s="22">
        <v>0</v>
      </c>
      <c r="AB156" s="22">
        <v>0</v>
      </c>
    </row>
    <row r="157" spans="1:28" x14ac:dyDescent="0.35">
      <c r="A157" s="12" t="s">
        <v>1202</v>
      </c>
      <c r="B157" s="22">
        <v>0</v>
      </c>
      <c r="C157" s="22">
        <v>0</v>
      </c>
      <c r="D157" s="22">
        <v>0</v>
      </c>
      <c r="E157" s="22">
        <v>0</v>
      </c>
      <c r="F157" s="22">
        <v>0</v>
      </c>
      <c r="G157" s="22">
        <v>0</v>
      </c>
      <c r="H157" s="22">
        <v>0</v>
      </c>
      <c r="I157" s="22">
        <v>0</v>
      </c>
      <c r="J157" s="22">
        <v>0</v>
      </c>
      <c r="K157" s="22">
        <v>0</v>
      </c>
      <c r="L157" s="22">
        <v>0</v>
      </c>
      <c r="M157" s="22">
        <v>0</v>
      </c>
      <c r="N157" s="22">
        <v>0</v>
      </c>
      <c r="O157" s="22">
        <v>0</v>
      </c>
      <c r="P157" s="22">
        <v>0</v>
      </c>
      <c r="Q157" s="22">
        <v>0</v>
      </c>
      <c r="R157" s="22">
        <v>0</v>
      </c>
      <c r="S157" s="22">
        <v>0</v>
      </c>
      <c r="T157" s="22">
        <v>0</v>
      </c>
      <c r="U157" s="22">
        <v>0</v>
      </c>
      <c r="V157" s="22">
        <v>0</v>
      </c>
      <c r="W157" s="22">
        <v>0</v>
      </c>
      <c r="X157" s="22">
        <v>0</v>
      </c>
      <c r="Y157" s="22">
        <v>0</v>
      </c>
      <c r="Z157" s="22">
        <v>0</v>
      </c>
      <c r="AA157" s="22">
        <v>0</v>
      </c>
      <c r="AB157" s="22">
        <v>0</v>
      </c>
    </row>
    <row r="158" spans="1:28" x14ac:dyDescent="0.35">
      <c r="A158" s="12" t="s">
        <v>1203</v>
      </c>
      <c r="B158" s="22">
        <v>0</v>
      </c>
      <c r="C158" s="22">
        <v>0</v>
      </c>
      <c r="D158" s="22">
        <v>0</v>
      </c>
      <c r="E158" s="22">
        <v>0</v>
      </c>
      <c r="F158" s="22">
        <v>0</v>
      </c>
      <c r="G158" s="22">
        <v>0</v>
      </c>
      <c r="H158" s="22">
        <v>0</v>
      </c>
      <c r="I158" s="22">
        <v>0</v>
      </c>
      <c r="J158" s="22">
        <v>0</v>
      </c>
      <c r="K158" s="22">
        <v>0</v>
      </c>
      <c r="L158" s="22">
        <v>0</v>
      </c>
      <c r="M158" s="22">
        <v>0</v>
      </c>
      <c r="N158" s="22">
        <v>0</v>
      </c>
      <c r="O158" s="22">
        <v>0</v>
      </c>
      <c r="P158" s="22">
        <v>0</v>
      </c>
      <c r="Q158" s="22">
        <v>0</v>
      </c>
      <c r="R158" s="22">
        <v>0</v>
      </c>
      <c r="S158" s="22">
        <v>0</v>
      </c>
      <c r="T158" s="22">
        <v>0</v>
      </c>
      <c r="U158" s="22">
        <v>0</v>
      </c>
      <c r="V158" s="22">
        <v>0</v>
      </c>
      <c r="W158" s="22">
        <v>0</v>
      </c>
      <c r="X158" s="22">
        <v>0</v>
      </c>
      <c r="Y158" s="22">
        <v>0</v>
      </c>
      <c r="Z158" s="22">
        <v>0</v>
      </c>
      <c r="AA158" s="22">
        <v>0</v>
      </c>
      <c r="AB158" s="22">
        <v>0</v>
      </c>
    </row>
    <row r="159" spans="1:28" x14ac:dyDescent="0.35">
      <c r="A159" s="12" t="s">
        <v>1204</v>
      </c>
      <c r="B159" s="22">
        <v>0</v>
      </c>
      <c r="C159" s="22">
        <v>0</v>
      </c>
      <c r="D159" s="22">
        <v>0</v>
      </c>
      <c r="E159" s="22">
        <v>0</v>
      </c>
      <c r="F159" s="22">
        <v>0</v>
      </c>
      <c r="G159" s="22">
        <v>0</v>
      </c>
      <c r="H159" s="22">
        <v>0</v>
      </c>
      <c r="I159" s="22">
        <v>0</v>
      </c>
      <c r="J159" s="22">
        <v>0</v>
      </c>
      <c r="K159" s="22">
        <v>0</v>
      </c>
      <c r="L159" s="22">
        <v>0</v>
      </c>
      <c r="M159" s="22">
        <v>0</v>
      </c>
      <c r="N159" s="22">
        <v>0</v>
      </c>
      <c r="O159" s="22">
        <v>0</v>
      </c>
      <c r="P159" s="22">
        <v>0</v>
      </c>
      <c r="Q159" s="22">
        <v>0</v>
      </c>
      <c r="R159" s="22">
        <v>0</v>
      </c>
      <c r="S159" s="22">
        <v>0</v>
      </c>
      <c r="T159" s="22">
        <v>0</v>
      </c>
      <c r="U159" s="22">
        <v>0</v>
      </c>
      <c r="V159" s="22">
        <v>0</v>
      </c>
      <c r="W159" s="22">
        <v>0</v>
      </c>
      <c r="X159" s="22">
        <v>0</v>
      </c>
      <c r="Y159" s="22">
        <v>0</v>
      </c>
      <c r="Z159" s="22">
        <v>0</v>
      </c>
      <c r="AA159" s="22">
        <v>0</v>
      </c>
      <c r="AB159" s="22">
        <v>0</v>
      </c>
    </row>
    <row r="160" spans="1:28" x14ac:dyDescent="0.35">
      <c r="A160" s="12" t="s">
        <v>275</v>
      </c>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row>
    <row r="161" spans="1:28" x14ac:dyDescent="0.35">
      <c r="A161" s="12" t="s">
        <v>1201</v>
      </c>
      <c r="B161" s="22">
        <v>0</v>
      </c>
      <c r="C161" s="22">
        <v>0</v>
      </c>
      <c r="D161" s="22">
        <v>0</v>
      </c>
      <c r="E161" s="22">
        <v>0</v>
      </c>
      <c r="F161" s="22">
        <v>0</v>
      </c>
      <c r="G161" s="22">
        <v>0</v>
      </c>
      <c r="H161" s="22">
        <v>0</v>
      </c>
      <c r="I161" s="22">
        <v>0</v>
      </c>
      <c r="J161" s="22">
        <v>0</v>
      </c>
      <c r="K161" s="22">
        <v>0</v>
      </c>
      <c r="L161" s="22">
        <v>0</v>
      </c>
      <c r="M161" s="22">
        <v>0</v>
      </c>
      <c r="N161" s="22">
        <v>0</v>
      </c>
      <c r="O161" s="22">
        <v>0</v>
      </c>
      <c r="P161" s="22">
        <v>0</v>
      </c>
      <c r="Q161" s="22">
        <v>0</v>
      </c>
      <c r="R161" s="22">
        <v>0</v>
      </c>
      <c r="S161" s="22">
        <v>0</v>
      </c>
      <c r="T161" s="22">
        <v>0</v>
      </c>
      <c r="U161" s="22">
        <v>0</v>
      </c>
      <c r="V161" s="22">
        <v>0</v>
      </c>
      <c r="W161" s="22">
        <v>0</v>
      </c>
      <c r="X161" s="22">
        <v>0</v>
      </c>
      <c r="Y161" s="22">
        <v>0</v>
      </c>
      <c r="Z161" s="22">
        <v>0</v>
      </c>
      <c r="AA161" s="22">
        <v>0</v>
      </c>
      <c r="AB161" s="22">
        <v>0</v>
      </c>
    </row>
    <row r="162" spans="1:28" x14ac:dyDescent="0.35">
      <c r="A162" s="12" t="s">
        <v>1202</v>
      </c>
      <c r="B162" s="22">
        <v>0</v>
      </c>
      <c r="C162" s="22">
        <v>0</v>
      </c>
      <c r="D162" s="22">
        <v>0</v>
      </c>
      <c r="E162" s="22">
        <v>0</v>
      </c>
      <c r="F162" s="22">
        <v>0</v>
      </c>
      <c r="G162" s="22">
        <v>0</v>
      </c>
      <c r="H162" s="22">
        <v>0</v>
      </c>
      <c r="I162" s="22">
        <v>0</v>
      </c>
      <c r="J162" s="22">
        <v>0</v>
      </c>
      <c r="K162" s="22">
        <v>0</v>
      </c>
      <c r="L162" s="22">
        <v>0</v>
      </c>
      <c r="M162" s="22">
        <v>0</v>
      </c>
      <c r="N162" s="22">
        <v>0</v>
      </c>
      <c r="O162" s="22">
        <v>0</v>
      </c>
      <c r="P162" s="22">
        <v>0</v>
      </c>
      <c r="Q162" s="22">
        <v>0</v>
      </c>
      <c r="R162" s="22">
        <v>0</v>
      </c>
      <c r="S162" s="22">
        <v>0</v>
      </c>
      <c r="T162" s="22">
        <v>0</v>
      </c>
      <c r="U162" s="22">
        <v>0</v>
      </c>
      <c r="V162" s="22">
        <v>0</v>
      </c>
      <c r="W162" s="22">
        <v>0</v>
      </c>
      <c r="X162" s="22">
        <v>0</v>
      </c>
      <c r="Y162" s="22">
        <v>0</v>
      </c>
      <c r="Z162" s="22">
        <v>0</v>
      </c>
      <c r="AA162" s="22">
        <v>0</v>
      </c>
      <c r="AB162" s="22">
        <v>0</v>
      </c>
    </row>
    <row r="163" spans="1:28" x14ac:dyDescent="0.35">
      <c r="A163" s="12" t="s">
        <v>1203</v>
      </c>
      <c r="B163" s="22">
        <v>0</v>
      </c>
      <c r="C163" s="22">
        <v>0</v>
      </c>
      <c r="D163" s="22">
        <v>0</v>
      </c>
      <c r="E163" s="22">
        <v>0</v>
      </c>
      <c r="F163" s="22">
        <v>0</v>
      </c>
      <c r="G163" s="22">
        <v>0</v>
      </c>
      <c r="H163" s="22">
        <v>0</v>
      </c>
      <c r="I163" s="22">
        <v>0</v>
      </c>
      <c r="J163" s="22">
        <v>0</v>
      </c>
      <c r="K163" s="22">
        <v>0</v>
      </c>
      <c r="L163" s="22">
        <v>0</v>
      </c>
      <c r="M163" s="22">
        <v>0</v>
      </c>
      <c r="N163" s="22">
        <v>0</v>
      </c>
      <c r="O163" s="22">
        <v>0</v>
      </c>
      <c r="P163" s="22">
        <v>0</v>
      </c>
      <c r="Q163" s="22">
        <v>0</v>
      </c>
      <c r="R163" s="22">
        <v>0</v>
      </c>
      <c r="S163" s="22">
        <v>0</v>
      </c>
      <c r="T163" s="22">
        <v>0</v>
      </c>
      <c r="U163" s="22">
        <v>0</v>
      </c>
      <c r="V163" s="22">
        <v>0</v>
      </c>
      <c r="W163" s="22">
        <v>0</v>
      </c>
      <c r="X163" s="22">
        <v>0</v>
      </c>
      <c r="Y163" s="22">
        <v>0</v>
      </c>
      <c r="Z163" s="22">
        <v>0</v>
      </c>
      <c r="AA163" s="22">
        <v>0</v>
      </c>
      <c r="AB163" s="22">
        <v>0</v>
      </c>
    </row>
    <row r="164" spans="1:28" x14ac:dyDescent="0.35">
      <c r="A164" s="12" t="s">
        <v>1204</v>
      </c>
      <c r="B164" s="22">
        <v>0</v>
      </c>
      <c r="C164" s="22">
        <v>0</v>
      </c>
      <c r="D164" s="22">
        <v>0</v>
      </c>
      <c r="E164" s="22">
        <v>0</v>
      </c>
      <c r="F164" s="22">
        <v>0</v>
      </c>
      <c r="G164" s="22">
        <v>0</v>
      </c>
      <c r="H164" s="22">
        <v>0</v>
      </c>
      <c r="I164" s="22">
        <v>0</v>
      </c>
      <c r="J164" s="22">
        <v>0</v>
      </c>
      <c r="K164" s="22">
        <v>0</v>
      </c>
      <c r="L164" s="22">
        <v>0</v>
      </c>
      <c r="M164" s="22">
        <v>0</v>
      </c>
      <c r="N164" s="22">
        <v>0</v>
      </c>
      <c r="O164" s="22">
        <v>0</v>
      </c>
      <c r="P164" s="22">
        <v>0</v>
      </c>
      <c r="Q164" s="22">
        <v>0</v>
      </c>
      <c r="R164" s="22">
        <v>0</v>
      </c>
      <c r="S164" s="22">
        <v>0</v>
      </c>
      <c r="T164" s="22">
        <v>0</v>
      </c>
      <c r="U164" s="22">
        <v>0</v>
      </c>
      <c r="V164" s="22">
        <v>0</v>
      </c>
      <c r="W164" s="22">
        <v>0</v>
      </c>
      <c r="X164" s="22">
        <v>0</v>
      </c>
      <c r="Y164" s="22">
        <v>0</v>
      </c>
      <c r="Z164" s="22">
        <v>0</v>
      </c>
      <c r="AA164" s="22">
        <v>0</v>
      </c>
      <c r="AB164" s="22">
        <v>0</v>
      </c>
    </row>
    <row r="165" spans="1:28" x14ac:dyDescent="0.35">
      <c r="A165" s="12" t="s">
        <v>870</v>
      </c>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row>
    <row r="166" spans="1:28" x14ac:dyDescent="0.35">
      <c r="A166" s="12" t="s">
        <v>1201</v>
      </c>
      <c r="B166" s="22">
        <v>0</v>
      </c>
      <c r="C166" s="22">
        <v>0</v>
      </c>
      <c r="D166" s="22">
        <v>0</v>
      </c>
      <c r="E166" s="22">
        <v>0</v>
      </c>
      <c r="F166" s="22">
        <v>0</v>
      </c>
      <c r="G166" s="22">
        <v>0</v>
      </c>
      <c r="H166" s="22">
        <v>0</v>
      </c>
      <c r="I166" s="22">
        <v>0</v>
      </c>
      <c r="J166" s="22">
        <v>0</v>
      </c>
      <c r="K166" s="22">
        <v>0</v>
      </c>
      <c r="L166" s="22">
        <v>0</v>
      </c>
      <c r="M166" s="22">
        <v>0</v>
      </c>
      <c r="N166" s="22">
        <v>0</v>
      </c>
      <c r="O166" s="22">
        <v>0</v>
      </c>
      <c r="P166" s="22">
        <v>0</v>
      </c>
      <c r="Q166" s="22">
        <v>0</v>
      </c>
      <c r="R166" s="22">
        <v>0</v>
      </c>
      <c r="S166" s="22">
        <v>0</v>
      </c>
      <c r="T166" s="22">
        <v>0</v>
      </c>
      <c r="U166" s="22">
        <v>0</v>
      </c>
      <c r="V166" s="22">
        <v>0</v>
      </c>
      <c r="W166" s="22">
        <v>0</v>
      </c>
      <c r="X166" s="22">
        <v>0</v>
      </c>
      <c r="Y166" s="22">
        <v>0</v>
      </c>
      <c r="Z166" s="22">
        <v>0</v>
      </c>
      <c r="AA166" s="22">
        <v>0</v>
      </c>
      <c r="AB166" s="22">
        <v>0</v>
      </c>
    </row>
    <row r="167" spans="1:28" x14ac:dyDescent="0.35">
      <c r="A167" s="12" t="s">
        <v>1202</v>
      </c>
      <c r="B167" s="22">
        <v>0</v>
      </c>
      <c r="C167" s="22">
        <v>0</v>
      </c>
      <c r="D167" s="22">
        <v>0</v>
      </c>
      <c r="E167" s="22">
        <v>0</v>
      </c>
      <c r="F167" s="22">
        <v>0</v>
      </c>
      <c r="G167" s="22">
        <v>0</v>
      </c>
      <c r="H167" s="22">
        <v>0</v>
      </c>
      <c r="I167" s="22">
        <v>0</v>
      </c>
      <c r="J167" s="22">
        <v>0</v>
      </c>
      <c r="K167" s="22">
        <v>0</v>
      </c>
      <c r="L167" s="22">
        <v>0</v>
      </c>
      <c r="M167" s="22">
        <v>0</v>
      </c>
      <c r="N167" s="22">
        <v>0</v>
      </c>
      <c r="O167" s="22">
        <v>0</v>
      </c>
      <c r="P167" s="22">
        <v>0</v>
      </c>
      <c r="Q167" s="22">
        <v>0</v>
      </c>
      <c r="R167" s="22">
        <v>0</v>
      </c>
      <c r="S167" s="22">
        <v>0</v>
      </c>
      <c r="T167" s="22">
        <v>0</v>
      </c>
      <c r="U167" s="22">
        <v>0</v>
      </c>
      <c r="V167" s="22">
        <v>0</v>
      </c>
      <c r="W167" s="22">
        <v>0</v>
      </c>
      <c r="X167" s="22">
        <v>0</v>
      </c>
      <c r="Y167" s="22">
        <v>0</v>
      </c>
      <c r="Z167" s="22">
        <v>0</v>
      </c>
      <c r="AA167" s="22">
        <v>0</v>
      </c>
      <c r="AB167" s="22">
        <v>0</v>
      </c>
    </row>
    <row r="168" spans="1:28" x14ac:dyDescent="0.35">
      <c r="A168" s="12" t="s">
        <v>1203</v>
      </c>
      <c r="B168" s="22">
        <v>0</v>
      </c>
      <c r="C168" s="22">
        <v>0</v>
      </c>
      <c r="D168" s="22">
        <v>0</v>
      </c>
      <c r="E168" s="22">
        <v>0</v>
      </c>
      <c r="F168" s="22">
        <v>0</v>
      </c>
      <c r="G168" s="22">
        <v>0</v>
      </c>
      <c r="H168" s="22">
        <v>0</v>
      </c>
      <c r="I168" s="22">
        <v>0</v>
      </c>
      <c r="J168" s="22">
        <v>0</v>
      </c>
      <c r="K168" s="22">
        <v>0</v>
      </c>
      <c r="L168" s="22">
        <v>0</v>
      </c>
      <c r="M168" s="22">
        <v>0</v>
      </c>
      <c r="N168" s="22">
        <v>0</v>
      </c>
      <c r="O168" s="22">
        <v>0</v>
      </c>
      <c r="P168" s="22">
        <v>0</v>
      </c>
      <c r="Q168" s="22">
        <v>0</v>
      </c>
      <c r="R168" s="22">
        <v>0</v>
      </c>
      <c r="S168" s="22">
        <v>0</v>
      </c>
      <c r="T168" s="22">
        <v>0</v>
      </c>
      <c r="U168" s="22">
        <v>0</v>
      </c>
      <c r="V168" s="22">
        <v>0</v>
      </c>
      <c r="W168" s="22">
        <v>0</v>
      </c>
      <c r="X168" s="22">
        <v>0</v>
      </c>
      <c r="Y168" s="22">
        <v>0</v>
      </c>
      <c r="Z168" s="22">
        <v>0</v>
      </c>
      <c r="AA168" s="22">
        <v>0</v>
      </c>
      <c r="AB168" s="22">
        <v>0</v>
      </c>
    </row>
    <row r="169" spans="1:28" x14ac:dyDescent="0.35">
      <c r="A169" s="12" t="s">
        <v>1204</v>
      </c>
      <c r="B169" s="22">
        <v>0</v>
      </c>
      <c r="C169" s="22">
        <v>0</v>
      </c>
      <c r="D169" s="22">
        <v>0</v>
      </c>
      <c r="E169" s="22">
        <v>0</v>
      </c>
      <c r="F169" s="22">
        <v>0</v>
      </c>
      <c r="G169" s="22">
        <v>0</v>
      </c>
      <c r="H169" s="22">
        <v>0</v>
      </c>
      <c r="I169" s="22">
        <v>0</v>
      </c>
      <c r="J169" s="22">
        <v>0</v>
      </c>
      <c r="K169" s="22">
        <v>0</v>
      </c>
      <c r="L169" s="22">
        <v>0</v>
      </c>
      <c r="M169" s="22">
        <v>0</v>
      </c>
      <c r="N169" s="22">
        <v>0</v>
      </c>
      <c r="O169" s="22">
        <v>0</v>
      </c>
      <c r="P169" s="22">
        <v>0</v>
      </c>
      <c r="Q169" s="22">
        <v>0</v>
      </c>
      <c r="R169" s="22">
        <v>0</v>
      </c>
      <c r="S169" s="22">
        <v>0</v>
      </c>
      <c r="T169" s="22">
        <v>0</v>
      </c>
      <c r="U169" s="22">
        <v>0</v>
      </c>
      <c r="V169" s="22">
        <v>0</v>
      </c>
      <c r="W169" s="22">
        <v>0</v>
      </c>
      <c r="X169" s="22">
        <v>0</v>
      </c>
      <c r="Y169" s="22">
        <v>0</v>
      </c>
      <c r="Z169" s="22">
        <v>0</v>
      </c>
      <c r="AA169" s="22">
        <v>0</v>
      </c>
      <c r="AB169" s="22">
        <v>0</v>
      </c>
    </row>
    <row r="170" spans="1:28" x14ac:dyDescent="0.35">
      <c r="A170" s="12" t="s">
        <v>56</v>
      </c>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row>
    <row r="171" spans="1:28" x14ac:dyDescent="0.35">
      <c r="A171" s="12" t="s">
        <v>1201</v>
      </c>
      <c r="B171" s="22">
        <v>0</v>
      </c>
      <c r="C171" s="22">
        <v>0</v>
      </c>
      <c r="D171" s="22">
        <v>0</v>
      </c>
      <c r="E171" s="22">
        <v>0</v>
      </c>
      <c r="F171" s="22">
        <v>0</v>
      </c>
      <c r="G171" s="22">
        <v>0</v>
      </c>
      <c r="H171" s="22">
        <v>0</v>
      </c>
      <c r="I171" s="22">
        <v>0</v>
      </c>
      <c r="J171" s="22">
        <v>0</v>
      </c>
      <c r="K171" s="22">
        <v>0</v>
      </c>
      <c r="L171" s="22">
        <v>0</v>
      </c>
      <c r="M171" s="22">
        <v>0</v>
      </c>
      <c r="N171" s="22">
        <v>0</v>
      </c>
      <c r="O171" s="22">
        <v>0</v>
      </c>
      <c r="P171" s="22">
        <v>0</v>
      </c>
      <c r="Q171" s="22">
        <v>0</v>
      </c>
      <c r="R171" s="22">
        <v>0</v>
      </c>
      <c r="S171" s="22">
        <v>0</v>
      </c>
      <c r="T171" s="22">
        <v>0</v>
      </c>
      <c r="U171" s="22">
        <v>0</v>
      </c>
      <c r="V171" s="22">
        <v>0</v>
      </c>
      <c r="W171" s="22">
        <v>0</v>
      </c>
      <c r="X171" s="22">
        <v>0</v>
      </c>
      <c r="Y171" s="22">
        <v>0</v>
      </c>
      <c r="Z171" s="22">
        <v>0</v>
      </c>
      <c r="AA171" s="22">
        <v>0</v>
      </c>
      <c r="AB171" s="22">
        <v>0</v>
      </c>
    </row>
    <row r="172" spans="1:28" x14ac:dyDescent="0.35">
      <c r="A172" s="12" t="s">
        <v>1202</v>
      </c>
      <c r="B172" s="22">
        <v>0</v>
      </c>
      <c r="C172" s="22">
        <v>0</v>
      </c>
      <c r="D172" s="22">
        <v>0</v>
      </c>
      <c r="E172" s="22">
        <v>0</v>
      </c>
      <c r="F172" s="22">
        <v>0</v>
      </c>
      <c r="G172" s="22">
        <v>0</v>
      </c>
      <c r="H172" s="22">
        <v>0</v>
      </c>
      <c r="I172" s="22">
        <v>0</v>
      </c>
      <c r="J172" s="22">
        <v>0</v>
      </c>
      <c r="K172" s="22">
        <v>0</v>
      </c>
      <c r="L172" s="22">
        <v>0</v>
      </c>
      <c r="M172" s="22">
        <v>0</v>
      </c>
      <c r="N172" s="22">
        <v>0</v>
      </c>
      <c r="O172" s="22">
        <v>0</v>
      </c>
      <c r="P172" s="22">
        <v>0</v>
      </c>
      <c r="Q172" s="22">
        <v>0</v>
      </c>
      <c r="R172" s="22">
        <v>0</v>
      </c>
      <c r="S172" s="22">
        <v>0</v>
      </c>
      <c r="T172" s="22">
        <v>0</v>
      </c>
      <c r="U172" s="22">
        <v>0</v>
      </c>
      <c r="V172" s="22">
        <v>0</v>
      </c>
      <c r="W172" s="22">
        <v>0</v>
      </c>
      <c r="X172" s="22">
        <v>0</v>
      </c>
      <c r="Y172" s="22">
        <v>0</v>
      </c>
      <c r="Z172" s="22">
        <v>0</v>
      </c>
      <c r="AA172" s="22">
        <v>0</v>
      </c>
      <c r="AB172" s="22">
        <v>0</v>
      </c>
    </row>
    <row r="173" spans="1:28" x14ac:dyDescent="0.35">
      <c r="A173" s="12" t="s">
        <v>1203</v>
      </c>
      <c r="B173" s="22">
        <v>0</v>
      </c>
      <c r="C173" s="22">
        <v>0</v>
      </c>
      <c r="D173" s="22">
        <v>0</v>
      </c>
      <c r="E173" s="22">
        <v>0</v>
      </c>
      <c r="F173" s="22">
        <v>0</v>
      </c>
      <c r="G173" s="22">
        <v>0</v>
      </c>
      <c r="H173" s="22">
        <v>0</v>
      </c>
      <c r="I173" s="22">
        <v>0</v>
      </c>
      <c r="J173" s="22">
        <v>0</v>
      </c>
      <c r="K173" s="22">
        <v>0</v>
      </c>
      <c r="L173" s="22">
        <v>0</v>
      </c>
      <c r="M173" s="22">
        <v>0</v>
      </c>
      <c r="N173" s="22">
        <v>0</v>
      </c>
      <c r="O173" s="22">
        <v>0</v>
      </c>
      <c r="P173" s="22">
        <v>0</v>
      </c>
      <c r="Q173" s="22">
        <v>0</v>
      </c>
      <c r="R173" s="22">
        <v>0</v>
      </c>
      <c r="S173" s="22">
        <v>0</v>
      </c>
      <c r="T173" s="22">
        <v>0</v>
      </c>
      <c r="U173" s="22">
        <v>0</v>
      </c>
      <c r="V173" s="22">
        <v>0</v>
      </c>
      <c r="W173" s="22">
        <v>0</v>
      </c>
      <c r="X173" s="22">
        <v>0</v>
      </c>
      <c r="Y173" s="22">
        <v>0</v>
      </c>
      <c r="Z173" s="22">
        <v>0</v>
      </c>
      <c r="AA173" s="22">
        <v>0</v>
      </c>
      <c r="AB173" s="22">
        <v>0</v>
      </c>
    </row>
    <row r="174" spans="1:28" x14ac:dyDescent="0.35">
      <c r="A174" s="12" t="s">
        <v>1204</v>
      </c>
      <c r="B174" s="22">
        <v>0</v>
      </c>
      <c r="C174" s="22">
        <v>0</v>
      </c>
      <c r="D174" s="22">
        <v>0</v>
      </c>
      <c r="E174" s="22">
        <v>0</v>
      </c>
      <c r="F174" s="22">
        <v>0</v>
      </c>
      <c r="G174" s="22">
        <v>0</v>
      </c>
      <c r="H174" s="22">
        <v>0</v>
      </c>
      <c r="I174" s="22">
        <v>0</v>
      </c>
      <c r="J174" s="22">
        <v>0</v>
      </c>
      <c r="K174" s="22">
        <v>0</v>
      </c>
      <c r="L174" s="22">
        <v>0</v>
      </c>
      <c r="M174" s="22">
        <v>0</v>
      </c>
      <c r="N174" s="22">
        <v>0</v>
      </c>
      <c r="O174" s="22">
        <v>0</v>
      </c>
      <c r="P174" s="22">
        <v>0</v>
      </c>
      <c r="Q174" s="22">
        <v>0</v>
      </c>
      <c r="R174" s="22">
        <v>0</v>
      </c>
      <c r="S174" s="22">
        <v>0</v>
      </c>
      <c r="T174" s="22">
        <v>0</v>
      </c>
      <c r="U174" s="22">
        <v>0</v>
      </c>
      <c r="V174" s="22">
        <v>0</v>
      </c>
      <c r="W174" s="22">
        <v>0</v>
      </c>
      <c r="X174" s="22">
        <v>0</v>
      </c>
      <c r="Y174" s="22">
        <v>0</v>
      </c>
      <c r="Z174" s="22">
        <v>0</v>
      </c>
      <c r="AA174" s="22">
        <v>0</v>
      </c>
      <c r="AB174" s="22">
        <v>0</v>
      </c>
    </row>
    <row r="175" spans="1:28" x14ac:dyDescent="0.35">
      <c r="A175" s="12" t="s">
        <v>698</v>
      </c>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row>
    <row r="176" spans="1:28" x14ac:dyDescent="0.35">
      <c r="A176" s="12" t="s">
        <v>1201</v>
      </c>
      <c r="B176" s="22">
        <v>0</v>
      </c>
      <c r="C176" s="22">
        <v>0</v>
      </c>
      <c r="D176" s="22">
        <v>0</v>
      </c>
      <c r="E176" s="22">
        <v>0</v>
      </c>
      <c r="F176" s="22">
        <v>0</v>
      </c>
      <c r="G176" s="22">
        <v>0</v>
      </c>
      <c r="H176" s="22">
        <v>0</v>
      </c>
      <c r="I176" s="22">
        <v>0</v>
      </c>
      <c r="J176" s="22">
        <v>0</v>
      </c>
      <c r="K176" s="22">
        <v>0</v>
      </c>
      <c r="L176" s="22">
        <v>0</v>
      </c>
      <c r="M176" s="22">
        <v>0</v>
      </c>
      <c r="N176" s="22">
        <v>0</v>
      </c>
      <c r="O176" s="22">
        <v>0</v>
      </c>
      <c r="P176" s="22">
        <v>0</v>
      </c>
      <c r="Q176" s="22">
        <v>0</v>
      </c>
      <c r="R176" s="22">
        <v>0</v>
      </c>
      <c r="S176" s="22">
        <v>0</v>
      </c>
      <c r="T176" s="22">
        <v>0</v>
      </c>
      <c r="U176" s="22">
        <v>0</v>
      </c>
      <c r="V176" s="22">
        <v>0</v>
      </c>
      <c r="W176" s="22">
        <v>0</v>
      </c>
      <c r="X176" s="22">
        <v>0</v>
      </c>
      <c r="Y176" s="22">
        <v>0</v>
      </c>
      <c r="Z176" s="22">
        <v>0</v>
      </c>
      <c r="AA176" s="22">
        <v>0</v>
      </c>
      <c r="AB176" s="22">
        <v>0</v>
      </c>
    </row>
    <row r="177" spans="1:28" x14ac:dyDescent="0.35">
      <c r="A177" s="12" t="s">
        <v>1202</v>
      </c>
      <c r="B177" s="22">
        <v>0</v>
      </c>
      <c r="C177" s="22">
        <v>0</v>
      </c>
      <c r="D177" s="22">
        <v>0</v>
      </c>
      <c r="E177" s="22">
        <v>0</v>
      </c>
      <c r="F177" s="22">
        <v>0</v>
      </c>
      <c r="G177" s="22">
        <v>0</v>
      </c>
      <c r="H177" s="22">
        <v>0</v>
      </c>
      <c r="I177" s="22">
        <v>0</v>
      </c>
      <c r="J177" s="22">
        <v>0</v>
      </c>
      <c r="K177" s="22">
        <v>0</v>
      </c>
      <c r="L177" s="22">
        <v>0</v>
      </c>
      <c r="M177" s="22">
        <v>0</v>
      </c>
      <c r="N177" s="22">
        <v>0</v>
      </c>
      <c r="O177" s="22">
        <v>0</v>
      </c>
      <c r="P177" s="22">
        <v>0</v>
      </c>
      <c r="Q177" s="22">
        <v>0</v>
      </c>
      <c r="R177" s="22">
        <v>0</v>
      </c>
      <c r="S177" s="22">
        <v>0</v>
      </c>
      <c r="T177" s="22">
        <v>0</v>
      </c>
      <c r="U177" s="22">
        <v>0</v>
      </c>
      <c r="V177" s="22">
        <v>0</v>
      </c>
      <c r="W177" s="22">
        <v>0</v>
      </c>
      <c r="X177" s="22">
        <v>0</v>
      </c>
      <c r="Y177" s="22">
        <v>0</v>
      </c>
      <c r="Z177" s="22">
        <v>0</v>
      </c>
      <c r="AA177" s="22">
        <v>0</v>
      </c>
      <c r="AB177" s="22">
        <v>0</v>
      </c>
    </row>
    <row r="178" spans="1:28" x14ac:dyDescent="0.35">
      <c r="A178" s="12" t="s">
        <v>1203</v>
      </c>
      <c r="B178" s="22">
        <v>0</v>
      </c>
      <c r="C178" s="22">
        <v>0</v>
      </c>
      <c r="D178" s="22">
        <v>0</v>
      </c>
      <c r="E178" s="22">
        <v>0</v>
      </c>
      <c r="F178" s="22">
        <v>0</v>
      </c>
      <c r="G178" s="22">
        <v>0</v>
      </c>
      <c r="H178" s="22">
        <v>0</v>
      </c>
      <c r="I178" s="22">
        <v>0</v>
      </c>
      <c r="J178" s="22">
        <v>0</v>
      </c>
      <c r="K178" s="22">
        <v>0</v>
      </c>
      <c r="L178" s="22">
        <v>0</v>
      </c>
      <c r="M178" s="22">
        <v>0</v>
      </c>
      <c r="N178" s="22">
        <v>0</v>
      </c>
      <c r="O178" s="22">
        <v>0</v>
      </c>
      <c r="P178" s="22">
        <v>0</v>
      </c>
      <c r="Q178" s="22">
        <v>0</v>
      </c>
      <c r="R178" s="22">
        <v>0</v>
      </c>
      <c r="S178" s="22">
        <v>0</v>
      </c>
      <c r="T178" s="22">
        <v>0</v>
      </c>
      <c r="U178" s="22">
        <v>0</v>
      </c>
      <c r="V178" s="22">
        <v>0</v>
      </c>
      <c r="W178" s="22">
        <v>0</v>
      </c>
      <c r="X178" s="22">
        <v>0</v>
      </c>
      <c r="Y178" s="22">
        <v>0</v>
      </c>
      <c r="Z178" s="22">
        <v>0</v>
      </c>
      <c r="AA178" s="22">
        <v>0</v>
      </c>
      <c r="AB178" s="22">
        <v>0</v>
      </c>
    </row>
    <row r="179" spans="1:28" x14ac:dyDescent="0.35">
      <c r="A179" s="12" t="s">
        <v>1204</v>
      </c>
      <c r="B179" s="22">
        <v>0</v>
      </c>
      <c r="C179" s="22">
        <v>0</v>
      </c>
      <c r="D179" s="22">
        <v>0</v>
      </c>
      <c r="E179" s="22">
        <v>0</v>
      </c>
      <c r="F179" s="22">
        <v>0</v>
      </c>
      <c r="G179" s="22">
        <v>0</v>
      </c>
      <c r="H179" s="22">
        <v>0</v>
      </c>
      <c r="I179" s="22">
        <v>0</v>
      </c>
      <c r="J179" s="22">
        <v>0</v>
      </c>
      <c r="K179" s="22">
        <v>0</v>
      </c>
      <c r="L179" s="22">
        <v>0</v>
      </c>
      <c r="M179" s="22">
        <v>0</v>
      </c>
      <c r="N179" s="22">
        <v>0</v>
      </c>
      <c r="O179" s="22">
        <v>0</v>
      </c>
      <c r="P179" s="22">
        <v>0</v>
      </c>
      <c r="Q179" s="22">
        <v>0</v>
      </c>
      <c r="R179" s="22">
        <v>0</v>
      </c>
      <c r="S179" s="22">
        <v>0</v>
      </c>
      <c r="T179" s="22">
        <v>0</v>
      </c>
      <c r="U179" s="22">
        <v>0</v>
      </c>
      <c r="V179" s="22">
        <v>0</v>
      </c>
      <c r="W179" s="22">
        <v>0</v>
      </c>
      <c r="X179" s="22">
        <v>0</v>
      </c>
      <c r="Y179" s="22">
        <v>0</v>
      </c>
      <c r="Z179" s="22">
        <v>0</v>
      </c>
      <c r="AA179" s="22">
        <v>0</v>
      </c>
      <c r="AB179" s="22">
        <v>0</v>
      </c>
    </row>
    <row r="180" spans="1:28" x14ac:dyDescent="0.35">
      <c r="A180" s="12" t="s">
        <v>200</v>
      </c>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row>
    <row r="181" spans="1:28" x14ac:dyDescent="0.35">
      <c r="A181" s="12" t="s">
        <v>1201</v>
      </c>
      <c r="B181" s="22">
        <v>0</v>
      </c>
      <c r="C181" s="22">
        <v>0</v>
      </c>
      <c r="D181" s="22">
        <v>0</v>
      </c>
      <c r="E181" s="22">
        <v>0</v>
      </c>
      <c r="F181" s="22">
        <v>0</v>
      </c>
      <c r="G181" s="22">
        <v>0</v>
      </c>
      <c r="H181" s="22">
        <v>0</v>
      </c>
      <c r="I181" s="22">
        <v>0</v>
      </c>
      <c r="J181" s="22">
        <v>0</v>
      </c>
      <c r="K181" s="22">
        <v>0</v>
      </c>
      <c r="L181" s="22">
        <v>0</v>
      </c>
      <c r="M181" s="22">
        <v>0</v>
      </c>
      <c r="N181" s="22">
        <v>0</v>
      </c>
      <c r="O181" s="22">
        <v>0</v>
      </c>
      <c r="P181" s="22">
        <v>0</v>
      </c>
      <c r="Q181" s="22">
        <v>0</v>
      </c>
      <c r="R181" s="22">
        <v>0</v>
      </c>
      <c r="S181" s="22">
        <v>0</v>
      </c>
      <c r="T181" s="22">
        <v>0</v>
      </c>
      <c r="U181" s="22">
        <v>0</v>
      </c>
      <c r="V181" s="22">
        <v>0</v>
      </c>
      <c r="W181" s="22">
        <v>0</v>
      </c>
      <c r="X181" s="22">
        <v>0</v>
      </c>
      <c r="Y181" s="22">
        <v>0</v>
      </c>
      <c r="Z181" s="22">
        <v>0</v>
      </c>
      <c r="AA181" s="22">
        <v>0</v>
      </c>
      <c r="AB181" s="22">
        <v>0</v>
      </c>
    </row>
    <row r="182" spans="1:28" x14ac:dyDescent="0.35">
      <c r="A182" s="12" t="s">
        <v>1202</v>
      </c>
      <c r="B182" s="22">
        <v>0</v>
      </c>
      <c r="C182" s="22">
        <v>0</v>
      </c>
      <c r="D182" s="22">
        <v>0</v>
      </c>
      <c r="E182" s="22">
        <v>0</v>
      </c>
      <c r="F182" s="22">
        <v>0</v>
      </c>
      <c r="G182" s="22">
        <v>0</v>
      </c>
      <c r="H182" s="22">
        <v>0</v>
      </c>
      <c r="I182" s="22">
        <v>0</v>
      </c>
      <c r="J182" s="22">
        <v>0</v>
      </c>
      <c r="K182" s="22">
        <v>0</v>
      </c>
      <c r="L182" s="22">
        <v>0</v>
      </c>
      <c r="M182" s="22">
        <v>0</v>
      </c>
      <c r="N182" s="22">
        <v>0</v>
      </c>
      <c r="O182" s="22">
        <v>0</v>
      </c>
      <c r="P182" s="22">
        <v>0</v>
      </c>
      <c r="Q182" s="22">
        <v>0</v>
      </c>
      <c r="R182" s="22">
        <v>0</v>
      </c>
      <c r="S182" s="22">
        <v>0</v>
      </c>
      <c r="T182" s="22">
        <v>0</v>
      </c>
      <c r="U182" s="22">
        <v>0</v>
      </c>
      <c r="V182" s="22">
        <v>0</v>
      </c>
      <c r="W182" s="22">
        <v>0</v>
      </c>
      <c r="X182" s="22">
        <v>0</v>
      </c>
      <c r="Y182" s="22">
        <v>0</v>
      </c>
      <c r="Z182" s="22">
        <v>0</v>
      </c>
      <c r="AA182" s="22">
        <v>0</v>
      </c>
      <c r="AB182" s="22">
        <v>0</v>
      </c>
    </row>
    <row r="183" spans="1:28" x14ac:dyDescent="0.35">
      <c r="A183" s="12" t="s">
        <v>1203</v>
      </c>
      <c r="B183" s="22">
        <v>0</v>
      </c>
      <c r="C183" s="22">
        <v>0</v>
      </c>
      <c r="D183" s="22">
        <v>0</v>
      </c>
      <c r="E183" s="22">
        <v>0</v>
      </c>
      <c r="F183" s="22">
        <v>0</v>
      </c>
      <c r="G183" s="22">
        <v>0</v>
      </c>
      <c r="H183" s="22">
        <v>0</v>
      </c>
      <c r="I183" s="22">
        <v>0</v>
      </c>
      <c r="J183" s="22">
        <v>0</v>
      </c>
      <c r="K183" s="22">
        <v>0</v>
      </c>
      <c r="L183" s="22">
        <v>0</v>
      </c>
      <c r="M183" s="22">
        <v>0</v>
      </c>
      <c r="N183" s="22">
        <v>0</v>
      </c>
      <c r="O183" s="22">
        <v>0</v>
      </c>
      <c r="P183" s="22">
        <v>0</v>
      </c>
      <c r="Q183" s="22">
        <v>0</v>
      </c>
      <c r="R183" s="22">
        <v>0</v>
      </c>
      <c r="S183" s="22">
        <v>0</v>
      </c>
      <c r="T183" s="22">
        <v>0</v>
      </c>
      <c r="U183" s="22">
        <v>0</v>
      </c>
      <c r="V183" s="22">
        <v>0</v>
      </c>
      <c r="W183" s="22">
        <v>0</v>
      </c>
      <c r="X183" s="22">
        <v>0</v>
      </c>
      <c r="Y183" s="22">
        <v>0</v>
      </c>
      <c r="Z183" s="22">
        <v>0</v>
      </c>
      <c r="AA183" s="22">
        <v>0</v>
      </c>
      <c r="AB183" s="22">
        <v>0</v>
      </c>
    </row>
    <row r="184" spans="1:28" x14ac:dyDescent="0.35">
      <c r="A184" s="12" t="s">
        <v>1204</v>
      </c>
      <c r="B184" s="22">
        <v>0</v>
      </c>
      <c r="C184" s="22">
        <v>0</v>
      </c>
      <c r="D184" s="22">
        <v>0</v>
      </c>
      <c r="E184" s="22">
        <v>0</v>
      </c>
      <c r="F184" s="22">
        <v>0</v>
      </c>
      <c r="G184" s="22">
        <v>0</v>
      </c>
      <c r="H184" s="22">
        <v>0</v>
      </c>
      <c r="I184" s="22">
        <v>0</v>
      </c>
      <c r="J184" s="22">
        <v>0</v>
      </c>
      <c r="K184" s="22">
        <v>0</v>
      </c>
      <c r="L184" s="22">
        <v>0</v>
      </c>
      <c r="M184" s="22">
        <v>0</v>
      </c>
      <c r="N184" s="22">
        <v>0</v>
      </c>
      <c r="O184" s="22">
        <v>0</v>
      </c>
      <c r="P184" s="22">
        <v>0</v>
      </c>
      <c r="Q184" s="22">
        <v>0</v>
      </c>
      <c r="R184" s="22">
        <v>0</v>
      </c>
      <c r="S184" s="22">
        <v>0</v>
      </c>
      <c r="T184" s="22">
        <v>0</v>
      </c>
      <c r="U184" s="22">
        <v>0</v>
      </c>
      <c r="V184" s="22">
        <v>0</v>
      </c>
      <c r="W184" s="22">
        <v>0</v>
      </c>
      <c r="X184" s="22">
        <v>0</v>
      </c>
      <c r="Y184" s="22">
        <v>0</v>
      </c>
      <c r="Z184" s="22">
        <v>0</v>
      </c>
      <c r="AA184" s="22">
        <v>0</v>
      </c>
      <c r="AB184" s="22">
        <v>0</v>
      </c>
    </row>
    <row r="185" spans="1:28" x14ac:dyDescent="0.35">
      <c r="A185" s="12" t="s">
        <v>41</v>
      </c>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row>
    <row r="186" spans="1:28" x14ac:dyDescent="0.35">
      <c r="A186" s="12" t="s">
        <v>1201</v>
      </c>
      <c r="B186" s="22">
        <v>0</v>
      </c>
      <c r="C186" s="22">
        <v>0</v>
      </c>
      <c r="D186" s="22">
        <v>0</v>
      </c>
      <c r="E186" s="22">
        <v>0</v>
      </c>
      <c r="F186" s="22">
        <v>0</v>
      </c>
      <c r="G186" s="22">
        <v>0</v>
      </c>
      <c r="H186" s="22">
        <v>0</v>
      </c>
      <c r="I186" s="22">
        <v>0</v>
      </c>
      <c r="J186" s="22">
        <v>0</v>
      </c>
      <c r="K186" s="22">
        <v>0</v>
      </c>
      <c r="L186" s="22">
        <v>0</v>
      </c>
      <c r="M186" s="22">
        <v>0</v>
      </c>
      <c r="N186" s="22">
        <v>0</v>
      </c>
      <c r="O186" s="22">
        <v>0</v>
      </c>
      <c r="P186" s="22">
        <v>0</v>
      </c>
      <c r="Q186" s="22">
        <v>0</v>
      </c>
      <c r="R186" s="22">
        <v>0</v>
      </c>
      <c r="S186" s="22">
        <v>0</v>
      </c>
      <c r="T186" s="22">
        <v>0</v>
      </c>
      <c r="U186" s="22">
        <v>0</v>
      </c>
      <c r="V186" s="22">
        <v>0</v>
      </c>
      <c r="W186" s="22">
        <v>0</v>
      </c>
      <c r="X186" s="22">
        <v>0</v>
      </c>
      <c r="Y186" s="22">
        <v>0</v>
      </c>
      <c r="Z186" s="22">
        <v>0</v>
      </c>
      <c r="AA186" s="22">
        <v>0</v>
      </c>
      <c r="AB186" s="22">
        <v>0</v>
      </c>
    </row>
    <row r="187" spans="1:28" x14ac:dyDescent="0.35">
      <c r="A187" s="12" t="s">
        <v>1202</v>
      </c>
      <c r="B187" s="22">
        <v>0</v>
      </c>
      <c r="C187" s="22">
        <v>0</v>
      </c>
      <c r="D187" s="22">
        <v>0</v>
      </c>
      <c r="E187" s="22">
        <v>0</v>
      </c>
      <c r="F187" s="22">
        <v>0</v>
      </c>
      <c r="G187" s="22">
        <v>0</v>
      </c>
      <c r="H187" s="22">
        <v>0</v>
      </c>
      <c r="I187" s="22">
        <v>0</v>
      </c>
      <c r="J187" s="22">
        <v>0</v>
      </c>
      <c r="K187" s="22">
        <v>0</v>
      </c>
      <c r="L187" s="22">
        <v>0</v>
      </c>
      <c r="M187" s="22">
        <v>0</v>
      </c>
      <c r="N187" s="22">
        <v>0</v>
      </c>
      <c r="O187" s="22">
        <v>0</v>
      </c>
      <c r="P187" s="22">
        <v>0</v>
      </c>
      <c r="Q187" s="22">
        <v>0</v>
      </c>
      <c r="R187" s="22">
        <v>0</v>
      </c>
      <c r="S187" s="22">
        <v>0</v>
      </c>
      <c r="T187" s="22">
        <v>0</v>
      </c>
      <c r="U187" s="22">
        <v>0</v>
      </c>
      <c r="V187" s="22">
        <v>0</v>
      </c>
      <c r="W187" s="22">
        <v>0</v>
      </c>
      <c r="X187" s="22">
        <v>0</v>
      </c>
      <c r="Y187" s="22">
        <v>0</v>
      </c>
      <c r="Z187" s="22">
        <v>0</v>
      </c>
      <c r="AA187" s="22">
        <v>0</v>
      </c>
      <c r="AB187" s="22">
        <v>0</v>
      </c>
    </row>
    <row r="188" spans="1:28" x14ac:dyDescent="0.35">
      <c r="A188" s="12" t="s">
        <v>1203</v>
      </c>
      <c r="B188" s="22">
        <v>0</v>
      </c>
      <c r="C188" s="22">
        <v>0</v>
      </c>
      <c r="D188" s="22">
        <v>0</v>
      </c>
      <c r="E188" s="22">
        <v>0</v>
      </c>
      <c r="F188" s="22">
        <v>0</v>
      </c>
      <c r="G188" s="22">
        <v>0</v>
      </c>
      <c r="H188" s="22">
        <v>0</v>
      </c>
      <c r="I188" s="22">
        <v>0</v>
      </c>
      <c r="J188" s="22">
        <v>0</v>
      </c>
      <c r="K188" s="22">
        <v>0</v>
      </c>
      <c r="L188" s="22">
        <v>0</v>
      </c>
      <c r="M188" s="22">
        <v>0</v>
      </c>
      <c r="N188" s="22">
        <v>0</v>
      </c>
      <c r="O188" s="22">
        <v>0</v>
      </c>
      <c r="P188" s="22">
        <v>0</v>
      </c>
      <c r="Q188" s="22">
        <v>0</v>
      </c>
      <c r="R188" s="22">
        <v>0</v>
      </c>
      <c r="S188" s="22">
        <v>0</v>
      </c>
      <c r="T188" s="22">
        <v>0</v>
      </c>
      <c r="U188" s="22">
        <v>0</v>
      </c>
      <c r="V188" s="22">
        <v>0</v>
      </c>
      <c r="W188" s="22">
        <v>0</v>
      </c>
      <c r="X188" s="22">
        <v>0</v>
      </c>
      <c r="Y188" s="22">
        <v>0</v>
      </c>
      <c r="Z188" s="22">
        <v>0</v>
      </c>
      <c r="AA188" s="22">
        <v>0</v>
      </c>
      <c r="AB188" s="22">
        <v>0</v>
      </c>
    </row>
    <row r="189" spans="1:28" x14ac:dyDescent="0.35">
      <c r="A189" s="12" t="s">
        <v>1204</v>
      </c>
      <c r="B189" s="22">
        <v>0</v>
      </c>
      <c r="C189" s="22">
        <v>0</v>
      </c>
      <c r="D189" s="22">
        <v>0</v>
      </c>
      <c r="E189" s="22">
        <v>0</v>
      </c>
      <c r="F189" s="22">
        <v>0</v>
      </c>
      <c r="G189" s="22">
        <v>0</v>
      </c>
      <c r="H189" s="22">
        <v>0</v>
      </c>
      <c r="I189" s="22">
        <v>0</v>
      </c>
      <c r="J189" s="22">
        <v>0</v>
      </c>
      <c r="K189" s="22">
        <v>0</v>
      </c>
      <c r="L189" s="22">
        <v>0</v>
      </c>
      <c r="M189" s="22">
        <v>0</v>
      </c>
      <c r="N189" s="22">
        <v>0</v>
      </c>
      <c r="O189" s="22">
        <v>0</v>
      </c>
      <c r="P189" s="22">
        <v>0</v>
      </c>
      <c r="Q189" s="22">
        <v>0</v>
      </c>
      <c r="R189" s="22">
        <v>0</v>
      </c>
      <c r="S189" s="22">
        <v>0</v>
      </c>
      <c r="T189" s="22">
        <v>0</v>
      </c>
      <c r="U189" s="22">
        <v>0</v>
      </c>
      <c r="V189" s="22">
        <v>0</v>
      </c>
      <c r="W189" s="22">
        <v>0</v>
      </c>
      <c r="X189" s="22">
        <v>0</v>
      </c>
      <c r="Y189" s="22">
        <v>0</v>
      </c>
      <c r="Z189" s="22">
        <v>0</v>
      </c>
      <c r="AA189" s="22">
        <v>0</v>
      </c>
      <c r="AB189" s="22">
        <v>0</v>
      </c>
    </row>
    <row r="190" spans="1:28" x14ac:dyDescent="0.35">
      <c r="A190" s="12" t="s">
        <v>360</v>
      </c>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row>
    <row r="191" spans="1:28" x14ac:dyDescent="0.35">
      <c r="A191" s="12" t="s">
        <v>1201</v>
      </c>
      <c r="B191" s="22">
        <v>0</v>
      </c>
      <c r="C191" s="22">
        <v>0</v>
      </c>
      <c r="D191" s="22">
        <v>0</v>
      </c>
      <c r="E191" s="22">
        <v>0</v>
      </c>
      <c r="F191" s="22">
        <v>0</v>
      </c>
      <c r="G191" s="22">
        <v>0</v>
      </c>
      <c r="H191" s="22">
        <v>0</v>
      </c>
      <c r="I191" s="22">
        <v>0</v>
      </c>
      <c r="J191" s="22">
        <v>0</v>
      </c>
      <c r="K191" s="22">
        <v>0</v>
      </c>
      <c r="L191" s="22">
        <v>0</v>
      </c>
      <c r="M191" s="22">
        <v>0</v>
      </c>
      <c r="N191" s="22">
        <v>0</v>
      </c>
      <c r="O191" s="22">
        <v>0</v>
      </c>
      <c r="P191" s="22">
        <v>0</v>
      </c>
      <c r="Q191" s="22">
        <v>0</v>
      </c>
      <c r="R191" s="22">
        <v>0</v>
      </c>
      <c r="S191" s="22">
        <v>0</v>
      </c>
      <c r="T191" s="22">
        <v>0</v>
      </c>
      <c r="U191" s="22">
        <v>0</v>
      </c>
      <c r="V191" s="22">
        <v>0</v>
      </c>
      <c r="W191" s="22">
        <v>0</v>
      </c>
      <c r="X191" s="22">
        <v>0</v>
      </c>
      <c r="Y191" s="22">
        <v>0</v>
      </c>
      <c r="Z191" s="22">
        <v>0</v>
      </c>
      <c r="AA191" s="22">
        <v>0</v>
      </c>
      <c r="AB191" s="22">
        <v>0</v>
      </c>
    </row>
    <row r="192" spans="1:28" x14ac:dyDescent="0.35">
      <c r="A192" s="12" t="s">
        <v>1202</v>
      </c>
      <c r="B192" s="22">
        <v>0</v>
      </c>
      <c r="C192" s="22">
        <v>0</v>
      </c>
      <c r="D192" s="22">
        <v>0</v>
      </c>
      <c r="E192" s="22">
        <v>0</v>
      </c>
      <c r="F192" s="22">
        <v>0</v>
      </c>
      <c r="G192" s="22">
        <v>0</v>
      </c>
      <c r="H192" s="22">
        <v>0</v>
      </c>
      <c r="I192" s="22">
        <v>0</v>
      </c>
      <c r="J192" s="22">
        <v>0</v>
      </c>
      <c r="K192" s="22">
        <v>0</v>
      </c>
      <c r="L192" s="22">
        <v>0</v>
      </c>
      <c r="M192" s="22">
        <v>0</v>
      </c>
      <c r="N192" s="22">
        <v>0</v>
      </c>
      <c r="O192" s="22">
        <v>0</v>
      </c>
      <c r="P192" s="22">
        <v>0</v>
      </c>
      <c r="Q192" s="22">
        <v>0</v>
      </c>
      <c r="R192" s="22">
        <v>0</v>
      </c>
      <c r="S192" s="22">
        <v>0</v>
      </c>
      <c r="T192" s="22">
        <v>0</v>
      </c>
      <c r="U192" s="22">
        <v>0</v>
      </c>
      <c r="V192" s="22">
        <v>0</v>
      </c>
      <c r="W192" s="22">
        <v>0</v>
      </c>
      <c r="X192" s="22">
        <v>0</v>
      </c>
      <c r="Y192" s="22">
        <v>0</v>
      </c>
      <c r="Z192" s="22">
        <v>0</v>
      </c>
      <c r="AA192" s="22">
        <v>0</v>
      </c>
      <c r="AB192" s="22">
        <v>0</v>
      </c>
    </row>
    <row r="193" spans="1:28" x14ac:dyDescent="0.35">
      <c r="A193" s="12" t="s">
        <v>1203</v>
      </c>
      <c r="B193" s="22">
        <v>0</v>
      </c>
      <c r="C193" s="22">
        <v>0</v>
      </c>
      <c r="D193" s="22">
        <v>0</v>
      </c>
      <c r="E193" s="22">
        <v>0</v>
      </c>
      <c r="F193" s="22">
        <v>0</v>
      </c>
      <c r="G193" s="22">
        <v>0</v>
      </c>
      <c r="H193" s="22">
        <v>0</v>
      </c>
      <c r="I193" s="22">
        <v>0</v>
      </c>
      <c r="J193" s="22">
        <v>0</v>
      </c>
      <c r="K193" s="22">
        <v>0</v>
      </c>
      <c r="L193" s="22">
        <v>0</v>
      </c>
      <c r="M193" s="22">
        <v>0</v>
      </c>
      <c r="N193" s="22">
        <v>0</v>
      </c>
      <c r="O193" s="22">
        <v>0</v>
      </c>
      <c r="P193" s="22">
        <v>0</v>
      </c>
      <c r="Q193" s="22">
        <v>0</v>
      </c>
      <c r="R193" s="22">
        <v>0</v>
      </c>
      <c r="S193" s="22">
        <v>0</v>
      </c>
      <c r="T193" s="22">
        <v>0</v>
      </c>
      <c r="U193" s="22">
        <v>0</v>
      </c>
      <c r="V193" s="22">
        <v>0</v>
      </c>
      <c r="W193" s="22">
        <v>0</v>
      </c>
      <c r="X193" s="22">
        <v>0</v>
      </c>
      <c r="Y193" s="22">
        <v>0</v>
      </c>
      <c r="Z193" s="22">
        <v>0</v>
      </c>
      <c r="AA193" s="22">
        <v>0</v>
      </c>
      <c r="AB193" s="22">
        <v>0</v>
      </c>
    </row>
    <row r="194" spans="1:28" x14ac:dyDescent="0.35">
      <c r="A194" s="12" t="s">
        <v>1204</v>
      </c>
      <c r="B194" s="22">
        <v>0</v>
      </c>
      <c r="C194" s="22">
        <v>0</v>
      </c>
      <c r="D194" s="22">
        <v>0</v>
      </c>
      <c r="E194" s="22">
        <v>0</v>
      </c>
      <c r="F194" s="22">
        <v>0</v>
      </c>
      <c r="G194" s="22">
        <v>0</v>
      </c>
      <c r="H194" s="22">
        <v>0</v>
      </c>
      <c r="I194" s="22">
        <v>0</v>
      </c>
      <c r="J194" s="22">
        <v>0</v>
      </c>
      <c r="K194" s="22">
        <v>0</v>
      </c>
      <c r="L194" s="22">
        <v>0</v>
      </c>
      <c r="M194" s="22">
        <v>0</v>
      </c>
      <c r="N194" s="22">
        <v>0</v>
      </c>
      <c r="O194" s="22">
        <v>0</v>
      </c>
      <c r="P194" s="22">
        <v>0</v>
      </c>
      <c r="Q194" s="22">
        <v>0</v>
      </c>
      <c r="R194" s="22">
        <v>0</v>
      </c>
      <c r="S194" s="22">
        <v>0</v>
      </c>
      <c r="T194" s="22">
        <v>0</v>
      </c>
      <c r="U194" s="22">
        <v>0</v>
      </c>
      <c r="V194" s="22">
        <v>0</v>
      </c>
      <c r="W194" s="22">
        <v>0</v>
      </c>
      <c r="X194" s="22">
        <v>0</v>
      </c>
      <c r="Y194" s="22">
        <v>0</v>
      </c>
      <c r="Z194" s="22">
        <v>0</v>
      </c>
      <c r="AA194" s="22">
        <v>0</v>
      </c>
      <c r="AB194" s="22">
        <v>0</v>
      </c>
    </row>
    <row r="195" spans="1:28" x14ac:dyDescent="0.35">
      <c r="A195" s="12" t="s">
        <v>778</v>
      </c>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row>
    <row r="196" spans="1:28" x14ac:dyDescent="0.35">
      <c r="A196" s="12" t="s">
        <v>1201</v>
      </c>
      <c r="B196" s="22">
        <v>0</v>
      </c>
      <c r="C196" s="22">
        <v>0</v>
      </c>
      <c r="D196" s="22">
        <v>0</v>
      </c>
      <c r="E196" s="22">
        <v>0</v>
      </c>
      <c r="F196" s="22">
        <v>0</v>
      </c>
      <c r="G196" s="22">
        <v>0</v>
      </c>
      <c r="H196" s="22">
        <v>0</v>
      </c>
      <c r="I196" s="22">
        <v>0</v>
      </c>
      <c r="J196" s="22">
        <v>0</v>
      </c>
      <c r="K196" s="22">
        <v>0</v>
      </c>
      <c r="L196" s="22">
        <v>0</v>
      </c>
      <c r="M196" s="22">
        <v>0</v>
      </c>
      <c r="N196" s="22">
        <v>0</v>
      </c>
      <c r="O196" s="22">
        <v>0</v>
      </c>
      <c r="P196" s="22">
        <v>0</v>
      </c>
      <c r="Q196" s="22">
        <v>0</v>
      </c>
      <c r="R196" s="22">
        <v>0</v>
      </c>
      <c r="S196" s="22">
        <v>0</v>
      </c>
      <c r="T196" s="22">
        <v>0</v>
      </c>
      <c r="U196" s="22">
        <v>0</v>
      </c>
      <c r="V196" s="22">
        <v>0</v>
      </c>
      <c r="W196" s="22">
        <v>0</v>
      </c>
      <c r="X196" s="22">
        <v>0</v>
      </c>
      <c r="Y196" s="22">
        <v>0</v>
      </c>
      <c r="Z196" s="22">
        <v>0</v>
      </c>
      <c r="AA196" s="22">
        <v>0</v>
      </c>
      <c r="AB196" s="22">
        <v>0</v>
      </c>
    </row>
    <row r="197" spans="1:28" x14ac:dyDescent="0.35">
      <c r="A197" s="12" t="s">
        <v>1202</v>
      </c>
      <c r="B197" s="22">
        <v>0</v>
      </c>
      <c r="C197" s="22">
        <v>0</v>
      </c>
      <c r="D197" s="22">
        <v>0</v>
      </c>
      <c r="E197" s="22">
        <v>0</v>
      </c>
      <c r="F197" s="22">
        <v>0</v>
      </c>
      <c r="G197" s="22">
        <v>0</v>
      </c>
      <c r="H197" s="22">
        <v>0</v>
      </c>
      <c r="I197" s="22">
        <v>0</v>
      </c>
      <c r="J197" s="22">
        <v>0</v>
      </c>
      <c r="K197" s="22">
        <v>0</v>
      </c>
      <c r="L197" s="22">
        <v>0</v>
      </c>
      <c r="M197" s="22">
        <v>0</v>
      </c>
      <c r="N197" s="22">
        <v>0</v>
      </c>
      <c r="O197" s="22">
        <v>0</v>
      </c>
      <c r="P197" s="22">
        <v>0</v>
      </c>
      <c r="Q197" s="22">
        <v>0</v>
      </c>
      <c r="R197" s="22">
        <v>0</v>
      </c>
      <c r="S197" s="22">
        <v>0</v>
      </c>
      <c r="T197" s="22">
        <v>0</v>
      </c>
      <c r="U197" s="22">
        <v>0</v>
      </c>
      <c r="V197" s="22">
        <v>0</v>
      </c>
      <c r="W197" s="22">
        <v>0</v>
      </c>
      <c r="X197" s="22">
        <v>0</v>
      </c>
      <c r="Y197" s="22">
        <v>0</v>
      </c>
      <c r="Z197" s="22">
        <v>0</v>
      </c>
      <c r="AA197" s="22">
        <v>0</v>
      </c>
      <c r="AB197" s="22">
        <v>0</v>
      </c>
    </row>
    <row r="198" spans="1:28" x14ac:dyDescent="0.35">
      <c r="A198" s="12" t="s">
        <v>1203</v>
      </c>
      <c r="B198" s="22">
        <v>0</v>
      </c>
      <c r="C198" s="22">
        <v>0</v>
      </c>
      <c r="D198" s="22">
        <v>0</v>
      </c>
      <c r="E198" s="22">
        <v>0</v>
      </c>
      <c r="F198" s="22">
        <v>0</v>
      </c>
      <c r="G198" s="22">
        <v>0</v>
      </c>
      <c r="H198" s="22">
        <v>0</v>
      </c>
      <c r="I198" s="22">
        <v>0</v>
      </c>
      <c r="J198" s="22">
        <v>0</v>
      </c>
      <c r="K198" s="22">
        <v>0</v>
      </c>
      <c r="L198" s="22">
        <v>0</v>
      </c>
      <c r="M198" s="22">
        <v>0</v>
      </c>
      <c r="N198" s="22">
        <v>0</v>
      </c>
      <c r="O198" s="22">
        <v>0</v>
      </c>
      <c r="P198" s="22">
        <v>0</v>
      </c>
      <c r="Q198" s="22">
        <v>0</v>
      </c>
      <c r="R198" s="22">
        <v>0</v>
      </c>
      <c r="S198" s="22">
        <v>0</v>
      </c>
      <c r="T198" s="22">
        <v>0</v>
      </c>
      <c r="U198" s="22">
        <v>0</v>
      </c>
      <c r="V198" s="22">
        <v>0</v>
      </c>
      <c r="W198" s="22">
        <v>0</v>
      </c>
      <c r="X198" s="22">
        <v>0</v>
      </c>
      <c r="Y198" s="22">
        <v>0</v>
      </c>
      <c r="Z198" s="22">
        <v>0</v>
      </c>
      <c r="AA198" s="22">
        <v>0</v>
      </c>
      <c r="AB198" s="22">
        <v>0</v>
      </c>
    </row>
    <row r="199" spans="1:28" x14ac:dyDescent="0.35">
      <c r="A199" s="12" t="s">
        <v>1204</v>
      </c>
      <c r="B199" s="22">
        <v>0</v>
      </c>
      <c r="C199" s="22">
        <v>0</v>
      </c>
      <c r="D199" s="22">
        <v>0</v>
      </c>
      <c r="E199" s="22">
        <v>0</v>
      </c>
      <c r="F199" s="22">
        <v>0</v>
      </c>
      <c r="G199" s="22">
        <v>0</v>
      </c>
      <c r="H199" s="22">
        <v>0</v>
      </c>
      <c r="I199" s="22">
        <v>0</v>
      </c>
      <c r="J199" s="22">
        <v>0</v>
      </c>
      <c r="K199" s="22">
        <v>0</v>
      </c>
      <c r="L199" s="22">
        <v>0</v>
      </c>
      <c r="M199" s="22">
        <v>0</v>
      </c>
      <c r="N199" s="22">
        <v>0</v>
      </c>
      <c r="O199" s="22">
        <v>0</v>
      </c>
      <c r="P199" s="22">
        <v>0</v>
      </c>
      <c r="Q199" s="22">
        <v>0</v>
      </c>
      <c r="R199" s="22">
        <v>0</v>
      </c>
      <c r="S199" s="22">
        <v>0</v>
      </c>
      <c r="T199" s="22">
        <v>0</v>
      </c>
      <c r="U199" s="22">
        <v>0</v>
      </c>
      <c r="V199" s="22">
        <v>0</v>
      </c>
      <c r="W199" s="22">
        <v>0</v>
      </c>
      <c r="X199" s="22">
        <v>0</v>
      </c>
      <c r="Y199" s="22">
        <v>0</v>
      </c>
      <c r="Z199" s="22">
        <v>0</v>
      </c>
      <c r="AA199" s="22">
        <v>0</v>
      </c>
      <c r="AB199" s="22">
        <v>0</v>
      </c>
    </row>
    <row r="200" spans="1:28" x14ac:dyDescent="0.35">
      <c r="A200" s="12" t="s">
        <v>94</v>
      </c>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row>
    <row r="201" spans="1:28" x14ac:dyDescent="0.35">
      <c r="A201" s="12" t="s">
        <v>1201</v>
      </c>
      <c r="B201" s="22">
        <v>0</v>
      </c>
      <c r="C201" s="22">
        <v>0</v>
      </c>
      <c r="D201" s="22">
        <v>0</v>
      </c>
      <c r="E201" s="22">
        <v>0</v>
      </c>
      <c r="F201" s="22">
        <v>0</v>
      </c>
      <c r="G201" s="22">
        <v>0</v>
      </c>
      <c r="H201" s="22">
        <v>0</v>
      </c>
      <c r="I201" s="22">
        <v>0</v>
      </c>
      <c r="J201" s="22">
        <v>0</v>
      </c>
      <c r="K201" s="22">
        <v>0</v>
      </c>
      <c r="L201" s="22">
        <v>0</v>
      </c>
      <c r="M201" s="22">
        <v>0</v>
      </c>
      <c r="N201" s="22">
        <v>0</v>
      </c>
      <c r="O201" s="22">
        <v>0</v>
      </c>
      <c r="P201" s="22">
        <v>0</v>
      </c>
      <c r="Q201" s="22">
        <v>0</v>
      </c>
      <c r="R201" s="22">
        <v>0</v>
      </c>
      <c r="S201" s="22">
        <v>0</v>
      </c>
      <c r="T201" s="22">
        <v>0</v>
      </c>
      <c r="U201" s="22">
        <v>0</v>
      </c>
      <c r="V201" s="22">
        <v>0</v>
      </c>
      <c r="W201" s="22">
        <v>0</v>
      </c>
      <c r="X201" s="22">
        <v>0</v>
      </c>
      <c r="Y201" s="22">
        <v>0</v>
      </c>
      <c r="Z201" s="22">
        <v>0</v>
      </c>
      <c r="AA201" s="22">
        <v>0</v>
      </c>
      <c r="AB201" s="22">
        <v>0</v>
      </c>
    </row>
    <row r="202" spans="1:28" x14ac:dyDescent="0.35">
      <c r="A202" s="12" t="s">
        <v>1202</v>
      </c>
      <c r="B202" s="22">
        <v>0</v>
      </c>
      <c r="C202" s="22">
        <v>0</v>
      </c>
      <c r="D202" s="22">
        <v>0</v>
      </c>
      <c r="E202" s="22">
        <v>0</v>
      </c>
      <c r="F202" s="22">
        <v>0</v>
      </c>
      <c r="G202" s="22">
        <v>0</v>
      </c>
      <c r="H202" s="22">
        <v>0</v>
      </c>
      <c r="I202" s="22">
        <v>0</v>
      </c>
      <c r="J202" s="22">
        <v>0</v>
      </c>
      <c r="K202" s="22">
        <v>0</v>
      </c>
      <c r="L202" s="22">
        <v>0</v>
      </c>
      <c r="M202" s="22">
        <v>0</v>
      </c>
      <c r="N202" s="22">
        <v>0</v>
      </c>
      <c r="O202" s="22">
        <v>0</v>
      </c>
      <c r="P202" s="22">
        <v>0</v>
      </c>
      <c r="Q202" s="22">
        <v>0</v>
      </c>
      <c r="R202" s="22">
        <v>0</v>
      </c>
      <c r="S202" s="22">
        <v>0</v>
      </c>
      <c r="T202" s="22">
        <v>0</v>
      </c>
      <c r="U202" s="22">
        <v>0</v>
      </c>
      <c r="V202" s="22">
        <v>0</v>
      </c>
      <c r="W202" s="22">
        <v>0</v>
      </c>
      <c r="X202" s="22">
        <v>0</v>
      </c>
      <c r="Y202" s="22">
        <v>0</v>
      </c>
      <c r="Z202" s="22">
        <v>0</v>
      </c>
      <c r="AA202" s="22">
        <v>0</v>
      </c>
      <c r="AB202" s="22">
        <v>0</v>
      </c>
    </row>
    <row r="203" spans="1:28" x14ac:dyDescent="0.35">
      <c r="A203" s="12" t="s">
        <v>1203</v>
      </c>
      <c r="B203" s="22">
        <v>0</v>
      </c>
      <c r="C203" s="22">
        <v>0</v>
      </c>
      <c r="D203" s="22">
        <v>0</v>
      </c>
      <c r="E203" s="22">
        <v>0</v>
      </c>
      <c r="F203" s="22">
        <v>0</v>
      </c>
      <c r="G203" s="22">
        <v>0</v>
      </c>
      <c r="H203" s="22">
        <v>0</v>
      </c>
      <c r="I203" s="22">
        <v>0</v>
      </c>
      <c r="J203" s="22">
        <v>0</v>
      </c>
      <c r="K203" s="22">
        <v>0</v>
      </c>
      <c r="L203" s="22">
        <v>0</v>
      </c>
      <c r="M203" s="22">
        <v>0</v>
      </c>
      <c r="N203" s="22">
        <v>0</v>
      </c>
      <c r="O203" s="22">
        <v>0</v>
      </c>
      <c r="P203" s="22">
        <v>0</v>
      </c>
      <c r="Q203" s="22">
        <v>0</v>
      </c>
      <c r="R203" s="22">
        <v>0</v>
      </c>
      <c r="S203" s="22">
        <v>0</v>
      </c>
      <c r="T203" s="22">
        <v>0</v>
      </c>
      <c r="U203" s="22">
        <v>0</v>
      </c>
      <c r="V203" s="22">
        <v>0</v>
      </c>
      <c r="W203" s="22">
        <v>0</v>
      </c>
      <c r="X203" s="22">
        <v>0</v>
      </c>
      <c r="Y203" s="22">
        <v>0</v>
      </c>
      <c r="Z203" s="22">
        <v>0</v>
      </c>
      <c r="AA203" s="22">
        <v>0</v>
      </c>
      <c r="AB203" s="22">
        <v>0</v>
      </c>
    </row>
    <row r="204" spans="1:28" x14ac:dyDescent="0.35">
      <c r="A204" s="12" t="s">
        <v>1204</v>
      </c>
      <c r="B204" s="22">
        <v>0</v>
      </c>
      <c r="C204" s="22">
        <v>0</v>
      </c>
      <c r="D204" s="22">
        <v>0</v>
      </c>
      <c r="E204" s="22">
        <v>0</v>
      </c>
      <c r="F204" s="22">
        <v>0</v>
      </c>
      <c r="G204" s="22">
        <v>0</v>
      </c>
      <c r="H204" s="22">
        <v>0</v>
      </c>
      <c r="I204" s="22">
        <v>0</v>
      </c>
      <c r="J204" s="22">
        <v>0</v>
      </c>
      <c r="K204" s="22">
        <v>0</v>
      </c>
      <c r="L204" s="22">
        <v>0</v>
      </c>
      <c r="M204" s="22">
        <v>0</v>
      </c>
      <c r="N204" s="22">
        <v>0</v>
      </c>
      <c r="O204" s="22">
        <v>0</v>
      </c>
      <c r="P204" s="22">
        <v>0</v>
      </c>
      <c r="Q204" s="22">
        <v>0</v>
      </c>
      <c r="R204" s="22">
        <v>0</v>
      </c>
      <c r="S204" s="22">
        <v>0</v>
      </c>
      <c r="T204" s="22">
        <v>0</v>
      </c>
      <c r="U204" s="22">
        <v>0</v>
      </c>
      <c r="V204" s="22">
        <v>0</v>
      </c>
      <c r="W204" s="22">
        <v>0</v>
      </c>
      <c r="X204" s="22">
        <v>0</v>
      </c>
      <c r="Y204" s="22">
        <v>0</v>
      </c>
      <c r="Z204" s="22">
        <v>0</v>
      </c>
      <c r="AA204" s="22">
        <v>0</v>
      </c>
      <c r="AB204" s="22">
        <v>0</v>
      </c>
    </row>
    <row r="205" spans="1:28" x14ac:dyDescent="0.35">
      <c r="A205" s="12" t="s">
        <v>1109</v>
      </c>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row>
    <row r="206" spans="1:28" x14ac:dyDescent="0.35">
      <c r="A206" s="12" t="s">
        <v>1201</v>
      </c>
      <c r="B206" s="22">
        <v>0</v>
      </c>
      <c r="C206" s="22">
        <v>0</v>
      </c>
      <c r="D206" s="22">
        <v>0</v>
      </c>
      <c r="E206" s="22">
        <v>0</v>
      </c>
      <c r="F206" s="22">
        <v>0</v>
      </c>
      <c r="G206" s="22">
        <v>0</v>
      </c>
      <c r="H206" s="22">
        <v>0</v>
      </c>
      <c r="I206" s="22">
        <v>0</v>
      </c>
      <c r="J206" s="22">
        <v>0</v>
      </c>
      <c r="K206" s="22">
        <v>0</v>
      </c>
      <c r="L206" s="22">
        <v>0</v>
      </c>
      <c r="M206" s="22">
        <v>0</v>
      </c>
      <c r="N206" s="22">
        <v>0</v>
      </c>
      <c r="O206" s="22">
        <v>0</v>
      </c>
      <c r="P206" s="22">
        <v>0</v>
      </c>
      <c r="Q206" s="22">
        <v>0</v>
      </c>
      <c r="R206" s="22">
        <v>0</v>
      </c>
      <c r="S206" s="22">
        <v>0</v>
      </c>
      <c r="T206" s="22">
        <v>0</v>
      </c>
      <c r="U206" s="22">
        <v>0</v>
      </c>
      <c r="V206" s="22">
        <v>0</v>
      </c>
      <c r="W206" s="22">
        <v>0</v>
      </c>
      <c r="X206" s="22">
        <v>0</v>
      </c>
      <c r="Y206" s="22">
        <v>0</v>
      </c>
      <c r="Z206" s="22">
        <v>0</v>
      </c>
      <c r="AA206" s="22">
        <v>0</v>
      </c>
      <c r="AB206" s="22">
        <v>0</v>
      </c>
    </row>
    <row r="207" spans="1:28" x14ac:dyDescent="0.35">
      <c r="A207" s="12" t="s">
        <v>1202</v>
      </c>
      <c r="B207" s="22">
        <v>0</v>
      </c>
      <c r="C207" s="22">
        <v>0</v>
      </c>
      <c r="D207" s="22">
        <v>0</v>
      </c>
      <c r="E207" s="22">
        <v>0</v>
      </c>
      <c r="F207" s="22">
        <v>0</v>
      </c>
      <c r="G207" s="22">
        <v>0</v>
      </c>
      <c r="H207" s="22">
        <v>0</v>
      </c>
      <c r="I207" s="22">
        <v>0</v>
      </c>
      <c r="J207" s="22">
        <v>0</v>
      </c>
      <c r="K207" s="22">
        <v>0</v>
      </c>
      <c r="L207" s="22">
        <v>0</v>
      </c>
      <c r="M207" s="22">
        <v>0</v>
      </c>
      <c r="N207" s="22">
        <v>0</v>
      </c>
      <c r="O207" s="22">
        <v>0</v>
      </c>
      <c r="P207" s="22">
        <v>0</v>
      </c>
      <c r="Q207" s="22">
        <v>0</v>
      </c>
      <c r="R207" s="22">
        <v>0</v>
      </c>
      <c r="S207" s="22">
        <v>0</v>
      </c>
      <c r="T207" s="22">
        <v>0</v>
      </c>
      <c r="U207" s="22">
        <v>0</v>
      </c>
      <c r="V207" s="22">
        <v>0</v>
      </c>
      <c r="W207" s="22">
        <v>0</v>
      </c>
      <c r="X207" s="22">
        <v>0</v>
      </c>
      <c r="Y207" s="22">
        <v>0</v>
      </c>
      <c r="Z207" s="22">
        <v>0</v>
      </c>
      <c r="AA207" s="22">
        <v>0</v>
      </c>
      <c r="AB207" s="22">
        <v>0</v>
      </c>
    </row>
    <row r="208" spans="1:28" x14ac:dyDescent="0.35">
      <c r="A208" s="12" t="s">
        <v>1203</v>
      </c>
      <c r="B208" s="22">
        <v>0</v>
      </c>
      <c r="C208" s="22">
        <v>0</v>
      </c>
      <c r="D208" s="22">
        <v>0</v>
      </c>
      <c r="E208" s="22">
        <v>0</v>
      </c>
      <c r="F208" s="22">
        <v>0</v>
      </c>
      <c r="G208" s="22">
        <v>0</v>
      </c>
      <c r="H208" s="22">
        <v>0</v>
      </c>
      <c r="I208" s="22">
        <v>0</v>
      </c>
      <c r="J208" s="22">
        <v>0</v>
      </c>
      <c r="K208" s="22">
        <v>0</v>
      </c>
      <c r="L208" s="22">
        <v>0</v>
      </c>
      <c r="M208" s="22">
        <v>0</v>
      </c>
      <c r="N208" s="22">
        <v>0</v>
      </c>
      <c r="O208" s="22">
        <v>0</v>
      </c>
      <c r="P208" s="22">
        <v>0</v>
      </c>
      <c r="Q208" s="22">
        <v>0</v>
      </c>
      <c r="R208" s="22">
        <v>0</v>
      </c>
      <c r="S208" s="22">
        <v>0</v>
      </c>
      <c r="T208" s="22">
        <v>0</v>
      </c>
      <c r="U208" s="22">
        <v>0</v>
      </c>
      <c r="V208" s="22">
        <v>0</v>
      </c>
      <c r="W208" s="22">
        <v>0</v>
      </c>
      <c r="X208" s="22">
        <v>0</v>
      </c>
      <c r="Y208" s="22">
        <v>0</v>
      </c>
      <c r="Z208" s="22">
        <v>0</v>
      </c>
      <c r="AA208" s="22">
        <v>0</v>
      </c>
      <c r="AB208" s="22">
        <v>0</v>
      </c>
    </row>
    <row r="209" spans="1:28" x14ac:dyDescent="0.35">
      <c r="A209" s="12" t="s">
        <v>1204</v>
      </c>
      <c r="B209" s="22">
        <v>0</v>
      </c>
      <c r="C209" s="22">
        <v>0</v>
      </c>
      <c r="D209" s="22">
        <v>0</v>
      </c>
      <c r="E209" s="22">
        <v>0</v>
      </c>
      <c r="F209" s="22">
        <v>0</v>
      </c>
      <c r="G209" s="22">
        <v>0</v>
      </c>
      <c r="H209" s="22">
        <v>0</v>
      </c>
      <c r="I209" s="22">
        <v>0</v>
      </c>
      <c r="J209" s="22">
        <v>0</v>
      </c>
      <c r="K209" s="22">
        <v>0</v>
      </c>
      <c r="L209" s="22">
        <v>0</v>
      </c>
      <c r="M209" s="22">
        <v>0</v>
      </c>
      <c r="N209" s="22">
        <v>0</v>
      </c>
      <c r="O209" s="22">
        <v>0</v>
      </c>
      <c r="P209" s="22">
        <v>0</v>
      </c>
      <c r="Q209" s="22">
        <v>0</v>
      </c>
      <c r="R209" s="22">
        <v>0</v>
      </c>
      <c r="S209" s="22">
        <v>0</v>
      </c>
      <c r="T209" s="22">
        <v>0</v>
      </c>
      <c r="U209" s="22">
        <v>0</v>
      </c>
      <c r="V209" s="22">
        <v>0</v>
      </c>
      <c r="W209" s="22">
        <v>0</v>
      </c>
      <c r="X209" s="22">
        <v>0</v>
      </c>
      <c r="Y209" s="22">
        <v>0</v>
      </c>
      <c r="Z209" s="22">
        <v>0</v>
      </c>
      <c r="AA209" s="22">
        <v>0</v>
      </c>
      <c r="AB209" s="22">
        <v>0</v>
      </c>
    </row>
    <row r="210" spans="1:28" x14ac:dyDescent="0.35">
      <c r="A210" s="12" t="s">
        <v>114</v>
      </c>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row>
    <row r="211" spans="1:28" x14ac:dyDescent="0.35">
      <c r="A211" s="12" t="s">
        <v>1201</v>
      </c>
      <c r="B211" s="22">
        <v>0</v>
      </c>
      <c r="C211" s="22">
        <v>0</v>
      </c>
      <c r="D211" s="22">
        <v>0</v>
      </c>
      <c r="E211" s="22">
        <v>0</v>
      </c>
      <c r="F211" s="22">
        <v>0</v>
      </c>
      <c r="G211" s="22">
        <v>0</v>
      </c>
      <c r="H211" s="22">
        <v>0</v>
      </c>
      <c r="I211" s="22">
        <v>0</v>
      </c>
      <c r="J211" s="22">
        <v>0</v>
      </c>
      <c r="K211" s="22">
        <v>0</v>
      </c>
      <c r="L211" s="22">
        <v>0</v>
      </c>
      <c r="M211" s="22">
        <v>0</v>
      </c>
      <c r="N211" s="22">
        <v>0</v>
      </c>
      <c r="O211" s="22">
        <v>0</v>
      </c>
      <c r="P211" s="22">
        <v>0</v>
      </c>
      <c r="Q211" s="22">
        <v>0</v>
      </c>
      <c r="R211" s="22">
        <v>0</v>
      </c>
      <c r="S211" s="22">
        <v>0</v>
      </c>
      <c r="T211" s="22">
        <v>0</v>
      </c>
      <c r="U211" s="22">
        <v>0</v>
      </c>
      <c r="V211" s="22">
        <v>0</v>
      </c>
      <c r="W211" s="22">
        <v>0</v>
      </c>
      <c r="X211" s="22">
        <v>0</v>
      </c>
      <c r="Y211" s="22">
        <v>0</v>
      </c>
      <c r="Z211" s="22">
        <v>0</v>
      </c>
      <c r="AA211" s="22">
        <v>0</v>
      </c>
      <c r="AB211" s="22">
        <v>0</v>
      </c>
    </row>
    <row r="212" spans="1:28" x14ac:dyDescent="0.35">
      <c r="A212" s="12" t="s">
        <v>1202</v>
      </c>
      <c r="B212" s="22">
        <v>0</v>
      </c>
      <c r="C212" s="22">
        <v>0</v>
      </c>
      <c r="D212" s="22">
        <v>0</v>
      </c>
      <c r="E212" s="22">
        <v>0</v>
      </c>
      <c r="F212" s="22">
        <v>0</v>
      </c>
      <c r="G212" s="22">
        <v>0</v>
      </c>
      <c r="H212" s="22">
        <v>0</v>
      </c>
      <c r="I212" s="22">
        <v>0</v>
      </c>
      <c r="J212" s="22">
        <v>0</v>
      </c>
      <c r="K212" s="22">
        <v>0</v>
      </c>
      <c r="L212" s="22">
        <v>0</v>
      </c>
      <c r="M212" s="22">
        <v>0</v>
      </c>
      <c r="N212" s="22">
        <v>0</v>
      </c>
      <c r="O212" s="22">
        <v>0</v>
      </c>
      <c r="P212" s="22">
        <v>0</v>
      </c>
      <c r="Q212" s="22">
        <v>0</v>
      </c>
      <c r="R212" s="22">
        <v>0</v>
      </c>
      <c r="S212" s="22">
        <v>0</v>
      </c>
      <c r="T212" s="22">
        <v>0</v>
      </c>
      <c r="U212" s="22">
        <v>0</v>
      </c>
      <c r="V212" s="22">
        <v>0</v>
      </c>
      <c r="W212" s="22">
        <v>0</v>
      </c>
      <c r="X212" s="22">
        <v>0</v>
      </c>
      <c r="Y212" s="22">
        <v>0</v>
      </c>
      <c r="Z212" s="22">
        <v>0</v>
      </c>
      <c r="AA212" s="22">
        <v>0</v>
      </c>
      <c r="AB212" s="22">
        <v>0</v>
      </c>
    </row>
    <row r="213" spans="1:28" x14ac:dyDescent="0.35">
      <c r="A213" s="12" t="s">
        <v>1203</v>
      </c>
      <c r="B213" s="22">
        <v>0</v>
      </c>
      <c r="C213" s="22">
        <v>0</v>
      </c>
      <c r="D213" s="22">
        <v>0</v>
      </c>
      <c r="E213" s="22">
        <v>0</v>
      </c>
      <c r="F213" s="22">
        <v>0</v>
      </c>
      <c r="G213" s="22">
        <v>0</v>
      </c>
      <c r="H213" s="22">
        <v>0</v>
      </c>
      <c r="I213" s="22">
        <v>0</v>
      </c>
      <c r="J213" s="22">
        <v>0</v>
      </c>
      <c r="K213" s="22">
        <v>0</v>
      </c>
      <c r="L213" s="22">
        <v>0</v>
      </c>
      <c r="M213" s="22">
        <v>0</v>
      </c>
      <c r="N213" s="22">
        <v>0</v>
      </c>
      <c r="O213" s="22">
        <v>0</v>
      </c>
      <c r="P213" s="22">
        <v>0</v>
      </c>
      <c r="Q213" s="22">
        <v>0</v>
      </c>
      <c r="R213" s="22">
        <v>0</v>
      </c>
      <c r="S213" s="22">
        <v>0</v>
      </c>
      <c r="T213" s="22">
        <v>0</v>
      </c>
      <c r="U213" s="22">
        <v>0</v>
      </c>
      <c r="V213" s="22">
        <v>0</v>
      </c>
      <c r="W213" s="22">
        <v>0</v>
      </c>
      <c r="X213" s="22">
        <v>0</v>
      </c>
      <c r="Y213" s="22">
        <v>0</v>
      </c>
      <c r="Z213" s="22">
        <v>0</v>
      </c>
      <c r="AA213" s="22">
        <v>0</v>
      </c>
      <c r="AB213" s="22">
        <v>0</v>
      </c>
    </row>
    <row r="214" spans="1:28" x14ac:dyDescent="0.35">
      <c r="A214" s="12" t="s">
        <v>1204</v>
      </c>
      <c r="B214" s="22">
        <v>0</v>
      </c>
      <c r="C214" s="22">
        <v>0</v>
      </c>
      <c r="D214" s="22">
        <v>0</v>
      </c>
      <c r="E214" s="22">
        <v>0</v>
      </c>
      <c r="F214" s="22">
        <v>0</v>
      </c>
      <c r="G214" s="22">
        <v>0</v>
      </c>
      <c r="H214" s="22">
        <v>0</v>
      </c>
      <c r="I214" s="22">
        <v>0</v>
      </c>
      <c r="J214" s="22">
        <v>0</v>
      </c>
      <c r="K214" s="22">
        <v>0</v>
      </c>
      <c r="L214" s="22">
        <v>0</v>
      </c>
      <c r="M214" s="22">
        <v>0</v>
      </c>
      <c r="N214" s="22">
        <v>0</v>
      </c>
      <c r="O214" s="22">
        <v>0</v>
      </c>
      <c r="P214" s="22">
        <v>0</v>
      </c>
      <c r="Q214" s="22">
        <v>0</v>
      </c>
      <c r="R214" s="22">
        <v>0</v>
      </c>
      <c r="S214" s="22">
        <v>0</v>
      </c>
      <c r="T214" s="22">
        <v>0</v>
      </c>
      <c r="U214" s="22">
        <v>0</v>
      </c>
      <c r="V214" s="22">
        <v>0</v>
      </c>
      <c r="W214" s="22">
        <v>0</v>
      </c>
      <c r="X214" s="22">
        <v>0</v>
      </c>
      <c r="Y214" s="22">
        <v>0</v>
      </c>
      <c r="Z214" s="22">
        <v>0</v>
      </c>
      <c r="AA214" s="22">
        <v>0</v>
      </c>
      <c r="AB214" s="22">
        <v>0</v>
      </c>
    </row>
    <row r="215" spans="1:28" x14ac:dyDescent="0.35">
      <c r="A215" s="12" t="s">
        <v>161</v>
      </c>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row>
    <row r="216" spans="1:28" x14ac:dyDescent="0.35">
      <c r="A216" s="12" t="s">
        <v>1201</v>
      </c>
      <c r="B216" s="22">
        <v>0</v>
      </c>
      <c r="C216" s="22">
        <v>0</v>
      </c>
      <c r="D216" s="22">
        <v>0</v>
      </c>
      <c r="E216" s="22">
        <v>0</v>
      </c>
      <c r="F216" s="22">
        <v>0</v>
      </c>
      <c r="G216" s="22">
        <v>0</v>
      </c>
      <c r="H216" s="22">
        <v>0</v>
      </c>
      <c r="I216" s="22">
        <v>0</v>
      </c>
      <c r="J216" s="22">
        <v>0</v>
      </c>
      <c r="K216" s="22">
        <v>0</v>
      </c>
      <c r="L216" s="22">
        <v>0</v>
      </c>
      <c r="M216" s="22">
        <v>0</v>
      </c>
      <c r="N216" s="22">
        <v>0</v>
      </c>
      <c r="O216" s="22">
        <v>0</v>
      </c>
      <c r="P216" s="22">
        <v>0</v>
      </c>
      <c r="Q216" s="22">
        <v>0</v>
      </c>
      <c r="R216" s="22">
        <v>0</v>
      </c>
      <c r="S216" s="22">
        <v>0</v>
      </c>
      <c r="T216" s="22">
        <v>0</v>
      </c>
      <c r="U216" s="22">
        <v>0</v>
      </c>
      <c r="V216" s="22">
        <v>0</v>
      </c>
      <c r="W216" s="22">
        <v>0</v>
      </c>
      <c r="X216" s="22">
        <v>0</v>
      </c>
      <c r="Y216" s="22">
        <v>0</v>
      </c>
      <c r="Z216" s="22">
        <v>0</v>
      </c>
      <c r="AA216" s="22">
        <v>0</v>
      </c>
      <c r="AB216" s="22">
        <v>0</v>
      </c>
    </row>
    <row r="217" spans="1:28" x14ac:dyDescent="0.35">
      <c r="A217" s="12" t="s">
        <v>1202</v>
      </c>
      <c r="B217" s="22">
        <v>0</v>
      </c>
      <c r="C217" s="22">
        <v>0</v>
      </c>
      <c r="D217" s="22">
        <v>0</v>
      </c>
      <c r="E217" s="22">
        <v>0</v>
      </c>
      <c r="F217" s="22">
        <v>0</v>
      </c>
      <c r="G217" s="22">
        <v>0</v>
      </c>
      <c r="H217" s="22">
        <v>0</v>
      </c>
      <c r="I217" s="22">
        <v>0</v>
      </c>
      <c r="J217" s="22">
        <v>0</v>
      </c>
      <c r="K217" s="22">
        <v>0</v>
      </c>
      <c r="L217" s="22">
        <v>0</v>
      </c>
      <c r="M217" s="22">
        <v>0</v>
      </c>
      <c r="N217" s="22">
        <v>0</v>
      </c>
      <c r="O217" s="22">
        <v>0</v>
      </c>
      <c r="P217" s="22">
        <v>0</v>
      </c>
      <c r="Q217" s="22">
        <v>0</v>
      </c>
      <c r="R217" s="22">
        <v>0</v>
      </c>
      <c r="S217" s="22">
        <v>0</v>
      </c>
      <c r="T217" s="22">
        <v>0</v>
      </c>
      <c r="U217" s="22">
        <v>0</v>
      </c>
      <c r="V217" s="22">
        <v>0</v>
      </c>
      <c r="W217" s="22">
        <v>0</v>
      </c>
      <c r="X217" s="22">
        <v>0</v>
      </c>
      <c r="Y217" s="22">
        <v>0</v>
      </c>
      <c r="Z217" s="22">
        <v>0</v>
      </c>
      <c r="AA217" s="22">
        <v>0</v>
      </c>
      <c r="AB217" s="22">
        <v>0</v>
      </c>
    </row>
    <row r="218" spans="1:28" x14ac:dyDescent="0.35">
      <c r="A218" s="12" t="s">
        <v>1203</v>
      </c>
      <c r="B218" s="22">
        <v>0</v>
      </c>
      <c r="C218" s="22">
        <v>0</v>
      </c>
      <c r="D218" s="22">
        <v>0</v>
      </c>
      <c r="E218" s="22">
        <v>0</v>
      </c>
      <c r="F218" s="22">
        <v>0</v>
      </c>
      <c r="G218" s="22">
        <v>0</v>
      </c>
      <c r="H218" s="22">
        <v>0</v>
      </c>
      <c r="I218" s="22">
        <v>0</v>
      </c>
      <c r="J218" s="22">
        <v>0</v>
      </c>
      <c r="K218" s="22">
        <v>0</v>
      </c>
      <c r="L218" s="22">
        <v>0</v>
      </c>
      <c r="M218" s="22">
        <v>0</v>
      </c>
      <c r="N218" s="22">
        <v>0</v>
      </c>
      <c r="O218" s="22">
        <v>0</v>
      </c>
      <c r="P218" s="22">
        <v>0</v>
      </c>
      <c r="Q218" s="22">
        <v>0</v>
      </c>
      <c r="R218" s="22">
        <v>0</v>
      </c>
      <c r="S218" s="22">
        <v>0</v>
      </c>
      <c r="T218" s="22">
        <v>0</v>
      </c>
      <c r="U218" s="22">
        <v>0</v>
      </c>
      <c r="V218" s="22">
        <v>0</v>
      </c>
      <c r="W218" s="22">
        <v>0</v>
      </c>
      <c r="X218" s="22">
        <v>0</v>
      </c>
      <c r="Y218" s="22">
        <v>0</v>
      </c>
      <c r="Z218" s="22">
        <v>0</v>
      </c>
      <c r="AA218" s="22">
        <v>0</v>
      </c>
      <c r="AB218" s="22">
        <v>0</v>
      </c>
    </row>
    <row r="219" spans="1:28" x14ac:dyDescent="0.35">
      <c r="A219" s="12" t="s">
        <v>1204</v>
      </c>
      <c r="B219" s="22">
        <v>0</v>
      </c>
      <c r="C219" s="22">
        <v>0</v>
      </c>
      <c r="D219" s="22">
        <v>0</v>
      </c>
      <c r="E219" s="22">
        <v>0</v>
      </c>
      <c r="F219" s="22">
        <v>0</v>
      </c>
      <c r="G219" s="22">
        <v>0</v>
      </c>
      <c r="H219" s="22">
        <v>0</v>
      </c>
      <c r="I219" s="22">
        <v>0</v>
      </c>
      <c r="J219" s="22">
        <v>0</v>
      </c>
      <c r="K219" s="22">
        <v>0</v>
      </c>
      <c r="L219" s="22">
        <v>0</v>
      </c>
      <c r="M219" s="22">
        <v>0</v>
      </c>
      <c r="N219" s="22">
        <v>0</v>
      </c>
      <c r="O219" s="22">
        <v>0</v>
      </c>
      <c r="P219" s="22">
        <v>0</v>
      </c>
      <c r="Q219" s="22">
        <v>0</v>
      </c>
      <c r="R219" s="22">
        <v>0</v>
      </c>
      <c r="S219" s="22">
        <v>0</v>
      </c>
      <c r="T219" s="22">
        <v>0</v>
      </c>
      <c r="U219" s="22">
        <v>0</v>
      </c>
      <c r="V219" s="22">
        <v>0</v>
      </c>
      <c r="W219" s="22">
        <v>0</v>
      </c>
      <c r="X219" s="22">
        <v>0</v>
      </c>
      <c r="Y219" s="22">
        <v>0</v>
      </c>
      <c r="Z219" s="22">
        <v>0</v>
      </c>
      <c r="AA219" s="22">
        <v>0</v>
      </c>
      <c r="AB219" s="22">
        <v>0</v>
      </c>
    </row>
    <row r="220" spans="1:28" x14ac:dyDescent="0.35">
      <c r="A220" s="12" t="s">
        <v>90</v>
      </c>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row>
    <row r="221" spans="1:28" x14ac:dyDescent="0.35">
      <c r="A221" s="12" t="s">
        <v>1201</v>
      </c>
      <c r="B221" s="22">
        <v>0</v>
      </c>
      <c r="C221" s="22">
        <v>0</v>
      </c>
      <c r="D221" s="22">
        <v>0</v>
      </c>
      <c r="E221" s="22">
        <v>0</v>
      </c>
      <c r="F221" s="22">
        <v>0</v>
      </c>
      <c r="G221" s="22">
        <v>0</v>
      </c>
      <c r="H221" s="22">
        <v>0</v>
      </c>
      <c r="I221" s="22">
        <v>0</v>
      </c>
      <c r="J221" s="22">
        <v>0</v>
      </c>
      <c r="K221" s="22">
        <v>0</v>
      </c>
      <c r="L221" s="22">
        <v>0</v>
      </c>
      <c r="M221" s="22">
        <v>0</v>
      </c>
      <c r="N221" s="22">
        <v>0</v>
      </c>
      <c r="O221" s="22">
        <v>0</v>
      </c>
      <c r="P221" s="22">
        <v>0</v>
      </c>
      <c r="Q221" s="22">
        <v>0</v>
      </c>
      <c r="R221" s="22">
        <v>0</v>
      </c>
      <c r="S221" s="22">
        <v>0</v>
      </c>
      <c r="T221" s="22">
        <v>0</v>
      </c>
      <c r="U221" s="22">
        <v>0</v>
      </c>
      <c r="V221" s="22">
        <v>0</v>
      </c>
      <c r="W221" s="22">
        <v>0</v>
      </c>
      <c r="X221" s="22">
        <v>0</v>
      </c>
      <c r="Y221" s="22">
        <v>0</v>
      </c>
      <c r="Z221" s="22">
        <v>0</v>
      </c>
      <c r="AA221" s="22">
        <v>0</v>
      </c>
      <c r="AB221" s="22">
        <v>0</v>
      </c>
    </row>
    <row r="222" spans="1:28" x14ac:dyDescent="0.35">
      <c r="A222" s="12" t="s">
        <v>1202</v>
      </c>
      <c r="B222" s="22">
        <v>0</v>
      </c>
      <c r="C222" s="22">
        <v>0</v>
      </c>
      <c r="D222" s="22">
        <v>0</v>
      </c>
      <c r="E222" s="22">
        <v>0</v>
      </c>
      <c r="F222" s="22">
        <v>0</v>
      </c>
      <c r="G222" s="22">
        <v>0</v>
      </c>
      <c r="H222" s="22">
        <v>0</v>
      </c>
      <c r="I222" s="22">
        <v>0</v>
      </c>
      <c r="J222" s="22">
        <v>0</v>
      </c>
      <c r="K222" s="22">
        <v>0</v>
      </c>
      <c r="L222" s="22">
        <v>0</v>
      </c>
      <c r="M222" s="22">
        <v>0</v>
      </c>
      <c r="N222" s="22">
        <v>0</v>
      </c>
      <c r="O222" s="22">
        <v>0</v>
      </c>
      <c r="P222" s="22">
        <v>0</v>
      </c>
      <c r="Q222" s="22">
        <v>0</v>
      </c>
      <c r="R222" s="22">
        <v>0</v>
      </c>
      <c r="S222" s="22">
        <v>0</v>
      </c>
      <c r="T222" s="22">
        <v>0</v>
      </c>
      <c r="U222" s="22">
        <v>0</v>
      </c>
      <c r="V222" s="22">
        <v>0</v>
      </c>
      <c r="W222" s="22">
        <v>0</v>
      </c>
      <c r="X222" s="22">
        <v>0</v>
      </c>
      <c r="Y222" s="22">
        <v>0</v>
      </c>
      <c r="Z222" s="22">
        <v>0</v>
      </c>
      <c r="AA222" s="22">
        <v>0</v>
      </c>
      <c r="AB222" s="22">
        <v>0</v>
      </c>
    </row>
    <row r="223" spans="1:28" x14ac:dyDescent="0.35">
      <c r="A223" s="12" t="s">
        <v>1203</v>
      </c>
      <c r="B223" s="22">
        <v>0</v>
      </c>
      <c r="C223" s="22">
        <v>0</v>
      </c>
      <c r="D223" s="22">
        <v>0</v>
      </c>
      <c r="E223" s="22">
        <v>0</v>
      </c>
      <c r="F223" s="22">
        <v>0</v>
      </c>
      <c r="G223" s="22">
        <v>0</v>
      </c>
      <c r="H223" s="22">
        <v>0</v>
      </c>
      <c r="I223" s="22">
        <v>0</v>
      </c>
      <c r="J223" s="22">
        <v>0</v>
      </c>
      <c r="K223" s="22">
        <v>0</v>
      </c>
      <c r="L223" s="22">
        <v>0</v>
      </c>
      <c r="M223" s="22">
        <v>0</v>
      </c>
      <c r="N223" s="22">
        <v>0</v>
      </c>
      <c r="O223" s="22">
        <v>0</v>
      </c>
      <c r="P223" s="22">
        <v>0</v>
      </c>
      <c r="Q223" s="22">
        <v>0</v>
      </c>
      <c r="R223" s="22">
        <v>0</v>
      </c>
      <c r="S223" s="22">
        <v>0</v>
      </c>
      <c r="T223" s="22">
        <v>0</v>
      </c>
      <c r="U223" s="22">
        <v>0</v>
      </c>
      <c r="V223" s="22">
        <v>0</v>
      </c>
      <c r="W223" s="22">
        <v>0</v>
      </c>
      <c r="X223" s="22">
        <v>0</v>
      </c>
      <c r="Y223" s="22">
        <v>0</v>
      </c>
      <c r="Z223" s="22">
        <v>0</v>
      </c>
      <c r="AA223" s="22">
        <v>0</v>
      </c>
      <c r="AB223" s="22">
        <v>0</v>
      </c>
    </row>
    <row r="224" spans="1:28" x14ac:dyDescent="0.35">
      <c r="A224" s="12" t="s">
        <v>1204</v>
      </c>
      <c r="B224" s="22">
        <v>0</v>
      </c>
      <c r="C224" s="22">
        <v>0</v>
      </c>
      <c r="D224" s="22">
        <v>0</v>
      </c>
      <c r="E224" s="22">
        <v>0</v>
      </c>
      <c r="F224" s="22">
        <v>0</v>
      </c>
      <c r="G224" s="22">
        <v>0</v>
      </c>
      <c r="H224" s="22">
        <v>0</v>
      </c>
      <c r="I224" s="22">
        <v>0</v>
      </c>
      <c r="J224" s="22">
        <v>0</v>
      </c>
      <c r="K224" s="22">
        <v>0</v>
      </c>
      <c r="L224" s="22">
        <v>0</v>
      </c>
      <c r="M224" s="22">
        <v>0</v>
      </c>
      <c r="N224" s="22">
        <v>0</v>
      </c>
      <c r="O224" s="22">
        <v>0</v>
      </c>
      <c r="P224" s="22">
        <v>0</v>
      </c>
      <c r="Q224" s="22">
        <v>0</v>
      </c>
      <c r="R224" s="22">
        <v>0</v>
      </c>
      <c r="S224" s="22">
        <v>0</v>
      </c>
      <c r="T224" s="22">
        <v>0</v>
      </c>
      <c r="U224" s="22">
        <v>0</v>
      </c>
      <c r="V224" s="22">
        <v>0</v>
      </c>
      <c r="W224" s="22">
        <v>0</v>
      </c>
      <c r="X224" s="22">
        <v>0</v>
      </c>
      <c r="Y224" s="22">
        <v>0</v>
      </c>
      <c r="Z224" s="22">
        <v>0</v>
      </c>
      <c r="AA224" s="22">
        <v>0</v>
      </c>
      <c r="AB224" s="22">
        <v>0</v>
      </c>
    </row>
    <row r="225" spans="1:28" x14ac:dyDescent="0.35">
      <c r="A225" s="12" t="s">
        <v>69</v>
      </c>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row>
    <row r="226" spans="1:28" x14ac:dyDescent="0.35">
      <c r="A226" s="12" t="s">
        <v>1201</v>
      </c>
      <c r="B226" s="22">
        <v>0</v>
      </c>
      <c r="C226" s="22">
        <v>0</v>
      </c>
      <c r="D226" s="22">
        <v>0</v>
      </c>
      <c r="E226" s="22">
        <v>0</v>
      </c>
      <c r="F226" s="22">
        <v>0</v>
      </c>
      <c r="G226" s="22">
        <v>0</v>
      </c>
      <c r="H226" s="22">
        <v>0</v>
      </c>
      <c r="I226" s="22">
        <v>0</v>
      </c>
      <c r="J226" s="22">
        <v>0</v>
      </c>
      <c r="K226" s="22">
        <v>0</v>
      </c>
      <c r="L226" s="22">
        <v>0</v>
      </c>
      <c r="M226" s="22">
        <v>0</v>
      </c>
      <c r="N226" s="22">
        <v>0</v>
      </c>
      <c r="O226" s="22">
        <v>0</v>
      </c>
      <c r="P226" s="22">
        <v>0</v>
      </c>
      <c r="Q226" s="22">
        <v>0</v>
      </c>
      <c r="R226" s="22">
        <v>0</v>
      </c>
      <c r="S226" s="22">
        <v>0</v>
      </c>
      <c r="T226" s="22">
        <v>0</v>
      </c>
      <c r="U226" s="22">
        <v>0</v>
      </c>
      <c r="V226" s="22">
        <v>0</v>
      </c>
      <c r="W226" s="22">
        <v>0</v>
      </c>
      <c r="X226" s="22">
        <v>0</v>
      </c>
      <c r="Y226" s="22">
        <v>0</v>
      </c>
      <c r="Z226" s="22">
        <v>0</v>
      </c>
      <c r="AA226" s="22">
        <v>0</v>
      </c>
      <c r="AB226" s="22">
        <v>0</v>
      </c>
    </row>
    <row r="227" spans="1:28" x14ac:dyDescent="0.35">
      <c r="A227" s="12" t="s">
        <v>1202</v>
      </c>
      <c r="B227" s="22">
        <v>0</v>
      </c>
      <c r="C227" s="22">
        <v>0</v>
      </c>
      <c r="D227" s="22">
        <v>0</v>
      </c>
      <c r="E227" s="22">
        <v>0</v>
      </c>
      <c r="F227" s="22">
        <v>0</v>
      </c>
      <c r="G227" s="22">
        <v>0</v>
      </c>
      <c r="H227" s="22">
        <v>0</v>
      </c>
      <c r="I227" s="22">
        <v>0</v>
      </c>
      <c r="J227" s="22">
        <v>0</v>
      </c>
      <c r="K227" s="22">
        <v>0</v>
      </c>
      <c r="L227" s="22">
        <v>0</v>
      </c>
      <c r="M227" s="22">
        <v>0</v>
      </c>
      <c r="N227" s="22">
        <v>0</v>
      </c>
      <c r="O227" s="22">
        <v>0</v>
      </c>
      <c r="P227" s="22">
        <v>0</v>
      </c>
      <c r="Q227" s="22">
        <v>0</v>
      </c>
      <c r="R227" s="22">
        <v>0</v>
      </c>
      <c r="S227" s="22">
        <v>0</v>
      </c>
      <c r="T227" s="22">
        <v>0</v>
      </c>
      <c r="U227" s="22">
        <v>0</v>
      </c>
      <c r="V227" s="22">
        <v>0</v>
      </c>
      <c r="W227" s="22">
        <v>0</v>
      </c>
      <c r="X227" s="22">
        <v>0</v>
      </c>
      <c r="Y227" s="22">
        <v>0</v>
      </c>
      <c r="Z227" s="22">
        <v>0</v>
      </c>
      <c r="AA227" s="22">
        <v>0</v>
      </c>
      <c r="AB227" s="22">
        <v>0</v>
      </c>
    </row>
    <row r="228" spans="1:28" x14ac:dyDescent="0.35">
      <c r="A228" s="12" t="s">
        <v>1203</v>
      </c>
      <c r="B228" s="22">
        <v>0</v>
      </c>
      <c r="C228" s="22">
        <v>0</v>
      </c>
      <c r="D228" s="22">
        <v>0</v>
      </c>
      <c r="E228" s="22">
        <v>0</v>
      </c>
      <c r="F228" s="22">
        <v>0</v>
      </c>
      <c r="G228" s="22">
        <v>0</v>
      </c>
      <c r="H228" s="22">
        <v>0</v>
      </c>
      <c r="I228" s="22">
        <v>0</v>
      </c>
      <c r="J228" s="22">
        <v>0</v>
      </c>
      <c r="K228" s="22">
        <v>0</v>
      </c>
      <c r="L228" s="22">
        <v>0</v>
      </c>
      <c r="M228" s="22">
        <v>0</v>
      </c>
      <c r="N228" s="22">
        <v>0</v>
      </c>
      <c r="O228" s="22">
        <v>0</v>
      </c>
      <c r="P228" s="22">
        <v>0</v>
      </c>
      <c r="Q228" s="22">
        <v>0</v>
      </c>
      <c r="R228" s="22">
        <v>0</v>
      </c>
      <c r="S228" s="22">
        <v>0</v>
      </c>
      <c r="T228" s="22">
        <v>0</v>
      </c>
      <c r="U228" s="22">
        <v>0</v>
      </c>
      <c r="V228" s="22">
        <v>0</v>
      </c>
      <c r="W228" s="22">
        <v>0</v>
      </c>
      <c r="X228" s="22">
        <v>0</v>
      </c>
      <c r="Y228" s="22">
        <v>0</v>
      </c>
      <c r="Z228" s="22">
        <v>0</v>
      </c>
      <c r="AA228" s="22">
        <v>0</v>
      </c>
      <c r="AB228" s="22">
        <v>0</v>
      </c>
    </row>
    <row r="229" spans="1:28" x14ac:dyDescent="0.35">
      <c r="A229" s="12" t="s">
        <v>1204</v>
      </c>
      <c r="B229" s="22">
        <v>0</v>
      </c>
      <c r="C229" s="22">
        <v>0</v>
      </c>
      <c r="D229" s="22">
        <v>0</v>
      </c>
      <c r="E229" s="22">
        <v>0</v>
      </c>
      <c r="F229" s="22">
        <v>0</v>
      </c>
      <c r="G229" s="22">
        <v>0</v>
      </c>
      <c r="H229" s="22">
        <v>0</v>
      </c>
      <c r="I229" s="22">
        <v>0</v>
      </c>
      <c r="J229" s="22">
        <v>0</v>
      </c>
      <c r="K229" s="22">
        <v>0</v>
      </c>
      <c r="L229" s="22">
        <v>0</v>
      </c>
      <c r="M229" s="22">
        <v>0</v>
      </c>
      <c r="N229" s="22">
        <v>0</v>
      </c>
      <c r="O229" s="22">
        <v>0</v>
      </c>
      <c r="P229" s="22">
        <v>0</v>
      </c>
      <c r="Q229" s="22">
        <v>0</v>
      </c>
      <c r="R229" s="22">
        <v>0</v>
      </c>
      <c r="S229" s="22">
        <v>0</v>
      </c>
      <c r="T229" s="22">
        <v>0</v>
      </c>
      <c r="U229" s="22">
        <v>0</v>
      </c>
      <c r="V229" s="22">
        <v>0</v>
      </c>
      <c r="W229" s="22">
        <v>0</v>
      </c>
      <c r="X229" s="22">
        <v>0</v>
      </c>
      <c r="Y229" s="22">
        <v>0</v>
      </c>
      <c r="Z229" s="22">
        <v>0</v>
      </c>
      <c r="AA229" s="22">
        <v>0</v>
      </c>
      <c r="AB229" s="22">
        <v>0</v>
      </c>
    </row>
    <row r="230" spans="1:28" x14ac:dyDescent="0.35">
      <c r="A230" s="12" t="s">
        <v>712</v>
      </c>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row>
    <row r="231" spans="1:28" x14ac:dyDescent="0.35">
      <c r="A231" s="12" t="s">
        <v>1201</v>
      </c>
      <c r="B231" s="22">
        <v>0</v>
      </c>
      <c r="C231" s="22">
        <v>0</v>
      </c>
      <c r="D231" s="22">
        <v>0</v>
      </c>
      <c r="E231" s="22">
        <v>0</v>
      </c>
      <c r="F231" s="22">
        <v>0</v>
      </c>
      <c r="G231" s="22">
        <v>0</v>
      </c>
      <c r="H231" s="22">
        <v>0</v>
      </c>
      <c r="I231" s="22">
        <v>0</v>
      </c>
      <c r="J231" s="22">
        <v>0</v>
      </c>
      <c r="K231" s="22">
        <v>0</v>
      </c>
      <c r="L231" s="22">
        <v>0</v>
      </c>
      <c r="M231" s="22">
        <v>0</v>
      </c>
      <c r="N231" s="22">
        <v>0</v>
      </c>
      <c r="O231" s="22">
        <v>0</v>
      </c>
      <c r="P231" s="22">
        <v>0</v>
      </c>
      <c r="Q231" s="22">
        <v>0</v>
      </c>
      <c r="R231" s="22">
        <v>0</v>
      </c>
      <c r="S231" s="22">
        <v>0</v>
      </c>
      <c r="T231" s="22">
        <v>0</v>
      </c>
      <c r="U231" s="22">
        <v>0</v>
      </c>
      <c r="V231" s="22">
        <v>0</v>
      </c>
      <c r="W231" s="22">
        <v>0</v>
      </c>
      <c r="X231" s="22">
        <v>0</v>
      </c>
      <c r="Y231" s="22">
        <v>0</v>
      </c>
      <c r="Z231" s="22">
        <v>0</v>
      </c>
      <c r="AA231" s="22">
        <v>0</v>
      </c>
      <c r="AB231" s="22">
        <v>0</v>
      </c>
    </row>
    <row r="232" spans="1:28" x14ac:dyDescent="0.35">
      <c r="A232" s="12" t="s">
        <v>1202</v>
      </c>
      <c r="B232" s="22">
        <v>0</v>
      </c>
      <c r="C232" s="22">
        <v>0</v>
      </c>
      <c r="D232" s="22">
        <v>0</v>
      </c>
      <c r="E232" s="22">
        <v>0</v>
      </c>
      <c r="F232" s="22">
        <v>0</v>
      </c>
      <c r="G232" s="22">
        <v>0</v>
      </c>
      <c r="H232" s="22">
        <v>0</v>
      </c>
      <c r="I232" s="22">
        <v>0</v>
      </c>
      <c r="J232" s="22">
        <v>0</v>
      </c>
      <c r="K232" s="22">
        <v>0</v>
      </c>
      <c r="L232" s="22">
        <v>0</v>
      </c>
      <c r="M232" s="22">
        <v>0</v>
      </c>
      <c r="N232" s="22">
        <v>0</v>
      </c>
      <c r="O232" s="22">
        <v>0</v>
      </c>
      <c r="P232" s="22">
        <v>0</v>
      </c>
      <c r="Q232" s="22">
        <v>0</v>
      </c>
      <c r="R232" s="22">
        <v>0</v>
      </c>
      <c r="S232" s="22">
        <v>0</v>
      </c>
      <c r="T232" s="22">
        <v>0</v>
      </c>
      <c r="U232" s="22">
        <v>0</v>
      </c>
      <c r="V232" s="22">
        <v>0</v>
      </c>
      <c r="W232" s="22">
        <v>0</v>
      </c>
      <c r="X232" s="22">
        <v>0</v>
      </c>
      <c r="Y232" s="22">
        <v>0</v>
      </c>
      <c r="Z232" s="22">
        <v>0</v>
      </c>
      <c r="AA232" s="22">
        <v>0</v>
      </c>
      <c r="AB232" s="22">
        <v>0</v>
      </c>
    </row>
    <row r="233" spans="1:28" x14ac:dyDescent="0.35">
      <c r="A233" s="12" t="s">
        <v>1203</v>
      </c>
      <c r="B233" s="22">
        <v>0</v>
      </c>
      <c r="C233" s="22">
        <v>0</v>
      </c>
      <c r="D233" s="22">
        <v>0</v>
      </c>
      <c r="E233" s="22">
        <v>0</v>
      </c>
      <c r="F233" s="22">
        <v>0</v>
      </c>
      <c r="G233" s="22">
        <v>0</v>
      </c>
      <c r="H233" s="22">
        <v>0</v>
      </c>
      <c r="I233" s="22">
        <v>0</v>
      </c>
      <c r="J233" s="22">
        <v>0</v>
      </c>
      <c r="K233" s="22">
        <v>0</v>
      </c>
      <c r="L233" s="22">
        <v>0</v>
      </c>
      <c r="M233" s="22">
        <v>0</v>
      </c>
      <c r="N233" s="22">
        <v>0</v>
      </c>
      <c r="O233" s="22">
        <v>0</v>
      </c>
      <c r="P233" s="22">
        <v>0</v>
      </c>
      <c r="Q233" s="22">
        <v>0</v>
      </c>
      <c r="R233" s="22">
        <v>0</v>
      </c>
      <c r="S233" s="22">
        <v>0</v>
      </c>
      <c r="T233" s="22">
        <v>0</v>
      </c>
      <c r="U233" s="22">
        <v>0</v>
      </c>
      <c r="V233" s="22">
        <v>0</v>
      </c>
      <c r="W233" s="22">
        <v>0</v>
      </c>
      <c r="X233" s="22">
        <v>0</v>
      </c>
      <c r="Y233" s="22">
        <v>0</v>
      </c>
      <c r="Z233" s="22">
        <v>0</v>
      </c>
      <c r="AA233" s="22">
        <v>0</v>
      </c>
      <c r="AB233" s="22">
        <v>0</v>
      </c>
    </row>
    <row r="234" spans="1:28" x14ac:dyDescent="0.35">
      <c r="A234" s="12" t="s">
        <v>1204</v>
      </c>
      <c r="B234" s="22">
        <v>0</v>
      </c>
      <c r="C234" s="22">
        <v>0</v>
      </c>
      <c r="D234" s="22">
        <v>0</v>
      </c>
      <c r="E234" s="22">
        <v>0</v>
      </c>
      <c r="F234" s="22">
        <v>0</v>
      </c>
      <c r="G234" s="22">
        <v>0</v>
      </c>
      <c r="H234" s="22">
        <v>0</v>
      </c>
      <c r="I234" s="22">
        <v>0</v>
      </c>
      <c r="J234" s="22">
        <v>0</v>
      </c>
      <c r="K234" s="22">
        <v>0</v>
      </c>
      <c r="L234" s="22">
        <v>0</v>
      </c>
      <c r="M234" s="22">
        <v>0</v>
      </c>
      <c r="N234" s="22">
        <v>0</v>
      </c>
      <c r="O234" s="22">
        <v>0</v>
      </c>
      <c r="P234" s="22">
        <v>0</v>
      </c>
      <c r="Q234" s="22">
        <v>0</v>
      </c>
      <c r="R234" s="22">
        <v>0</v>
      </c>
      <c r="S234" s="22">
        <v>0</v>
      </c>
      <c r="T234" s="22">
        <v>0</v>
      </c>
      <c r="U234" s="22">
        <v>0</v>
      </c>
      <c r="V234" s="22">
        <v>0</v>
      </c>
      <c r="W234" s="22">
        <v>0</v>
      </c>
      <c r="X234" s="22">
        <v>0</v>
      </c>
      <c r="Y234" s="22">
        <v>0</v>
      </c>
      <c r="Z234" s="22">
        <v>0</v>
      </c>
      <c r="AA234" s="22">
        <v>0</v>
      </c>
      <c r="AB234" s="22">
        <v>0</v>
      </c>
    </row>
    <row r="235" spans="1:28" x14ac:dyDescent="0.35">
      <c r="A235" s="12" t="s">
        <v>33</v>
      </c>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row>
    <row r="236" spans="1:28" x14ac:dyDescent="0.35">
      <c r="A236" s="12" t="s">
        <v>1201</v>
      </c>
      <c r="B236" s="22">
        <v>0</v>
      </c>
      <c r="C236" s="22">
        <v>0</v>
      </c>
      <c r="D236" s="22">
        <v>0</v>
      </c>
      <c r="E236" s="22">
        <v>0</v>
      </c>
      <c r="F236" s="22">
        <v>0</v>
      </c>
      <c r="G236" s="22">
        <v>0</v>
      </c>
      <c r="H236" s="22">
        <v>0</v>
      </c>
      <c r="I236" s="22">
        <v>0</v>
      </c>
      <c r="J236" s="22">
        <v>0</v>
      </c>
      <c r="K236" s="22">
        <v>0</v>
      </c>
      <c r="L236" s="22">
        <v>0</v>
      </c>
      <c r="M236" s="22">
        <v>0</v>
      </c>
      <c r="N236" s="22">
        <v>0</v>
      </c>
      <c r="O236" s="22">
        <v>0</v>
      </c>
      <c r="P236" s="22">
        <v>0</v>
      </c>
      <c r="Q236" s="22">
        <v>0</v>
      </c>
      <c r="R236" s="22">
        <v>0</v>
      </c>
      <c r="S236" s="22">
        <v>0</v>
      </c>
      <c r="T236" s="22">
        <v>0</v>
      </c>
      <c r="U236" s="22">
        <v>0</v>
      </c>
      <c r="V236" s="22">
        <v>0</v>
      </c>
      <c r="W236" s="22">
        <v>0</v>
      </c>
      <c r="X236" s="22">
        <v>0</v>
      </c>
      <c r="Y236" s="22">
        <v>0</v>
      </c>
      <c r="Z236" s="22">
        <v>0</v>
      </c>
      <c r="AA236" s="22">
        <v>0</v>
      </c>
      <c r="AB236" s="22">
        <v>0</v>
      </c>
    </row>
    <row r="237" spans="1:28" x14ac:dyDescent="0.35">
      <c r="A237" s="12" t="s">
        <v>1202</v>
      </c>
      <c r="B237" s="22">
        <v>0</v>
      </c>
      <c r="C237" s="22">
        <v>0</v>
      </c>
      <c r="D237" s="22">
        <v>0</v>
      </c>
      <c r="E237" s="22">
        <v>0</v>
      </c>
      <c r="F237" s="22">
        <v>0</v>
      </c>
      <c r="G237" s="22">
        <v>0</v>
      </c>
      <c r="H237" s="22">
        <v>0</v>
      </c>
      <c r="I237" s="22">
        <v>0</v>
      </c>
      <c r="J237" s="22">
        <v>0</v>
      </c>
      <c r="K237" s="22">
        <v>0</v>
      </c>
      <c r="L237" s="22">
        <v>0</v>
      </c>
      <c r="M237" s="22">
        <v>0</v>
      </c>
      <c r="N237" s="22">
        <v>0</v>
      </c>
      <c r="O237" s="22">
        <v>0</v>
      </c>
      <c r="P237" s="22">
        <v>0</v>
      </c>
      <c r="Q237" s="22">
        <v>0</v>
      </c>
      <c r="R237" s="22">
        <v>0</v>
      </c>
      <c r="S237" s="22">
        <v>0</v>
      </c>
      <c r="T237" s="22">
        <v>0</v>
      </c>
      <c r="U237" s="22">
        <v>0</v>
      </c>
      <c r="V237" s="22">
        <v>0</v>
      </c>
      <c r="W237" s="22">
        <v>0</v>
      </c>
      <c r="X237" s="22">
        <v>0</v>
      </c>
      <c r="Y237" s="22">
        <v>0</v>
      </c>
      <c r="Z237" s="22">
        <v>0</v>
      </c>
      <c r="AA237" s="22">
        <v>0</v>
      </c>
      <c r="AB237" s="22">
        <v>0</v>
      </c>
    </row>
    <row r="238" spans="1:28" x14ac:dyDescent="0.35">
      <c r="A238" s="12" t="s">
        <v>1203</v>
      </c>
      <c r="B238" s="22">
        <v>0</v>
      </c>
      <c r="C238" s="22">
        <v>0</v>
      </c>
      <c r="D238" s="22">
        <v>0</v>
      </c>
      <c r="E238" s="22">
        <v>0</v>
      </c>
      <c r="F238" s="22">
        <v>0</v>
      </c>
      <c r="G238" s="22">
        <v>0</v>
      </c>
      <c r="H238" s="22">
        <v>0</v>
      </c>
      <c r="I238" s="22">
        <v>0</v>
      </c>
      <c r="J238" s="22">
        <v>0</v>
      </c>
      <c r="K238" s="22">
        <v>0</v>
      </c>
      <c r="L238" s="22">
        <v>0</v>
      </c>
      <c r="M238" s="22">
        <v>0</v>
      </c>
      <c r="N238" s="22">
        <v>0</v>
      </c>
      <c r="O238" s="22">
        <v>0</v>
      </c>
      <c r="P238" s="22">
        <v>0</v>
      </c>
      <c r="Q238" s="22">
        <v>0</v>
      </c>
      <c r="R238" s="22">
        <v>0</v>
      </c>
      <c r="S238" s="22">
        <v>0</v>
      </c>
      <c r="T238" s="22">
        <v>0</v>
      </c>
      <c r="U238" s="22">
        <v>0</v>
      </c>
      <c r="V238" s="22">
        <v>0</v>
      </c>
      <c r="W238" s="22">
        <v>0</v>
      </c>
      <c r="X238" s="22">
        <v>0</v>
      </c>
      <c r="Y238" s="22">
        <v>0</v>
      </c>
      <c r="Z238" s="22">
        <v>0</v>
      </c>
      <c r="AA238" s="22">
        <v>0</v>
      </c>
      <c r="AB238" s="22">
        <v>0</v>
      </c>
    </row>
    <row r="239" spans="1:28" x14ac:dyDescent="0.35">
      <c r="A239" s="12" t="s">
        <v>1204</v>
      </c>
      <c r="B239" s="22">
        <v>0</v>
      </c>
      <c r="C239" s="22">
        <v>0</v>
      </c>
      <c r="D239" s="22">
        <v>0</v>
      </c>
      <c r="E239" s="22">
        <v>0</v>
      </c>
      <c r="F239" s="22">
        <v>0</v>
      </c>
      <c r="G239" s="22">
        <v>0</v>
      </c>
      <c r="H239" s="22">
        <v>0</v>
      </c>
      <c r="I239" s="22">
        <v>0</v>
      </c>
      <c r="J239" s="22">
        <v>0</v>
      </c>
      <c r="K239" s="22">
        <v>0</v>
      </c>
      <c r="L239" s="22">
        <v>0</v>
      </c>
      <c r="M239" s="22">
        <v>0</v>
      </c>
      <c r="N239" s="22">
        <v>0</v>
      </c>
      <c r="O239" s="22">
        <v>0</v>
      </c>
      <c r="P239" s="22">
        <v>0</v>
      </c>
      <c r="Q239" s="22">
        <v>0</v>
      </c>
      <c r="R239" s="22">
        <v>0</v>
      </c>
      <c r="S239" s="22">
        <v>0</v>
      </c>
      <c r="T239" s="22">
        <v>0</v>
      </c>
      <c r="U239" s="22">
        <v>0</v>
      </c>
      <c r="V239" s="22">
        <v>0</v>
      </c>
      <c r="W239" s="22">
        <v>0</v>
      </c>
      <c r="X239" s="22">
        <v>0</v>
      </c>
      <c r="Y239" s="22">
        <v>0</v>
      </c>
      <c r="Z239" s="22">
        <v>0</v>
      </c>
      <c r="AA239" s="22">
        <v>0</v>
      </c>
      <c r="AB239" s="22">
        <v>0</v>
      </c>
    </row>
    <row r="240" spans="1:28" x14ac:dyDescent="0.35">
      <c r="A240" s="12" t="s">
        <v>421</v>
      </c>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row>
    <row r="241" spans="1:28" x14ac:dyDescent="0.35">
      <c r="A241" s="12" t="s">
        <v>1201</v>
      </c>
      <c r="B241" s="22">
        <v>0</v>
      </c>
      <c r="C241" s="22">
        <v>0</v>
      </c>
      <c r="D241" s="22">
        <v>0</v>
      </c>
      <c r="E241" s="22">
        <v>0</v>
      </c>
      <c r="F241" s="22">
        <v>0</v>
      </c>
      <c r="G241" s="22">
        <v>0</v>
      </c>
      <c r="H241" s="22">
        <v>0</v>
      </c>
      <c r="I241" s="22">
        <v>0</v>
      </c>
      <c r="J241" s="22">
        <v>0</v>
      </c>
      <c r="K241" s="22">
        <v>0</v>
      </c>
      <c r="L241" s="22">
        <v>0</v>
      </c>
      <c r="M241" s="22">
        <v>0</v>
      </c>
      <c r="N241" s="22">
        <v>0</v>
      </c>
      <c r="O241" s="22">
        <v>0</v>
      </c>
      <c r="P241" s="22">
        <v>0</v>
      </c>
      <c r="Q241" s="22">
        <v>0</v>
      </c>
      <c r="R241" s="22">
        <v>0</v>
      </c>
      <c r="S241" s="22">
        <v>0</v>
      </c>
      <c r="T241" s="22">
        <v>0</v>
      </c>
      <c r="U241" s="22">
        <v>0</v>
      </c>
      <c r="V241" s="22">
        <v>0</v>
      </c>
      <c r="W241" s="22">
        <v>0</v>
      </c>
      <c r="X241" s="22">
        <v>0</v>
      </c>
      <c r="Y241" s="22">
        <v>0</v>
      </c>
      <c r="Z241" s="22">
        <v>0</v>
      </c>
      <c r="AA241" s="22">
        <v>0</v>
      </c>
      <c r="AB241" s="22">
        <v>0</v>
      </c>
    </row>
    <row r="242" spans="1:28" x14ac:dyDescent="0.35">
      <c r="A242" s="12" t="s">
        <v>1202</v>
      </c>
      <c r="B242" s="22">
        <v>0</v>
      </c>
      <c r="C242" s="22">
        <v>0</v>
      </c>
      <c r="D242" s="22">
        <v>0</v>
      </c>
      <c r="E242" s="22">
        <v>0</v>
      </c>
      <c r="F242" s="22">
        <v>0</v>
      </c>
      <c r="G242" s="22">
        <v>0</v>
      </c>
      <c r="H242" s="22">
        <v>0</v>
      </c>
      <c r="I242" s="22">
        <v>0</v>
      </c>
      <c r="J242" s="22">
        <v>0</v>
      </c>
      <c r="K242" s="22">
        <v>0</v>
      </c>
      <c r="L242" s="22">
        <v>0</v>
      </c>
      <c r="M242" s="22">
        <v>0</v>
      </c>
      <c r="N242" s="22">
        <v>0</v>
      </c>
      <c r="O242" s="22">
        <v>0</v>
      </c>
      <c r="P242" s="22">
        <v>0</v>
      </c>
      <c r="Q242" s="22">
        <v>0</v>
      </c>
      <c r="R242" s="22">
        <v>0</v>
      </c>
      <c r="S242" s="22">
        <v>0</v>
      </c>
      <c r="T242" s="22">
        <v>0</v>
      </c>
      <c r="U242" s="22">
        <v>0</v>
      </c>
      <c r="V242" s="22">
        <v>0</v>
      </c>
      <c r="W242" s="22">
        <v>0</v>
      </c>
      <c r="X242" s="22">
        <v>0</v>
      </c>
      <c r="Y242" s="22">
        <v>0</v>
      </c>
      <c r="Z242" s="22">
        <v>0</v>
      </c>
      <c r="AA242" s="22">
        <v>0</v>
      </c>
      <c r="AB242" s="22">
        <v>0</v>
      </c>
    </row>
    <row r="243" spans="1:28" x14ac:dyDescent="0.35">
      <c r="A243" s="12" t="s">
        <v>1203</v>
      </c>
      <c r="B243" s="22">
        <v>0</v>
      </c>
      <c r="C243" s="22">
        <v>0</v>
      </c>
      <c r="D243" s="22">
        <v>0</v>
      </c>
      <c r="E243" s="22">
        <v>0</v>
      </c>
      <c r="F243" s="22">
        <v>0</v>
      </c>
      <c r="G243" s="22">
        <v>0</v>
      </c>
      <c r="H243" s="22">
        <v>0</v>
      </c>
      <c r="I243" s="22">
        <v>0</v>
      </c>
      <c r="J243" s="22">
        <v>0</v>
      </c>
      <c r="K243" s="22">
        <v>0</v>
      </c>
      <c r="L243" s="22">
        <v>0</v>
      </c>
      <c r="M243" s="22">
        <v>0</v>
      </c>
      <c r="N243" s="22">
        <v>0</v>
      </c>
      <c r="O243" s="22">
        <v>0</v>
      </c>
      <c r="P243" s="22">
        <v>0</v>
      </c>
      <c r="Q243" s="22">
        <v>0</v>
      </c>
      <c r="R243" s="22">
        <v>0</v>
      </c>
      <c r="S243" s="22">
        <v>0</v>
      </c>
      <c r="T243" s="22">
        <v>0</v>
      </c>
      <c r="U243" s="22">
        <v>0</v>
      </c>
      <c r="V243" s="22">
        <v>0</v>
      </c>
      <c r="W243" s="22">
        <v>0</v>
      </c>
      <c r="X243" s="22">
        <v>0</v>
      </c>
      <c r="Y243" s="22">
        <v>0</v>
      </c>
      <c r="Z243" s="22">
        <v>0</v>
      </c>
      <c r="AA243" s="22">
        <v>0</v>
      </c>
      <c r="AB243" s="22">
        <v>0</v>
      </c>
    </row>
    <row r="244" spans="1:28" x14ac:dyDescent="0.35">
      <c r="A244" s="12" t="s">
        <v>1204</v>
      </c>
      <c r="B244" s="22">
        <v>0</v>
      </c>
      <c r="C244" s="22">
        <v>0</v>
      </c>
      <c r="D244" s="22">
        <v>0</v>
      </c>
      <c r="E244" s="22">
        <v>0</v>
      </c>
      <c r="F244" s="22">
        <v>0</v>
      </c>
      <c r="G244" s="22">
        <v>0</v>
      </c>
      <c r="H244" s="22">
        <v>0</v>
      </c>
      <c r="I244" s="22">
        <v>0</v>
      </c>
      <c r="J244" s="22">
        <v>0</v>
      </c>
      <c r="K244" s="22">
        <v>0</v>
      </c>
      <c r="L244" s="22">
        <v>0</v>
      </c>
      <c r="M244" s="22">
        <v>0</v>
      </c>
      <c r="N244" s="22">
        <v>0</v>
      </c>
      <c r="O244" s="22">
        <v>0</v>
      </c>
      <c r="P244" s="22">
        <v>0</v>
      </c>
      <c r="Q244" s="22">
        <v>0</v>
      </c>
      <c r="R244" s="22">
        <v>0</v>
      </c>
      <c r="S244" s="22">
        <v>0</v>
      </c>
      <c r="T244" s="22">
        <v>0</v>
      </c>
      <c r="U244" s="22">
        <v>0</v>
      </c>
      <c r="V244" s="22">
        <v>0</v>
      </c>
      <c r="W244" s="22">
        <v>0</v>
      </c>
      <c r="X244" s="22">
        <v>0</v>
      </c>
      <c r="Y244" s="22">
        <v>0</v>
      </c>
      <c r="Z244" s="22">
        <v>0</v>
      </c>
      <c r="AA244" s="22">
        <v>0</v>
      </c>
      <c r="AB244" s="22">
        <v>0</v>
      </c>
    </row>
    <row r="245" spans="1:28" x14ac:dyDescent="0.35">
      <c r="A245" s="12" t="s">
        <v>1205</v>
      </c>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row>
    <row r="246" spans="1:28" x14ac:dyDescent="0.35">
      <c r="A246" s="12" t="s">
        <v>1201</v>
      </c>
      <c r="B246" s="22">
        <v>0</v>
      </c>
      <c r="C246" s="22">
        <v>0</v>
      </c>
      <c r="D246" s="22">
        <v>0</v>
      </c>
      <c r="E246" s="22">
        <v>0</v>
      </c>
      <c r="F246" s="22">
        <v>0</v>
      </c>
      <c r="G246" s="22">
        <v>0</v>
      </c>
      <c r="H246" s="22">
        <v>0</v>
      </c>
      <c r="I246" s="22">
        <v>0</v>
      </c>
      <c r="J246" s="22">
        <v>0</v>
      </c>
      <c r="K246" s="22">
        <v>0</v>
      </c>
      <c r="L246" s="22">
        <v>0</v>
      </c>
      <c r="M246" s="22">
        <v>0</v>
      </c>
      <c r="N246" s="22">
        <v>0</v>
      </c>
      <c r="O246" s="22">
        <v>0</v>
      </c>
      <c r="P246" s="22">
        <v>0</v>
      </c>
      <c r="Q246" s="22">
        <v>0</v>
      </c>
      <c r="R246" s="22">
        <v>0</v>
      </c>
      <c r="S246" s="22">
        <v>0</v>
      </c>
      <c r="T246" s="22">
        <v>0</v>
      </c>
      <c r="U246" s="22">
        <v>0</v>
      </c>
      <c r="V246" s="22">
        <v>0</v>
      </c>
      <c r="W246" s="22">
        <v>0</v>
      </c>
      <c r="X246" s="22">
        <v>0</v>
      </c>
      <c r="Y246" s="22">
        <v>0</v>
      </c>
      <c r="Z246" s="22">
        <v>0</v>
      </c>
      <c r="AA246" s="22">
        <v>0</v>
      </c>
      <c r="AB246" s="22">
        <v>0</v>
      </c>
    </row>
    <row r="247" spans="1:28" x14ac:dyDescent="0.35">
      <c r="A247" s="12" t="s">
        <v>1202</v>
      </c>
      <c r="B247" s="22">
        <v>0</v>
      </c>
      <c r="C247" s="22">
        <v>0</v>
      </c>
      <c r="D247" s="22">
        <v>0</v>
      </c>
      <c r="E247" s="22">
        <v>0</v>
      </c>
      <c r="F247" s="22">
        <v>0</v>
      </c>
      <c r="G247" s="22">
        <v>0</v>
      </c>
      <c r="H247" s="22">
        <v>0</v>
      </c>
      <c r="I247" s="22">
        <v>0</v>
      </c>
      <c r="J247" s="22">
        <v>0</v>
      </c>
      <c r="K247" s="22">
        <v>0</v>
      </c>
      <c r="L247" s="22">
        <v>0</v>
      </c>
      <c r="M247" s="22">
        <v>0</v>
      </c>
      <c r="N247" s="22">
        <v>0</v>
      </c>
      <c r="O247" s="22">
        <v>0</v>
      </c>
      <c r="P247" s="22">
        <v>0</v>
      </c>
      <c r="Q247" s="22">
        <v>0</v>
      </c>
      <c r="R247" s="22">
        <v>0</v>
      </c>
      <c r="S247" s="22">
        <v>0</v>
      </c>
      <c r="T247" s="22">
        <v>0</v>
      </c>
      <c r="U247" s="22">
        <v>0</v>
      </c>
      <c r="V247" s="22">
        <v>0</v>
      </c>
      <c r="W247" s="22">
        <v>0</v>
      </c>
      <c r="X247" s="22">
        <v>0</v>
      </c>
      <c r="Y247" s="22">
        <v>0</v>
      </c>
      <c r="Z247" s="22">
        <v>0</v>
      </c>
      <c r="AA247" s="22">
        <v>0</v>
      </c>
      <c r="AB247" s="22">
        <v>0</v>
      </c>
    </row>
    <row r="248" spans="1:28" x14ac:dyDescent="0.35">
      <c r="A248" s="12" t="s">
        <v>1203</v>
      </c>
      <c r="B248" s="22">
        <v>0</v>
      </c>
      <c r="C248" s="22">
        <v>0</v>
      </c>
      <c r="D248" s="22">
        <v>0</v>
      </c>
      <c r="E248" s="22">
        <v>0</v>
      </c>
      <c r="F248" s="22">
        <v>0</v>
      </c>
      <c r="G248" s="22">
        <v>0</v>
      </c>
      <c r="H248" s="22">
        <v>0</v>
      </c>
      <c r="I248" s="22">
        <v>0</v>
      </c>
      <c r="J248" s="22">
        <v>0</v>
      </c>
      <c r="K248" s="22">
        <v>0</v>
      </c>
      <c r="L248" s="22">
        <v>0</v>
      </c>
      <c r="M248" s="22">
        <v>0</v>
      </c>
      <c r="N248" s="22">
        <v>0</v>
      </c>
      <c r="O248" s="22">
        <v>0</v>
      </c>
      <c r="P248" s="22">
        <v>0</v>
      </c>
      <c r="Q248" s="22">
        <v>0</v>
      </c>
      <c r="R248" s="22">
        <v>0</v>
      </c>
      <c r="S248" s="22">
        <v>0</v>
      </c>
      <c r="T248" s="22">
        <v>0</v>
      </c>
      <c r="U248" s="22">
        <v>0</v>
      </c>
      <c r="V248" s="22">
        <v>0</v>
      </c>
      <c r="W248" s="22">
        <v>0</v>
      </c>
      <c r="X248" s="22">
        <v>0</v>
      </c>
      <c r="Y248" s="22">
        <v>0</v>
      </c>
      <c r="Z248" s="22">
        <v>0</v>
      </c>
      <c r="AA248" s="22">
        <v>0</v>
      </c>
      <c r="AB248" s="22">
        <v>0</v>
      </c>
    </row>
    <row r="249" spans="1:28" x14ac:dyDescent="0.35">
      <c r="A249" s="12" t="s">
        <v>1204</v>
      </c>
      <c r="B249" s="22">
        <v>0</v>
      </c>
      <c r="C249" s="22">
        <v>0</v>
      </c>
      <c r="D249" s="22">
        <v>0</v>
      </c>
      <c r="E249" s="22">
        <v>0</v>
      </c>
      <c r="F249" s="22">
        <v>0</v>
      </c>
      <c r="G249" s="22">
        <v>0</v>
      </c>
      <c r="H249" s="22">
        <v>0</v>
      </c>
      <c r="I249" s="22">
        <v>0</v>
      </c>
      <c r="J249" s="22">
        <v>0</v>
      </c>
      <c r="K249" s="22">
        <v>0</v>
      </c>
      <c r="L249" s="22">
        <v>0</v>
      </c>
      <c r="M249" s="22">
        <v>0</v>
      </c>
      <c r="N249" s="22">
        <v>0</v>
      </c>
      <c r="O249" s="22">
        <v>0</v>
      </c>
      <c r="P249" s="22">
        <v>0</v>
      </c>
      <c r="Q249" s="22">
        <v>0</v>
      </c>
      <c r="R249" s="22">
        <v>0</v>
      </c>
      <c r="S249" s="22">
        <v>0</v>
      </c>
      <c r="T249" s="22">
        <v>0</v>
      </c>
      <c r="U249" s="22">
        <v>0</v>
      </c>
      <c r="V249" s="22">
        <v>0</v>
      </c>
      <c r="W249" s="22">
        <v>0</v>
      </c>
      <c r="X249" s="22">
        <v>0</v>
      </c>
      <c r="Y249" s="22">
        <v>0</v>
      </c>
      <c r="Z249" s="22">
        <v>0</v>
      </c>
      <c r="AA249" s="22">
        <v>0</v>
      </c>
      <c r="AB249" s="22">
        <v>0</v>
      </c>
    </row>
    <row r="250" spans="1:28" x14ac:dyDescent="0.35">
      <c r="A250" s="12" t="s">
        <v>104</v>
      </c>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row>
    <row r="251" spans="1:28" x14ac:dyDescent="0.35">
      <c r="A251" s="12" t="s">
        <v>1201</v>
      </c>
      <c r="B251" s="22">
        <v>0</v>
      </c>
      <c r="C251" s="22">
        <v>0</v>
      </c>
      <c r="D251" s="22">
        <v>0</v>
      </c>
      <c r="E251" s="22">
        <v>0</v>
      </c>
      <c r="F251" s="22">
        <v>0</v>
      </c>
      <c r="G251" s="22">
        <v>0</v>
      </c>
      <c r="H251" s="22">
        <v>0</v>
      </c>
      <c r="I251" s="22">
        <v>0</v>
      </c>
      <c r="J251" s="22">
        <v>0</v>
      </c>
      <c r="K251" s="22">
        <v>0</v>
      </c>
      <c r="L251" s="22">
        <v>0</v>
      </c>
      <c r="M251" s="22">
        <v>0</v>
      </c>
      <c r="N251" s="22">
        <v>0</v>
      </c>
      <c r="O251" s="22">
        <v>0</v>
      </c>
      <c r="P251" s="22">
        <v>0</v>
      </c>
      <c r="Q251" s="22">
        <v>0</v>
      </c>
      <c r="R251" s="22">
        <v>0</v>
      </c>
      <c r="S251" s="22">
        <v>0</v>
      </c>
      <c r="T251" s="22">
        <v>0</v>
      </c>
      <c r="U251" s="22">
        <v>0</v>
      </c>
      <c r="V251" s="22">
        <v>0</v>
      </c>
      <c r="W251" s="22">
        <v>0</v>
      </c>
      <c r="X251" s="22">
        <v>0</v>
      </c>
      <c r="Y251" s="22">
        <v>0</v>
      </c>
      <c r="Z251" s="22">
        <v>0</v>
      </c>
      <c r="AA251" s="22">
        <v>0</v>
      </c>
      <c r="AB251" s="22">
        <v>0</v>
      </c>
    </row>
    <row r="252" spans="1:28" x14ac:dyDescent="0.35">
      <c r="A252" s="12" t="s">
        <v>1202</v>
      </c>
      <c r="B252" s="22">
        <v>0</v>
      </c>
      <c r="C252" s="22">
        <v>0</v>
      </c>
      <c r="D252" s="22">
        <v>0</v>
      </c>
      <c r="E252" s="22">
        <v>0</v>
      </c>
      <c r="F252" s="22">
        <v>0</v>
      </c>
      <c r="G252" s="22">
        <v>0</v>
      </c>
      <c r="H252" s="22">
        <v>0</v>
      </c>
      <c r="I252" s="22">
        <v>0</v>
      </c>
      <c r="J252" s="22">
        <v>0</v>
      </c>
      <c r="K252" s="22">
        <v>0</v>
      </c>
      <c r="L252" s="22">
        <v>0</v>
      </c>
      <c r="M252" s="22">
        <v>0</v>
      </c>
      <c r="N252" s="22">
        <v>0</v>
      </c>
      <c r="O252" s="22">
        <v>0</v>
      </c>
      <c r="P252" s="22">
        <v>0</v>
      </c>
      <c r="Q252" s="22">
        <v>0</v>
      </c>
      <c r="R252" s="22">
        <v>0</v>
      </c>
      <c r="S252" s="22">
        <v>0</v>
      </c>
      <c r="T252" s="22">
        <v>0</v>
      </c>
      <c r="U252" s="22">
        <v>0</v>
      </c>
      <c r="V252" s="22">
        <v>0</v>
      </c>
      <c r="W252" s="22">
        <v>0</v>
      </c>
      <c r="X252" s="22">
        <v>0</v>
      </c>
      <c r="Y252" s="22">
        <v>0</v>
      </c>
      <c r="Z252" s="22">
        <v>0</v>
      </c>
      <c r="AA252" s="22">
        <v>0</v>
      </c>
      <c r="AB252" s="22">
        <v>0</v>
      </c>
    </row>
    <row r="253" spans="1:28" x14ac:dyDescent="0.35">
      <c r="A253" s="12" t="s">
        <v>1203</v>
      </c>
      <c r="B253" s="22">
        <v>0</v>
      </c>
      <c r="C253" s="22">
        <v>0</v>
      </c>
      <c r="D253" s="22">
        <v>0</v>
      </c>
      <c r="E253" s="22">
        <v>0</v>
      </c>
      <c r="F253" s="22">
        <v>0</v>
      </c>
      <c r="G253" s="22">
        <v>0</v>
      </c>
      <c r="H253" s="22">
        <v>0</v>
      </c>
      <c r="I253" s="22">
        <v>0</v>
      </c>
      <c r="J253" s="22">
        <v>0</v>
      </c>
      <c r="K253" s="22">
        <v>0</v>
      </c>
      <c r="L253" s="22">
        <v>0</v>
      </c>
      <c r="M253" s="22">
        <v>0</v>
      </c>
      <c r="N253" s="22">
        <v>0</v>
      </c>
      <c r="O253" s="22">
        <v>0</v>
      </c>
      <c r="P253" s="22">
        <v>0</v>
      </c>
      <c r="Q253" s="22">
        <v>0</v>
      </c>
      <c r="R253" s="22">
        <v>0</v>
      </c>
      <c r="S253" s="22">
        <v>0</v>
      </c>
      <c r="T253" s="22">
        <v>0</v>
      </c>
      <c r="U253" s="22">
        <v>0</v>
      </c>
      <c r="V253" s="22">
        <v>0</v>
      </c>
      <c r="W253" s="22">
        <v>0</v>
      </c>
      <c r="X253" s="22">
        <v>0</v>
      </c>
      <c r="Y253" s="22">
        <v>0</v>
      </c>
      <c r="Z253" s="22">
        <v>0</v>
      </c>
      <c r="AA253" s="22">
        <v>0</v>
      </c>
      <c r="AB253" s="22">
        <v>0</v>
      </c>
    </row>
    <row r="254" spans="1:28" x14ac:dyDescent="0.35">
      <c r="A254" s="12" t="s">
        <v>1204</v>
      </c>
      <c r="B254" s="22">
        <v>0</v>
      </c>
      <c r="C254" s="22">
        <v>0</v>
      </c>
      <c r="D254" s="22">
        <v>0</v>
      </c>
      <c r="E254" s="22">
        <v>0</v>
      </c>
      <c r="F254" s="22">
        <v>0</v>
      </c>
      <c r="G254" s="22">
        <v>0</v>
      </c>
      <c r="H254" s="22">
        <v>0</v>
      </c>
      <c r="I254" s="22">
        <v>0</v>
      </c>
      <c r="J254" s="22">
        <v>0</v>
      </c>
      <c r="K254" s="22">
        <v>0</v>
      </c>
      <c r="L254" s="22">
        <v>0</v>
      </c>
      <c r="M254" s="22">
        <v>0</v>
      </c>
      <c r="N254" s="22">
        <v>0</v>
      </c>
      <c r="O254" s="22">
        <v>0</v>
      </c>
      <c r="P254" s="22">
        <v>0</v>
      </c>
      <c r="Q254" s="22">
        <v>0</v>
      </c>
      <c r="R254" s="22">
        <v>0</v>
      </c>
      <c r="S254" s="22">
        <v>0</v>
      </c>
      <c r="T254" s="22">
        <v>0</v>
      </c>
      <c r="U254" s="22">
        <v>0</v>
      </c>
      <c r="V254" s="22">
        <v>0</v>
      </c>
      <c r="W254" s="22">
        <v>0</v>
      </c>
      <c r="X254" s="22">
        <v>0</v>
      </c>
      <c r="Y254" s="22">
        <v>0</v>
      </c>
      <c r="Z254" s="22">
        <v>0</v>
      </c>
      <c r="AA254" s="22">
        <v>0</v>
      </c>
      <c r="AB254" s="22">
        <v>0</v>
      </c>
    </row>
    <row r="255" spans="1:28" x14ac:dyDescent="0.35">
      <c r="A255" s="12" t="s">
        <v>152</v>
      </c>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row>
    <row r="256" spans="1:28" x14ac:dyDescent="0.35">
      <c r="A256" s="12" t="s">
        <v>1201</v>
      </c>
      <c r="B256" s="22">
        <v>0</v>
      </c>
      <c r="C256" s="22">
        <v>0</v>
      </c>
      <c r="D256" s="22">
        <v>0</v>
      </c>
      <c r="E256" s="22">
        <v>0</v>
      </c>
      <c r="F256" s="22">
        <v>0</v>
      </c>
      <c r="G256" s="22">
        <v>0</v>
      </c>
      <c r="H256" s="22">
        <v>0</v>
      </c>
      <c r="I256" s="22">
        <v>0</v>
      </c>
      <c r="J256" s="22">
        <v>0</v>
      </c>
      <c r="K256" s="22">
        <v>0</v>
      </c>
      <c r="L256" s="22">
        <v>0</v>
      </c>
      <c r="M256" s="22">
        <v>0</v>
      </c>
      <c r="N256" s="22">
        <v>0</v>
      </c>
      <c r="O256" s="22">
        <v>0</v>
      </c>
      <c r="P256" s="22">
        <v>0</v>
      </c>
      <c r="Q256" s="22">
        <v>0</v>
      </c>
      <c r="R256" s="22">
        <v>0</v>
      </c>
      <c r="S256" s="22">
        <v>0</v>
      </c>
      <c r="T256" s="22">
        <v>0</v>
      </c>
      <c r="U256" s="22">
        <v>0</v>
      </c>
      <c r="V256" s="22">
        <v>0</v>
      </c>
      <c r="W256" s="22">
        <v>0</v>
      </c>
      <c r="X256" s="22">
        <v>0</v>
      </c>
      <c r="Y256" s="22">
        <v>0</v>
      </c>
      <c r="Z256" s="22">
        <v>0</v>
      </c>
      <c r="AA256" s="22">
        <v>0</v>
      </c>
      <c r="AB256" s="22">
        <v>0</v>
      </c>
    </row>
    <row r="257" spans="1:28" x14ac:dyDescent="0.35">
      <c r="A257" s="12" t="s">
        <v>1202</v>
      </c>
      <c r="B257" s="22">
        <v>0</v>
      </c>
      <c r="C257" s="22">
        <v>0</v>
      </c>
      <c r="D257" s="22">
        <v>0</v>
      </c>
      <c r="E257" s="22">
        <v>0</v>
      </c>
      <c r="F257" s="22">
        <v>0</v>
      </c>
      <c r="G257" s="22">
        <v>0</v>
      </c>
      <c r="H257" s="22">
        <v>0</v>
      </c>
      <c r="I257" s="22">
        <v>0</v>
      </c>
      <c r="J257" s="22">
        <v>0</v>
      </c>
      <c r="K257" s="22">
        <v>0</v>
      </c>
      <c r="L257" s="22">
        <v>0</v>
      </c>
      <c r="M257" s="22">
        <v>0</v>
      </c>
      <c r="N257" s="22">
        <v>0</v>
      </c>
      <c r="O257" s="22">
        <v>0</v>
      </c>
      <c r="P257" s="22">
        <v>0</v>
      </c>
      <c r="Q257" s="22">
        <v>0</v>
      </c>
      <c r="R257" s="22">
        <v>0</v>
      </c>
      <c r="S257" s="22">
        <v>0</v>
      </c>
      <c r="T257" s="22">
        <v>0</v>
      </c>
      <c r="U257" s="22">
        <v>0</v>
      </c>
      <c r="V257" s="22">
        <v>0</v>
      </c>
      <c r="W257" s="22">
        <v>0</v>
      </c>
      <c r="X257" s="22">
        <v>0</v>
      </c>
      <c r="Y257" s="22">
        <v>0</v>
      </c>
      <c r="Z257" s="22">
        <v>0</v>
      </c>
      <c r="AA257" s="22">
        <v>0</v>
      </c>
      <c r="AB257" s="22">
        <v>0</v>
      </c>
    </row>
    <row r="258" spans="1:28" x14ac:dyDescent="0.35">
      <c r="A258" s="12" t="s">
        <v>1203</v>
      </c>
      <c r="B258" s="22">
        <v>0</v>
      </c>
      <c r="C258" s="22">
        <v>0</v>
      </c>
      <c r="D258" s="22">
        <v>0</v>
      </c>
      <c r="E258" s="22">
        <v>0</v>
      </c>
      <c r="F258" s="22">
        <v>0</v>
      </c>
      <c r="G258" s="22">
        <v>0</v>
      </c>
      <c r="H258" s="22">
        <v>0</v>
      </c>
      <c r="I258" s="22">
        <v>0</v>
      </c>
      <c r="J258" s="22">
        <v>0</v>
      </c>
      <c r="K258" s="22">
        <v>0</v>
      </c>
      <c r="L258" s="22">
        <v>0</v>
      </c>
      <c r="M258" s="22">
        <v>0</v>
      </c>
      <c r="N258" s="22">
        <v>0</v>
      </c>
      <c r="O258" s="22">
        <v>0</v>
      </c>
      <c r="P258" s="22">
        <v>0</v>
      </c>
      <c r="Q258" s="22">
        <v>0</v>
      </c>
      <c r="R258" s="22">
        <v>0</v>
      </c>
      <c r="S258" s="22">
        <v>0</v>
      </c>
      <c r="T258" s="22">
        <v>0</v>
      </c>
      <c r="U258" s="22">
        <v>0</v>
      </c>
      <c r="V258" s="22">
        <v>0</v>
      </c>
      <c r="W258" s="22">
        <v>0</v>
      </c>
      <c r="X258" s="22">
        <v>0</v>
      </c>
      <c r="Y258" s="22">
        <v>0</v>
      </c>
      <c r="Z258" s="22">
        <v>0</v>
      </c>
      <c r="AA258" s="22">
        <v>0</v>
      </c>
      <c r="AB258" s="22">
        <v>0</v>
      </c>
    </row>
    <row r="259" spans="1:28" x14ac:dyDescent="0.35">
      <c r="A259" s="12" t="s">
        <v>1204</v>
      </c>
      <c r="B259" s="22">
        <v>0</v>
      </c>
      <c r="C259" s="22">
        <v>0</v>
      </c>
      <c r="D259" s="22">
        <v>0</v>
      </c>
      <c r="E259" s="22">
        <v>0</v>
      </c>
      <c r="F259" s="22">
        <v>0</v>
      </c>
      <c r="G259" s="22">
        <v>0</v>
      </c>
      <c r="H259" s="22">
        <v>0</v>
      </c>
      <c r="I259" s="22">
        <v>0</v>
      </c>
      <c r="J259" s="22">
        <v>0</v>
      </c>
      <c r="K259" s="22">
        <v>0</v>
      </c>
      <c r="L259" s="22">
        <v>0</v>
      </c>
      <c r="M259" s="22">
        <v>0</v>
      </c>
      <c r="N259" s="22">
        <v>0</v>
      </c>
      <c r="O259" s="22">
        <v>0</v>
      </c>
      <c r="P259" s="22">
        <v>0</v>
      </c>
      <c r="Q259" s="22">
        <v>0</v>
      </c>
      <c r="R259" s="22">
        <v>0</v>
      </c>
      <c r="S259" s="22">
        <v>0</v>
      </c>
      <c r="T259" s="22">
        <v>0</v>
      </c>
      <c r="U259" s="22">
        <v>0</v>
      </c>
      <c r="V259" s="22">
        <v>0</v>
      </c>
      <c r="W259" s="22">
        <v>0</v>
      </c>
      <c r="X259" s="22">
        <v>0</v>
      </c>
      <c r="Y259" s="22">
        <v>0</v>
      </c>
      <c r="Z259" s="22">
        <v>0</v>
      </c>
      <c r="AA259" s="22">
        <v>0</v>
      </c>
      <c r="AB259" s="22">
        <v>0</v>
      </c>
    </row>
    <row r="260" spans="1:28" x14ac:dyDescent="0.35">
      <c r="A260" s="12" t="s">
        <v>528</v>
      </c>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row>
    <row r="261" spans="1:28" x14ac:dyDescent="0.35">
      <c r="A261" s="12" t="s">
        <v>1201</v>
      </c>
      <c r="B261" s="22">
        <v>0</v>
      </c>
      <c r="C261" s="22">
        <v>0</v>
      </c>
      <c r="D261" s="22">
        <v>0</v>
      </c>
      <c r="E261" s="22">
        <v>0</v>
      </c>
      <c r="F261" s="22">
        <v>0</v>
      </c>
      <c r="G261" s="22">
        <v>0</v>
      </c>
      <c r="H261" s="22">
        <v>0</v>
      </c>
      <c r="I261" s="22">
        <v>0</v>
      </c>
      <c r="J261" s="22">
        <v>0</v>
      </c>
      <c r="K261" s="22">
        <v>0</v>
      </c>
      <c r="L261" s="22">
        <v>0</v>
      </c>
      <c r="M261" s="22">
        <v>0</v>
      </c>
      <c r="N261" s="22">
        <v>0</v>
      </c>
      <c r="O261" s="22">
        <v>0</v>
      </c>
      <c r="P261" s="22">
        <v>0</v>
      </c>
      <c r="Q261" s="22">
        <v>0</v>
      </c>
      <c r="R261" s="22">
        <v>0</v>
      </c>
      <c r="S261" s="22">
        <v>0</v>
      </c>
      <c r="T261" s="22">
        <v>0</v>
      </c>
      <c r="U261" s="22">
        <v>0</v>
      </c>
      <c r="V261" s="22">
        <v>0</v>
      </c>
      <c r="W261" s="22">
        <v>0</v>
      </c>
      <c r="X261" s="22">
        <v>0</v>
      </c>
      <c r="Y261" s="22">
        <v>0</v>
      </c>
      <c r="Z261" s="22">
        <v>0</v>
      </c>
      <c r="AA261" s="22">
        <v>0</v>
      </c>
      <c r="AB261" s="22">
        <v>0</v>
      </c>
    </row>
    <row r="262" spans="1:28" x14ac:dyDescent="0.35">
      <c r="A262" s="12" t="s">
        <v>1202</v>
      </c>
      <c r="B262" s="22">
        <v>0</v>
      </c>
      <c r="C262" s="22">
        <v>0</v>
      </c>
      <c r="D262" s="22">
        <v>0</v>
      </c>
      <c r="E262" s="22">
        <v>0</v>
      </c>
      <c r="F262" s="22">
        <v>0</v>
      </c>
      <c r="G262" s="22">
        <v>0</v>
      </c>
      <c r="H262" s="22">
        <v>0</v>
      </c>
      <c r="I262" s="22">
        <v>0</v>
      </c>
      <c r="J262" s="22">
        <v>0</v>
      </c>
      <c r="K262" s="22">
        <v>0</v>
      </c>
      <c r="L262" s="22">
        <v>0</v>
      </c>
      <c r="M262" s="22">
        <v>0</v>
      </c>
      <c r="N262" s="22">
        <v>0</v>
      </c>
      <c r="O262" s="22">
        <v>0</v>
      </c>
      <c r="P262" s="22">
        <v>0</v>
      </c>
      <c r="Q262" s="22">
        <v>0</v>
      </c>
      <c r="R262" s="22">
        <v>0</v>
      </c>
      <c r="S262" s="22">
        <v>0</v>
      </c>
      <c r="T262" s="22">
        <v>0</v>
      </c>
      <c r="U262" s="22">
        <v>0</v>
      </c>
      <c r="V262" s="22">
        <v>0</v>
      </c>
      <c r="W262" s="22">
        <v>0</v>
      </c>
      <c r="X262" s="22">
        <v>0</v>
      </c>
      <c r="Y262" s="22">
        <v>0</v>
      </c>
      <c r="Z262" s="22">
        <v>0</v>
      </c>
      <c r="AA262" s="22">
        <v>0</v>
      </c>
      <c r="AB262" s="22">
        <v>0</v>
      </c>
    </row>
    <row r="263" spans="1:28" x14ac:dyDescent="0.35">
      <c r="A263" s="12" t="s">
        <v>1203</v>
      </c>
      <c r="B263" s="22">
        <v>0</v>
      </c>
      <c r="C263" s="22">
        <v>0</v>
      </c>
      <c r="D263" s="22">
        <v>0</v>
      </c>
      <c r="E263" s="22">
        <v>0</v>
      </c>
      <c r="F263" s="22">
        <v>0</v>
      </c>
      <c r="G263" s="22">
        <v>0</v>
      </c>
      <c r="H263" s="22">
        <v>0</v>
      </c>
      <c r="I263" s="22">
        <v>0</v>
      </c>
      <c r="J263" s="22">
        <v>0</v>
      </c>
      <c r="K263" s="22">
        <v>0</v>
      </c>
      <c r="L263" s="22">
        <v>0</v>
      </c>
      <c r="M263" s="22">
        <v>0</v>
      </c>
      <c r="N263" s="22">
        <v>0</v>
      </c>
      <c r="O263" s="22">
        <v>0</v>
      </c>
      <c r="P263" s="22">
        <v>0</v>
      </c>
      <c r="Q263" s="22">
        <v>0</v>
      </c>
      <c r="R263" s="22">
        <v>0</v>
      </c>
      <c r="S263" s="22">
        <v>0</v>
      </c>
      <c r="T263" s="22">
        <v>0</v>
      </c>
      <c r="U263" s="22">
        <v>0</v>
      </c>
      <c r="V263" s="22">
        <v>0</v>
      </c>
      <c r="W263" s="22">
        <v>0</v>
      </c>
      <c r="X263" s="22">
        <v>0</v>
      </c>
      <c r="Y263" s="22">
        <v>0</v>
      </c>
      <c r="Z263" s="22">
        <v>0</v>
      </c>
      <c r="AA263" s="22">
        <v>0</v>
      </c>
      <c r="AB263" s="22">
        <v>0</v>
      </c>
    </row>
    <row r="264" spans="1:28" x14ac:dyDescent="0.35">
      <c r="A264" s="12" t="s">
        <v>1204</v>
      </c>
      <c r="B264" s="22">
        <v>0</v>
      </c>
      <c r="C264" s="22">
        <v>0</v>
      </c>
      <c r="D264" s="22">
        <v>0</v>
      </c>
      <c r="E264" s="22">
        <v>0</v>
      </c>
      <c r="F264" s="22">
        <v>0</v>
      </c>
      <c r="G264" s="22">
        <v>0</v>
      </c>
      <c r="H264" s="22">
        <v>0</v>
      </c>
      <c r="I264" s="22">
        <v>0</v>
      </c>
      <c r="J264" s="22">
        <v>0</v>
      </c>
      <c r="K264" s="22">
        <v>0</v>
      </c>
      <c r="L264" s="22">
        <v>0</v>
      </c>
      <c r="M264" s="22">
        <v>0</v>
      </c>
      <c r="N264" s="22">
        <v>0</v>
      </c>
      <c r="O264" s="22">
        <v>0</v>
      </c>
      <c r="P264" s="22">
        <v>0</v>
      </c>
      <c r="Q264" s="22">
        <v>0</v>
      </c>
      <c r="R264" s="22">
        <v>0</v>
      </c>
      <c r="S264" s="22">
        <v>0</v>
      </c>
      <c r="T264" s="22">
        <v>0</v>
      </c>
      <c r="U264" s="22">
        <v>0</v>
      </c>
      <c r="V264" s="22">
        <v>0</v>
      </c>
      <c r="W264" s="22">
        <v>0</v>
      </c>
      <c r="X264" s="22">
        <v>0</v>
      </c>
      <c r="Y264" s="22">
        <v>0</v>
      </c>
      <c r="Z264" s="22">
        <v>0</v>
      </c>
      <c r="AA264" s="22">
        <v>0</v>
      </c>
      <c r="AB264" s="22">
        <v>0</v>
      </c>
    </row>
    <row r="265" spans="1:28" x14ac:dyDescent="0.35">
      <c r="A265" s="10" t="s">
        <v>1206</v>
      </c>
    </row>
    <row r="266" spans="1:28" x14ac:dyDescent="0.35">
      <c r="A266" s="12" t="s">
        <v>1207</v>
      </c>
      <c r="B266" s="22">
        <v>0</v>
      </c>
      <c r="C266" s="22">
        <v>0</v>
      </c>
      <c r="D266" s="22">
        <v>0</v>
      </c>
      <c r="E266" s="22">
        <v>0</v>
      </c>
      <c r="F266" s="22">
        <v>0</v>
      </c>
      <c r="G266" s="22">
        <v>0</v>
      </c>
      <c r="H266" s="22">
        <v>0</v>
      </c>
      <c r="I266" s="22">
        <v>0</v>
      </c>
      <c r="J266" s="22">
        <v>0</v>
      </c>
      <c r="K266" s="22">
        <v>0</v>
      </c>
      <c r="L266" s="22">
        <v>0</v>
      </c>
      <c r="M266" s="22">
        <v>0</v>
      </c>
      <c r="N266" s="22">
        <v>0</v>
      </c>
      <c r="O266" s="22">
        <v>0</v>
      </c>
      <c r="P266" s="22">
        <v>0</v>
      </c>
      <c r="Q266" s="22">
        <v>0</v>
      </c>
      <c r="R266" s="22">
        <v>0</v>
      </c>
      <c r="S266" s="22">
        <v>0</v>
      </c>
      <c r="T266" s="22">
        <v>0</v>
      </c>
      <c r="U266" s="22">
        <v>0</v>
      </c>
      <c r="V266" s="22">
        <v>0</v>
      </c>
      <c r="W266" s="22">
        <v>0</v>
      </c>
      <c r="X266" s="22">
        <v>0</v>
      </c>
      <c r="Y266" s="22">
        <v>0</v>
      </c>
      <c r="Z266" s="22">
        <v>0</v>
      </c>
      <c r="AA266" s="22">
        <v>0</v>
      </c>
      <c r="AB266" s="22">
        <v>0</v>
      </c>
    </row>
    <row r="267" spans="1:28" x14ac:dyDescent="0.35">
      <c r="A267" s="12" t="s">
        <v>1208</v>
      </c>
      <c r="B267" s="22">
        <v>0</v>
      </c>
      <c r="C267" s="22">
        <v>0</v>
      </c>
      <c r="D267" s="22">
        <v>0</v>
      </c>
      <c r="E267" s="22">
        <v>0</v>
      </c>
      <c r="F267" s="22">
        <v>0</v>
      </c>
      <c r="G267" s="22">
        <v>0</v>
      </c>
      <c r="H267" s="22">
        <v>0</v>
      </c>
      <c r="I267" s="22">
        <v>0</v>
      </c>
      <c r="J267" s="22">
        <v>0</v>
      </c>
      <c r="K267" s="22">
        <v>0</v>
      </c>
      <c r="L267" s="22">
        <v>0</v>
      </c>
      <c r="M267" s="22">
        <v>0</v>
      </c>
      <c r="N267" s="22">
        <v>0</v>
      </c>
      <c r="O267" s="22">
        <v>0</v>
      </c>
      <c r="P267" s="22">
        <v>0</v>
      </c>
      <c r="Q267" s="22">
        <v>0</v>
      </c>
      <c r="R267" s="22">
        <v>0</v>
      </c>
      <c r="S267" s="22">
        <v>0</v>
      </c>
      <c r="T267" s="22">
        <v>0</v>
      </c>
      <c r="U267" s="22">
        <v>0</v>
      </c>
      <c r="V267" s="22">
        <v>0</v>
      </c>
      <c r="W267" s="22">
        <v>0</v>
      </c>
      <c r="X267" s="22">
        <v>0</v>
      </c>
      <c r="Y267" s="22">
        <v>0</v>
      </c>
      <c r="Z267" s="22">
        <v>0</v>
      </c>
      <c r="AA267" s="22">
        <v>0</v>
      </c>
      <c r="AB267" s="22">
        <v>0</v>
      </c>
    </row>
    <row r="268" spans="1:28" x14ac:dyDescent="0.35">
      <c r="A268" s="12" t="s">
        <v>1209</v>
      </c>
      <c r="B268" s="22">
        <v>0</v>
      </c>
      <c r="C268" s="22">
        <v>0</v>
      </c>
      <c r="D268" s="22">
        <v>0</v>
      </c>
      <c r="E268" s="22">
        <v>0</v>
      </c>
      <c r="F268" s="22">
        <v>0</v>
      </c>
      <c r="G268" s="22">
        <v>0</v>
      </c>
      <c r="H268" s="22">
        <v>0</v>
      </c>
      <c r="I268" s="22">
        <v>0</v>
      </c>
      <c r="J268" s="22">
        <v>0</v>
      </c>
      <c r="K268" s="22">
        <v>0</v>
      </c>
      <c r="L268" s="22">
        <v>0</v>
      </c>
      <c r="M268" s="22">
        <v>0</v>
      </c>
      <c r="N268" s="22">
        <v>0</v>
      </c>
      <c r="O268" s="22">
        <v>0</v>
      </c>
      <c r="P268" s="22">
        <v>0</v>
      </c>
      <c r="Q268" s="22">
        <v>0</v>
      </c>
      <c r="R268" s="22">
        <v>0</v>
      </c>
      <c r="S268" s="22">
        <v>0</v>
      </c>
      <c r="T268" s="22">
        <v>0</v>
      </c>
      <c r="U268" s="22">
        <v>0</v>
      </c>
      <c r="V268" s="22">
        <v>0</v>
      </c>
      <c r="W268" s="22">
        <v>0</v>
      </c>
      <c r="X268" s="22">
        <v>0</v>
      </c>
      <c r="Y268" s="22">
        <v>0</v>
      </c>
      <c r="Z268" s="22">
        <v>0</v>
      </c>
      <c r="AA268" s="22">
        <v>0</v>
      </c>
      <c r="AB268" s="22">
        <v>0</v>
      </c>
    </row>
    <row r="269" spans="1:28" x14ac:dyDescent="0.35">
      <c r="A269" s="12" t="s">
        <v>1210</v>
      </c>
      <c r="B269" s="22">
        <v>0</v>
      </c>
      <c r="C269" s="22">
        <v>0</v>
      </c>
      <c r="D269" s="22">
        <v>0</v>
      </c>
      <c r="E269" s="22">
        <v>0</v>
      </c>
      <c r="F269" s="22">
        <v>0</v>
      </c>
      <c r="G269" s="22">
        <v>0</v>
      </c>
      <c r="H269" s="22">
        <v>0</v>
      </c>
      <c r="I269" s="22">
        <v>0</v>
      </c>
      <c r="J269" s="22">
        <v>0</v>
      </c>
      <c r="K269" s="22">
        <v>0</v>
      </c>
      <c r="L269" s="22">
        <v>0</v>
      </c>
      <c r="M269" s="22">
        <v>0</v>
      </c>
      <c r="N269" s="22">
        <v>0</v>
      </c>
      <c r="O269" s="22">
        <v>0</v>
      </c>
      <c r="P269" s="22">
        <v>0</v>
      </c>
      <c r="Q269" s="22">
        <v>0</v>
      </c>
      <c r="R269" s="22">
        <v>0</v>
      </c>
      <c r="S269" s="22">
        <v>0</v>
      </c>
      <c r="T269" s="22">
        <v>0</v>
      </c>
      <c r="U269" s="22">
        <v>0</v>
      </c>
      <c r="V269" s="22">
        <v>0</v>
      </c>
      <c r="W269" s="22">
        <v>0</v>
      </c>
      <c r="X269" s="22">
        <v>0</v>
      </c>
      <c r="Y269" s="22">
        <v>0</v>
      </c>
      <c r="Z269" s="22">
        <v>0</v>
      </c>
      <c r="AA269" s="22">
        <v>0</v>
      </c>
      <c r="AB269" s="22">
        <v>0</v>
      </c>
    </row>
    <row r="270" spans="1:28" x14ac:dyDescent="0.35">
      <c r="A270" s="12" t="s">
        <v>1211</v>
      </c>
      <c r="B270" s="22">
        <v>0</v>
      </c>
      <c r="C270" s="22">
        <v>0</v>
      </c>
      <c r="D270" s="22">
        <v>0</v>
      </c>
      <c r="E270" s="22">
        <v>0</v>
      </c>
      <c r="F270" s="22">
        <v>0</v>
      </c>
      <c r="G270" s="22">
        <v>0</v>
      </c>
      <c r="H270" s="22">
        <v>0</v>
      </c>
      <c r="I270" s="22">
        <v>0</v>
      </c>
      <c r="J270" s="22">
        <v>0</v>
      </c>
      <c r="K270" s="22">
        <v>0</v>
      </c>
      <c r="L270" s="22">
        <v>0</v>
      </c>
      <c r="M270" s="22">
        <v>0</v>
      </c>
      <c r="N270" s="22">
        <v>0</v>
      </c>
      <c r="O270" s="22">
        <v>0</v>
      </c>
      <c r="P270" s="22">
        <v>0</v>
      </c>
      <c r="Q270" s="22">
        <v>0</v>
      </c>
      <c r="R270" s="22">
        <v>0</v>
      </c>
      <c r="S270" s="22">
        <v>0</v>
      </c>
      <c r="T270" s="22">
        <v>0</v>
      </c>
      <c r="U270" s="22">
        <v>0</v>
      </c>
      <c r="V270" s="22">
        <v>0</v>
      </c>
      <c r="W270" s="22">
        <v>0</v>
      </c>
      <c r="X270" s="22">
        <v>0</v>
      </c>
      <c r="Y270" s="22">
        <v>0</v>
      </c>
      <c r="Z270" s="22">
        <v>0</v>
      </c>
      <c r="AA270" s="22">
        <v>0</v>
      </c>
      <c r="AB270" s="22">
        <v>0</v>
      </c>
    </row>
    <row r="271" spans="1:28" x14ac:dyDescent="0.35">
      <c r="A271" s="12" t="s">
        <v>1212</v>
      </c>
      <c r="B271" s="22">
        <v>0</v>
      </c>
      <c r="C271" s="22">
        <v>0</v>
      </c>
      <c r="D271" s="22">
        <v>0</v>
      </c>
      <c r="E271" s="22">
        <v>0</v>
      </c>
      <c r="F271" s="22">
        <v>0</v>
      </c>
      <c r="G271" s="22">
        <v>0</v>
      </c>
      <c r="H271" s="22">
        <v>0</v>
      </c>
      <c r="I271" s="22">
        <v>0</v>
      </c>
      <c r="J271" s="22">
        <v>0</v>
      </c>
      <c r="K271" s="22">
        <v>0</v>
      </c>
      <c r="L271" s="22">
        <v>0</v>
      </c>
      <c r="M271" s="22">
        <v>0</v>
      </c>
      <c r="N271" s="22">
        <v>0</v>
      </c>
      <c r="O271" s="22">
        <v>0</v>
      </c>
      <c r="P271" s="22">
        <v>0</v>
      </c>
      <c r="Q271" s="22">
        <v>0</v>
      </c>
      <c r="R271" s="22">
        <v>0</v>
      </c>
      <c r="S271" s="22">
        <v>0</v>
      </c>
      <c r="T271" s="22">
        <v>0</v>
      </c>
      <c r="U271" s="22">
        <v>0</v>
      </c>
      <c r="V271" s="22">
        <v>0</v>
      </c>
      <c r="W271" s="22">
        <v>0</v>
      </c>
      <c r="X271" s="22">
        <v>0</v>
      </c>
      <c r="Y271" s="22">
        <v>0</v>
      </c>
      <c r="Z271" s="22">
        <v>0</v>
      </c>
      <c r="AA271" s="22">
        <v>0</v>
      </c>
      <c r="AB271" s="22">
        <v>0</v>
      </c>
    </row>
    <row r="272" spans="1:28" x14ac:dyDescent="0.35">
      <c r="A272" s="12" t="s">
        <v>1213</v>
      </c>
      <c r="B272" s="22">
        <v>0</v>
      </c>
      <c r="C272" s="22">
        <v>0</v>
      </c>
      <c r="D272" s="22">
        <v>0</v>
      </c>
      <c r="E272" s="22">
        <v>0</v>
      </c>
      <c r="F272" s="22">
        <v>0</v>
      </c>
      <c r="G272" s="22">
        <v>0</v>
      </c>
      <c r="H272" s="22">
        <v>0</v>
      </c>
      <c r="I272" s="22">
        <v>0</v>
      </c>
      <c r="J272" s="22">
        <v>0</v>
      </c>
      <c r="K272" s="22">
        <v>0</v>
      </c>
      <c r="L272" s="22">
        <v>0</v>
      </c>
      <c r="M272" s="22">
        <v>0</v>
      </c>
      <c r="N272" s="22">
        <v>0</v>
      </c>
      <c r="O272" s="22">
        <v>0</v>
      </c>
      <c r="P272" s="22">
        <v>0</v>
      </c>
      <c r="Q272" s="22">
        <v>0</v>
      </c>
      <c r="R272" s="22">
        <v>0</v>
      </c>
      <c r="S272" s="22">
        <v>0</v>
      </c>
      <c r="T272" s="22">
        <v>0</v>
      </c>
      <c r="U272" s="22">
        <v>0</v>
      </c>
      <c r="V272" s="22">
        <v>0</v>
      </c>
      <c r="W272" s="22">
        <v>0</v>
      </c>
      <c r="X272" s="22">
        <v>0</v>
      </c>
      <c r="Y272" s="22">
        <v>0</v>
      </c>
      <c r="Z272" s="22">
        <v>0</v>
      </c>
      <c r="AA272" s="22">
        <v>0</v>
      </c>
      <c r="AB272" s="22">
        <v>0</v>
      </c>
    </row>
    <row r="273" spans="1:28" x14ac:dyDescent="0.35">
      <c r="A273" s="12" t="s">
        <v>1214</v>
      </c>
      <c r="B273" s="22">
        <v>0</v>
      </c>
      <c r="C273" s="22">
        <v>0</v>
      </c>
      <c r="D273" s="22">
        <v>0</v>
      </c>
      <c r="E273" s="22">
        <v>0</v>
      </c>
      <c r="F273" s="22">
        <v>0</v>
      </c>
      <c r="G273" s="22">
        <v>0</v>
      </c>
      <c r="H273" s="22">
        <v>0</v>
      </c>
      <c r="I273" s="22">
        <v>0</v>
      </c>
      <c r="J273" s="22">
        <v>0</v>
      </c>
      <c r="K273" s="22">
        <v>0</v>
      </c>
      <c r="L273" s="22">
        <v>0</v>
      </c>
      <c r="M273" s="22">
        <v>0</v>
      </c>
      <c r="N273" s="22">
        <v>0</v>
      </c>
      <c r="O273" s="22">
        <v>0</v>
      </c>
      <c r="P273" s="22">
        <v>0</v>
      </c>
      <c r="Q273" s="22">
        <v>0</v>
      </c>
      <c r="R273" s="22">
        <v>0</v>
      </c>
      <c r="S273" s="22">
        <v>0</v>
      </c>
      <c r="T273" s="22">
        <v>0</v>
      </c>
      <c r="U273" s="22">
        <v>0</v>
      </c>
      <c r="V273" s="22">
        <v>0</v>
      </c>
      <c r="W273" s="22">
        <v>0</v>
      </c>
      <c r="X273" s="22">
        <v>0</v>
      </c>
      <c r="Y273" s="22">
        <v>0</v>
      </c>
      <c r="Z273" s="22">
        <v>0</v>
      </c>
      <c r="AA273" s="22">
        <v>0</v>
      </c>
      <c r="AB273" s="22">
        <v>0</v>
      </c>
    </row>
    <row r="274" spans="1:28" x14ac:dyDescent="0.35">
      <c r="A274" s="10" t="s">
        <v>1215</v>
      </c>
    </row>
    <row r="275" spans="1:28" x14ac:dyDescent="0.35">
      <c r="A275" s="12" t="s">
        <v>1216</v>
      </c>
      <c r="B275" s="22">
        <v>0</v>
      </c>
      <c r="C275" s="22">
        <v>0</v>
      </c>
      <c r="D275" s="22">
        <v>0</v>
      </c>
      <c r="E275" s="22">
        <v>0</v>
      </c>
      <c r="F275" s="22">
        <v>0</v>
      </c>
      <c r="G275" s="22">
        <v>0</v>
      </c>
      <c r="H275" s="22">
        <v>0</v>
      </c>
      <c r="I275" s="22">
        <v>0</v>
      </c>
      <c r="J275" s="22">
        <v>0</v>
      </c>
      <c r="K275" s="22">
        <v>0</v>
      </c>
      <c r="L275" s="22">
        <v>0</v>
      </c>
      <c r="M275" s="22">
        <v>0</v>
      </c>
      <c r="N275" s="22">
        <v>0</v>
      </c>
      <c r="O275" s="22">
        <v>0</v>
      </c>
      <c r="P275" s="22">
        <v>0</v>
      </c>
      <c r="Q275" s="22">
        <v>0</v>
      </c>
      <c r="R275" s="22">
        <v>0</v>
      </c>
      <c r="S275" s="22">
        <v>0</v>
      </c>
      <c r="T275" s="22">
        <v>0</v>
      </c>
      <c r="U275" s="22">
        <v>0</v>
      </c>
      <c r="V275" s="22">
        <v>0</v>
      </c>
      <c r="W275" s="22">
        <v>0</v>
      </c>
      <c r="X275" s="22">
        <v>0</v>
      </c>
      <c r="Y275" s="22">
        <v>0</v>
      </c>
      <c r="Z275" s="22">
        <v>0</v>
      </c>
      <c r="AA275" s="22">
        <v>0</v>
      </c>
      <c r="AB275" s="22">
        <v>0</v>
      </c>
    </row>
    <row r="276" spans="1:28" x14ac:dyDescent="0.35">
      <c r="A276" s="12" t="s">
        <v>1217</v>
      </c>
      <c r="B276" s="22">
        <v>0</v>
      </c>
      <c r="C276" s="22">
        <v>0</v>
      </c>
      <c r="D276" s="22">
        <v>0</v>
      </c>
      <c r="E276" s="22">
        <v>0</v>
      </c>
      <c r="F276" s="22">
        <v>0</v>
      </c>
      <c r="G276" s="22">
        <v>0</v>
      </c>
      <c r="H276" s="22">
        <v>0</v>
      </c>
      <c r="I276" s="22">
        <v>0</v>
      </c>
      <c r="J276" s="22">
        <v>0</v>
      </c>
      <c r="K276" s="22">
        <v>0</v>
      </c>
      <c r="L276" s="22">
        <v>0</v>
      </c>
      <c r="M276" s="22">
        <v>0</v>
      </c>
      <c r="N276" s="22">
        <v>0</v>
      </c>
      <c r="O276" s="22">
        <v>0</v>
      </c>
      <c r="P276" s="22">
        <v>0</v>
      </c>
      <c r="Q276" s="22">
        <v>0</v>
      </c>
      <c r="R276" s="22">
        <v>0</v>
      </c>
      <c r="S276" s="22">
        <v>0</v>
      </c>
      <c r="T276" s="22">
        <v>0</v>
      </c>
      <c r="U276" s="22">
        <v>0</v>
      </c>
      <c r="V276" s="22">
        <v>0</v>
      </c>
      <c r="W276" s="22">
        <v>0</v>
      </c>
      <c r="X276" s="22">
        <v>0</v>
      </c>
      <c r="Y276" s="22">
        <v>0</v>
      </c>
      <c r="Z276" s="22">
        <v>0</v>
      </c>
      <c r="AA276" s="22">
        <v>0</v>
      </c>
      <c r="AB276" s="22">
        <v>0</v>
      </c>
    </row>
    <row r="277" spans="1:28" x14ac:dyDescent="0.35">
      <c r="A277" s="12" t="s">
        <v>1218</v>
      </c>
      <c r="B277" s="22">
        <v>0</v>
      </c>
      <c r="C277" s="22">
        <v>0</v>
      </c>
      <c r="D277" s="22">
        <v>0</v>
      </c>
      <c r="E277" s="22">
        <v>0</v>
      </c>
      <c r="F277" s="22">
        <v>0</v>
      </c>
      <c r="G277" s="22">
        <v>0</v>
      </c>
      <c r="H277" s="22">
        <v>0</v>
      </c>
      <c r="I277" s="22">
        <v>0</v>
      </c>
      <c r="J277" s="22">
        <v>0</v>
      </c>
      <c r="K277" s="22">
        <v>0</v>
      </c>
      <c r="L277" s="22">
        <v>0</v>
      </c>
      <c r="M277" s="22">
        <v>0</v>
      </c>
      <c r="N277" s="22">
        <v>0</v>
      </c>
      <c r="O277" s="22">
        <v>0</v>
      </c>
      <c r="P277" s="22">
        <v>0</v>
      </c>
      <c r="Q277" s="22">
        <v>0</v>
      </c>
      <c r="R277" s="22">
        <v>0</v>
      </c>
      <c r="S277" s="22">
        <v>0</v>
      </c>
      <c r="T277" s="22">
        <v>0</v>
      </c>
      <c r="U277" s="22">
        <v>0</v>
      </c>
      <c r="V277" s="22">
        <v>0</v>
      </c>
      <c r="W277" s="22">
        <v>0</v>
      </c>
      <c r="X277" s="22">
        <v>0</v>
      </c>
      <c r="Y277" s="22">
        <v>0</v>
      </c>
      <c r="Z277" s="22">
        <v>0</v>
      </c>
      <c r="AA277" s="22">
        <v>0</v>
      </c>
      <c r="AB277" s="22">
        <v>0</v>
      </c>
    </row>
    <row r="278" spans="1:28" x14ac:dyDescent="0.35">
      <c r="A278" s="12" t="s">
        <v>1219</v>
      </c>
      <c r="B278" s="22">
        <v>0</v>
      </c>
      <c r="C278" s="22">
        <v>0</v>
      </c>
      <c r="D278" s="22">
        <v>0</v>
      </c>
      <c r="E278" s="22">
        <v>0</v>
      </c>
      <c r="F278" s="22">
        <v>0</v>
      </c>
      <c r="G278" s="22">
        <v>0</v>
      </c>
      <c r="H278" s="22">
        <v>0</v>
      </c>
      <c r="I278" s="22">
        <v>0</v>
      </c>
      <c r="J278" s="22">
        <v>0</v>
      </c>
      <c r="K278" s="22">
        <v>0</v>
      </c>
      <c r="L278" s="22">
        <v>0</v>
      </c>
      <c r="M278" s="22">
        <v>0</v>
      </c>
      <c r="N278" s="22">
        <v>0</v>
      </c>
      <c r="O278" s="22">
        <v>0</v>
      </c>
      <c r="P278" s="22">
        <v>0</v>
      </c>
      <c r="Q278" s="22">
        <v>0</v>
      </c>
      <c r="R278" s="22">
        <v>0</v>
      </c>
      <c r="S278" s="22">
        <v>0</v>
      </c>
      <c r="T278" s="22">
        <v>0</v>
      </c>
      <c r="U278" s="22">
        <v>0</v>
      </c>
      <c r="V278" s="22">
        <v>0</v>
      </c>
      <c r="W278" s="22">
        <v>0</v>
      </c>
      <c r="X278" s="22">
        <v>0</v>
      </c>
      <c r="Y278" s="22">
        <v>0</v>
      </c>
      <c r="Z278" s="22">
        <v>0</v>
      </c>
      <c r="AA278" s="22">
        <v>0</v>
      </c>
      <c r="AB278" s="22">
        <v>0</v>
      </c>
    </row>
    <row r="279" spans="1:28" x14ac:dyDescent="0.35">
      <c r="A279" s="12" t="s">
        <v>1220</v>
      </c>
      <c r="B279" s="22">
        <v>0</v>
      </c>
      <c r="C279" s="22">
        <v>0</v>
      </c>
      <c r="D279" s="22">
        <v>0</v>
      </c>
      <c r="E279" s="22">
        <v>0</v>
      </c>
      <c r="F279" s="22">
        <v>0</v>
      </c>
      <c r="G279" s="22">
        <v>0</v>
      </c>
      <c r="H279" s="22">
        <v>0</v>
      </c>
      <c r="I279" s="22">
        <v>0</v>
      </c>
      <c r="J279" s="22">
        <v>0</v>
      </c>
      <c r="K279" s="22">
        <v>0</v>
      </c>
      <c r="L279" s="22">
        <v>0</v>
      </c>
      <c r="M279" s="22">
        <v>0</v>
      </c>
      <c r="N279" s="22">
        <v>0</v>
      </c>
      <c r="O279" s="22">
        <v>0</v>
      </c>
      <c r="P279" s="22">
        <v>0</v>
      </c>
      <c r="Q279" s="22">
        <v>0</v>
      </c>
      <c r="R279" s="22">
        <v>0</v>
      </c>
      <c r="S279" s="22">
        <v>0</v>
      </c>
      <c r="T279" s="22">
        <v>0</v>
      </c>
      <c r="U279" s="22">
        <v>0</v>
      </c>
      <c r="V279" s="22">
        <v>0</v>
      </c>
      <c r="W279" s="22">
        <v>0</v>
      </c>
      <c r="X279" s="22">
        <v>0</v>
      </c>
      <c r="Y279" s="22">
        <v>0</v>
      </c>
      <c r="Z279" s="22">
        <v>0</v>
      </c>
      <c r="AA279" s="22">
        <v>0</v>
      </c>
      <c r="AB279" s="22">
        <v>0</v>
      </c>
    </row>
    <row r="280" spans="1:28" x14ac:dyDescent="0.35">
      <c r="A280" s="12" t="s">
        <v>1221</v>
      </c>
      <c r="B280" s="22">
        <v>0</v>
      </c>
      <c r="C280" s="22">
        <v>0</v>
      </c>
      <c r="D280" s="22">
        <v>0</v>
      </c>
      <c r="E280" s="22">
        <v>0</v>
      </c>
      <c r="F280" s="22">
        <v>0</v>
      </c>
      <c r="G280" s="22">
        <v>0</v>
      </c>
      <c r="H280" s="22">
        <v>0</v>
      </c>
      <c r="I280" s="22">
        <v>0</v>
      </c>
      <c r="J280" s="22">
        <v>0</v>
      </c>
      <c r="K280" s="22">
        <v>0</v>
      </c>
      <c r="L280" s="22">
        <v>0</v>
      </c>
      <c r="M280" s="22">
        <v>0</v>
      </c>
      <c r="N280" s="22">
        <v>0</v>
      </c>
      <c r="O280" s="22">
        <v>0</v>
      </c>
      <c r="P280" s="22">
        <v>0</v>
      </c>
      <c r="Q280" s="22">
        <v>0</v>
      </c>
      <c r="R280" s="22">
        <v>0</v>
      </c>
      <c r="S280" s="22">
        <v>0</v>
      </c>
      <c r="T280" s="22">
        <v>0</v>
      </c>
      <c r="U280" s="22">
        <v>0</v>
      </c>
      <c r="V280" s="22">
        <v>0</v>
      </c>
      <c r="W280" s="22">
        <v>0</v>
      </c>
      <c r="X280" s="22">
        <v>0</v>
      </c>
      <c r="Y280" s="22">
        <v>0</v>
      </c>
      <c r="Z280" s="22">
        <v>0</v>
      </c>
      <c r="AA280" s="22">
        <v>0</v>
      </c>
      <c r="AB280" s="22">
        <v>0</v>
      </c>
    </row>
    <row r="281" spans="1:28" x14ac:dyDescent="0.35">
      <c r="A281" s="12" t="s">
        <v>1222</v>
      </c>
      <c r="B281" s="22">
        <v>0</v>
      </c>
      <c r="C281" s="22">
        <v>0</v>
      </c>
      <c r="D281" s="22">
        <v>0</v>
      </c>
      <c r="E281" s="22">
        <v>0</v>
      </c>
      <c r="F281" s="22">
        <v>0</v>
      </c>
      <c r="G281" s="22">
        <v>0</v>
      </c>
      <c r="H281" s="22">
        <v>0</v>
      </c>
      <c r="I281" s="22">
        <v>0</v>
      </c>
      <c r="J281" s="22">
        <v>0</v>
      </c>
      <c r="K281" s="22">
        <v>0</v>
      </c>
      <c r="L281" s="22">
        <v>0</v>
      </c>
      <c r="M281" s="22">
        <v>0</v>
      </c>
      <c r="N281" s="22">
        <v>0</v>
      </c>
      <c r="O281" s="22">
        <v>0</v>
      </c>
      <c r="P281" s="22">
        <v>0</v>
      </c>
      <c r="Q281" s="22">
        <v>0</v>
      </c>
      <c r="R281" s="22">
        <v>0</v>
      </c>
      <c r="S281" s="22">
        <v>0</v>
      </c>
      <c r="T281" s="22">
        <v>0</v>
      </c>
      <c r="U281" s="22">
        <v>0</v>
      </c>
      <c r="V281" s="22">
        <v>0</v>
      </c>
      <c r="W281" s="22">
        <v>0</v>
      </c>
      <c r="X281" s="22">
        <v>0</v>
      </c>
      <c r="Y281" s="22">
        <v>0</v>
      </c>
      <c r="Z281" s="22">
        <v>0</v>
      </c>
      <c r="AA281" s="22">
        <v>0</v>
      </c>
      <c r="AB281" s="22">
        <v>0</v>
      </c>
    </row>
    <row r="282" spans="1:28" x14ac:dyDescent="0.35">
      <c r="A282" s="12" t="s">
        <v>1223</v>
      </c>
      <c r="B282" s="22">
        <v>0</v>
      </c>
      <c r="C282" s="22">
        <v>0</v>
      </c>
      <c r="D282" s="22">
        <v>0</v>
      </c>
      <c r="E282" s="22">
        <v>0</v>
      </c>
      <c r="F282" s="22">
        <v>0</v>
      </c>
      <c r="G282" s="22">
        <v>0</v>
      </c>
      <c r="H282" s="22">
        <v>0</v>
      </c>
      <c r="I282" s="22">
        <v>0</v>
      </c>
      <c r="J282" s="22">
        <v>0</v>
      </c>
      <c r="K282" s="22">
        <v>0</v>
      </c>
      <c r="L282" s="22">
        <v>0</v>
      </c>
      <c r="M282" s="22">
        <v>0</v>
      </c>
      <c r="N282" s="22">
        <v>0</v>
      </c>
      <c r="O282" s="22">
        <v>0</v>
      </c>
      <c r="P282" s="22">
        <v>0</v>
      </c>
      <c r="Q282" s="22">
        <v>0</v>
      </c>
      <c r="R282" s="22">
        <v>0</v>
      </c>
      <c r="S282" s="22">
        <v>0</v>
      </c>
      <c r="T282" s="22">
        <v>0</v>
      </c>
      <c r="U282" s="22">
        <v>0</v>
      </c>
      <c r="V282" s="22">
        <v>0</v>
      </c>
      <c r="W282" s="22">
        <v>0</v>
      </c>
      <c r="X282" s="22">
        <v>0</v>
      </c>
      <c r="Y282" s="22">
        <v>0</v>
      </c>
      <c r="Z282" s="22">
        <v>0</v>
      </c>
      <c r="AA282" s="22">
        <v>0</v>
      </c>
      <c r="AB282" s="22">
        <v>0</v>
      </c>
    </row>
    <row r="283" spans="1:28" x14ac:dyDescent="0.35">
      <c r="A283" s="12" t="s">
        <v>1224</v>
      </c>
      <c r="B283" s="22">
        <v>0</v>
      </c>
      <c r="C283" s="22">
        <v>0</v>
      </c>
      <c r="D283" s="22">
        <v>0</v>
      </c>
      <c r="E283" s="22">
        <v>0</v>
      </c>
      <c r="F283" s="22">
        <v>0</v>
      </c>
      <c r="G283" s="22">
        <v>0</v>
      </c>
      <c r="H283" s="22">
        <v>0</v>
      </c>
      <c r="I283" s="22">
        <v>0</v>
      </c>
      <c r="J283" s="22">
        <v>0</v>
      </c>
      <c r="K283" s="22">
        <v>0</v>
      </c>
      <c r="L283" s="22">
        <v>0</v>
      </c>
      <c r="M283" s="22">
        <v>0</v>
      </c>
      <c r="N283" s="22">
        <v>0</v>
      </c>
      <c r="O283" s="22">
        <v>0</v>
      </c>
      <c r="P283" s="22">
        <v>0</v>
      </c>
      <c r="Q283" s="22">
        <v>0</v>
      </c>
      <c r="R283" s="22">
        <v>0</v>
      </c>
      <c r="S283" s="22">
        <v>0</v>
      </c>
      <c r="T283" s="22">
        <v>0</v>
      </c>
      <c r="U283" s="22">
        <v>0</v>
      </c>
      <c r="V283" s="22">
        <v>0</v>
      </c>
      <c r="W283" s="22">
        <v>0</v>
      </c>
      <c r="X283" s="22">
        <v>0</v>
      </c>
      <c r="Y283" s="22">
        <v>0</v>
      </c>
      <c r="Z283" s="22">
        <v>0</v>
      </c>
      <c r="AA283" s="22">
        <v>0</v>
      </c>
      <c r="AB283" s="22">
        <v>0</v>
      </c>
    </row>
    <row r="284" spans="1:28" x14ac:dyDescent="0.35">
      <c r="A284" s="12" t="s">
        <v>1225</v>
      </c>
      <c r="B284" s="22">
        <v>0</v>
      </c>
      <c r="C284" s="22">
        <v>0</v>
      </c>
      <c r="D284" s="22">
        <v>0</v>
      </c>
      <c r="E284" s="22">
        <v>0</v>
      </c>
      <c r="F284" s="22">
        <v>0</v>
      </c>
      <c r="G284" s="22">
        <v>0</v>
      </c>
      <c r="H284" s="22">
        <v>0</v>
      </c>
      <c r="I284" s="22">
        <v>0</v>
      </c>
      <c r="J284" s="22">
        <v>0</v>
      </c>
      <c r="K284" s="22">
        <v>0</v>
      </c>
      <c r="L284" s="22">
        <v>0</v>
      </c>
      <c r="M284" s="22">
        <v>0</v>
      </c>
      <c r="N284" s="22">
        <v>0</v>
      </c>
      <c r="O284" s="22">
        <v>0</v>
      </c>
      <c r="P284" s="22">
        <v>0</v>
      </c>
      <c r="Q284" s="22">
        <v>0</v>
      </c>
      <c r="R284" s="22">
        <v>0</v>
      </c>
      <c r="S284" s="22">
        <v>0</v>
      </c>
      <c r="T284" s="22">
        <v>0</v>
      </c>
      <c r="U284" s="22">
        <v>0</v>
      </c>
      <c r="V284" s="22">
        <v>0</v>
      </c>
      <c r="W284" s="22">
        <v>0</v>
      </c>
      <c r="X284" s="22">
        <v>0</v>
      </c>
      <c r="Y284" s="22">
        <v>0</v>
      </c>
      <c r="Z284" s="22">
        <v>0</v>
      </c>
      <c r="AA284" s="22">
        <v>0</v>
      </c>
      <c r="AB284" s="22">
        <v>0</v>
      </c>
    </row>
    <row r="285" spans="1:28" x14ac:dyDescent="0.35">
      <c r="A285" s="10" t="s">
        <v>1226</v>
      </c>
    </row>
    <row r="286" spans="1:28" x14ac:dyDescent="0.35">
      <c r="A286" s="12" t="s">
        <v>1227</v>
      </c>
      <c r="B286" s="22">
        <v>25</v>
      </c>
      <c r="C286" s="22">
        <v>25</v>
      </c>
      <c r="D286" s="22">
        <v>25</v>
      </c>
      <c r="E286" s="22">
        <v>25</v>
      </c>
      <c r="F286" s="22">
        <v>25</v>
      </c>
      <c r="G286" s="22">
        <v>25</v>
      </c>
      <c r="H286" s="22">
        <v>25</v>
      </c>
      <c r="I286" s="22">
        <v>25</v>
      </c>
      <c r="J286" s="22">
        <v>25</v>
      </c>
      <c r="K286" s="22">
        <v>25</v>
      </c>
      <c r="L286" s="22">
        <v>25</v>
      </c>
      <c r="M286" s="22">
        <v>25</v>
      </c>
      <c r="N286" s="22">
        <v>25</v>
      </c>
      <c r="O286" s="22">
        <v>25</v>
      </c>
      <c r="P286" s="22">
        <v>25</v>
      </c>
      <c r="Q286" s="22">
        <v>25</v>
      </c>
      <c r="R286" s="22">
        <v>25</v>
      </c>
      <c r="S286" s="22">
        <v>25</v>
      </c>
      <c r="T286" s="22">
        <v>25</v>
      </c>
      <c r="U286" s="22">
        <v>25</v>
      </c>
      <c r="V286" s="22">
        <v>25</v>
      </c>
      <c r="W286" s="22">
        <v>25</v>
      </c>
      <c r="X286" s="22">
        <v>25</v>
      </c>
      <c r="Y286" s="22">
        <v>25</v>
      </c>
      <c r="Z286" s="22">
        <v>25</v>
      </c>
      <c r="AA286" s="22">
        <v>25</v>
      </c>
      <c r="AB286" s="22">
        <v>25</v>
      </c>
    </row>
    <row r="287" spans="1:28" x14ac:dyDescent="0.35">
      <c r="A287" s="12" t="s">
        <v>1228</v>
      </c>
      <c r="B287" s="22">
        <v>18</v>
      </c>
      <c r="C287" s="22">
        <v>18</v>
      </c>
      <c r="D287" s="22">
        <v>18</v>
      </c>
      <c r="E287" s="22">
        <v>18</v>
      </c>
      <c r="F287" s="22">
        <v>18</v>
      </c>
      <c r="G287" s="22">
        <v>18</v>
      </c>
      <c r="H287" s="22">
        <v>18</v>
      </c>
      <c r="I287" s="22">
        <v>18</v>
      </c>
      <c r="J287" s="22">
        <v>18</v>
      </c>
      <c r="K287" s="22">
        <v>18</v>
      </c>
      <c r="L287" s="22">
        <v>18</v>
      </c>
      <c r="M287" s="22">
        <v>18</v>
      </c>
      <c r="N287" s="22">
        <v>18</v>
      </c>
      <c r="O287" s="22">
        <v>18</v>
      </c>
      <c r="P287" s="22">
        <v>18</v>
      </c>
      <c r="Q287" s="22">
        <v>18</v>
      </c>
      <c r="R287" s="22">
        <v>18</v>
      </c>
      <c r="S287" s="22">
        <v>18</v>
      </c>
      <c r="T287" s="22">
        <v>18</v>
      </c>
      <c r="U287" s="22">
        <v>18</v>
      </c>
      <c r="V287" s="22">
        <v>18</v>
      </c>
      <c r="W287" s="22">
        <v>18</v>
      </c>
      <c r="X287" s="22">
        <v>18</v>
      </c>
      <c r="Y287" s="22">
        <v>18</v>
      </c>
      <c r="Z287" s="22">
        <v>18</v>
      </c>
      <c r="AA287" s="22">
        <v>18</v>
      </c>
      <c r="AB287" s="22">
        <v>18</v>
      </c>
    </row>
    <row r="288" spans="1:28" x14ac:dyDescent="0.35">
      <c r="A288" s="12" t="s">
        <v>1229</v>
      </c>
      <c r="B288" s="22">
        <v>30</v>
      </c>
      <c r="C288" s="22">
        <v>30</v>
      </c>
      <c r="D288" s="22">
        <v>30</v>
      </c>
      <c r="E288" s="22">
        <v>30</v>
      </c>
      <c r="F288" s="22">
        <v>30</v>
      </c>
      <c r="G288" s="22">
        <v>30</v>
      </c>
      <c r="H288" s="22">
        <v>30</v>
      </c>
      <c r="I288" s="22">
        <v>30</v>
      </c>
      <c r="J288" s="22">
        <v>30</v>
      </c>
      <c r="K288" s="22">
        <v>30</v>
      </c>
      <c r="L288" s="22">
        <v>30</v>
      </c>
      <c r="M288" s="22">
        <v>30</v>
      </c>
      <c r="N288" s="22">
        <v>30</v>
      </c>
      <c r="O288" s="22">
        <v>30</v>
      </c>
      <c r="P288" s="22">
        <v>30</v>
      </c>
      <c r="Q288" s="22">
        <v>30</v>
      </c>
      <c r="R288" s="22">
        <v>30</v>
      </c>
      <c r="S288" s="22">
        <v>30</v>
      </c>
      <c r="T288" s="22">
        <v>30</v>
      </c>
      <c r="U288" s="22">
        <v>30</v>
      </c>
      <c r="V288" s="22">
        <v>30</v>
      </c>
      <c r="W288" s="22">
        <v>30</v>
      </c>
      <c r="X288" s="22">
        <v>30</v>
      </c>
      <c r="Y288" s="22">
        <v>30</v>
      </c>
      <c r="Z288" s="22">
        <v>30</v>
      </c>
      <c r="AA288" s="22">
        <v>30</v>
      </c>
      <c r="AB288" s="22">
        <v>30</v>
      </c>
    </row>
    <row r="289" spans="1:28" x14ac:dyDescent="0.35">
      <c r="A289" s="12" t="s">
        <v>1230</v>
      </c>
      <c r="B289" s="22">
        <v>25</v>
      </c>
      <c r="C289" s="22">
        <v>25</v>
      </c>
      <c r="D289" s="22">
        <v>25</v>
      </c>
      <c r="E289" s="22">
        <v>25</v>
      </c>
      <c r="F289" s="22">
        <v>25</v>
      </c>
      <c r="G289" s="22">
        <v>25</v>
      </c>
      <c r="H289" s="22">
        <v>25</v>
      </c>
      <c r="I289" s="22">
        <v>25</v>
      </c>
      <c r="J289" s="22">
        <v>25</v>
      </c>
      <c r="K289" s="22">
        <v>25</v>
      </c>
      <c r="L289" s="22">
        <v>25</v>
      </c>
      <c r="M289" s="22">
        <v>25</v>
      </c>
      <c r="N289" s="22">
        <v>25</v>
      </c>
      <c r="O289" s="22">
        <v>25</v>
      </c>
      <c r="P289" s="22">
        <v>25</v>
      </c>
      <c r="Q289" s="22">
        <v>25</v>
      </c>
      <c r="R289" s="22">
        <v>25</v>
      </c>
      <c r="S289" s="22">
        <v>25</v>
      </c>
      <c r="T289" s="22">
        <v>25</v>
      </c>
      <c r="U289" s="22">
        <v>25</v>
      </c>
      <c r="V289" s="22">
        <v>25</v>
      </c>
      <c r="W289" s="22">
        <v>25</v>
      </c>
      <c r="X289" s="22">
        <v>25</v>
      </c>
      <c r="Y289" s="22">
        <v>25</v>
      </c>
      <c r="Z289" s="22">
        <v>25</v>
      </c>
      <c r="AA289" s="22">
        <v>25</v>
      </c>
      <c r="AB289" s="22">
        <v>25</v>
      </c>
    </row>
    <row r="290" spans="1:28" x14ac:dyDescent="0.35">
      <c r="A290" s="12" t="s">
        <v>1231</v>
      </c>
      <c r="B290" s="22">
        <v>22</v>
      </c>
      <c r="C290" s="22">
        <v>22</v>
      </c>
      <c r="D290" s="22">
        <v>22</v>
      </c>
      <c r="E290" s="22">
        <v>22</v>
      </c>
      <c r="F290" s="22">
        <v>22</v>
      </c>
      <c r="G290" s="22">
        <v>22</v>
      </c>
      <c r="H290" s="22">
        <v>22</v>
      </c>
      <c r="I290" s="22">
        <v>22</v>
      </c>
      <c r="J290" s="22">
        <v>22</v>
      </c>
      <c r="K290" s="22">
        <v>22</v>
      </c>
      <c r="L290" s="22">
        <v>22</v>
      </c>
      <c r="M290" s="22">
        <v>22</v>
      </c>
      <c r="N290" s="22">
        <v>22</v>
      </c>
      <c r="O290" s="22">
        <v>22</v>
      </c>
      <c r="P290" s="22">
        <v>22</v>
      </c>
      <c r="Q290" s="22">
        <v>22</v>
      </c>
      <c r="R290" s="22">
        <v>22</v>
      </c>
      <c r="S290" s="22">
        <v>22</v>
      </c>
      <c r="T290" s="22">
        <v>22</v>
      </c>
      <c r="U290" s="22">
        <v>22</v>
      </c>
      <c r="V290" s="22">
        <v>22</v>
      </c>
      <c r="W290" s="22">
        <v>22</v>
      </c>
      <c r="X290" s="22">
        <v>22</v>
      </c>
      <c r="Y290" s="22">
        <v>22</v>
      </c>
      <c r="Z290" s="22">
        <v>22</v>
      </c>
      <c r="AA290" s="22">
        <v>22</v>
      </c>
      <c r="AB290" s="22">
        <v>22</v>
      </c>
    </row>
    <row r="291" spans="1:28" x14ac:dyDescent="0.35">
      <c r="A291" s="12" t="s">
        <v>1232</v>
      </c>
      <c r="B291" s="22">
        <v>34</v>
      </c>
      <c r="C291" s="22">
        <v>34</v>
      </c>
      <c r="D291" s="22">
        <v>34</v>
      </c>
      <c r="E291" s="22">
        <v>34</v>
      </c>
      <c r="F291" s="22">
        <v>34</v>
      </c>
      <c r="G291" s="22">
        <v>34</v>
      </c>
      <c r="H291" s="22">
        <v>34</v>
      </c>
      <c r="I291" s="22">
        <v>34</v>
      </c>
      <c r="J291" s="22">
        <v>34</v>
      </c>
      <c r="K291" s="22">
        <v>34</v>
      </c>
      <c r="L291" s="22">
        <v>34</v>
      </c>
      <c r="M291" s="22">
        <v>34</v>
      </c>
      <c r="N291" s="22">
        <v>34</v>
      </c>
      <c r="O291" s="22">
        <v>34</v>
      </c>
      <c r="P291" s="22">
        <v>34</v>
      </c>
      <c r="Q291" s="22">
        <v>34</v>
      </c>
      <c r="R291" s="22">
        <v>34</v>
      </c>
      <c r="S291" s="22">
        <v>34</v>
      </c>
      <c r="T291" s="22">
        <v>34</v>
      </c>
      <c r="U291" s="22">
        <v>34</v>
      </c>
      <c r="V291" s="22">
        <v>34</v>
      </c>
      <c r="W291" s="22">
        <v>34</v>
      </c>
      <c r="X291" s="22">
        <v>34</v>
      </c>
      <c r="Y291" s="22">
        <v>34</v>
      </c>
      <c r="Z291" s="22">
        <v>34</v>
      </c>
      <c r="AA291" s="22">
        <v>34</v>
      </c>
      <c r="AB291" s="22">
        <v>34</v>
      </c>
    </row>
    <row r="292" spans="1:28" x14ac:dyDescent="0.35">
      <c r="A292" s="12" t="s">
        <v>1233</v>
      </c>
      <c r="B292" s="22">
        <v>10</v>
      </c>
      <c r="C292" s="22">
        <v>10</v>
      </c>
      <c r="D292" s="22">
        <v>10</v>
      </c>
      <c r="E292" s="22">
        <v>10</v>
      </c>
      <c r="F292" s="22">
        <v>10</v>
      </c>
      <c r="G292" s="22">
        <v>10</v>
      </c>
      <c r="H292" s="22">
        <v>10</v>
      </c>
      <c r="I292" s="22">
        <v>10</v>
      </c>
      <c r="J292" s="22">
        <v>10</v>
      </c>
      <c r="K292" s="22">
        <v>10</v>
      </c>
      <c r="L292" s="22">
        <v>10</v>
      </c>
      <c r="M292" s="22">
        <v>10</v>
      </c>
      <c r="N292" s="22">
        <v>10</v>
      </c>
      <c r="O292" s="22">
        <v>10</v>
      </c>
      <c r="P292" s="22">
        <v>10</v>
      </c>
      <c r="Q292" s="22">
        <v>10</v>
      </c>
      <c r="R292" s="22">
        <v>10</v>
      </c>
      <c r="S292" s="22">
        <v>10</v>
      </c>
      <c r="T292" s="22">
        <v>10</v>
      </c>
      <c r="U292" s="22">
        <v>10</v>
      </c>
      <c r="V292" s="22">
        <v>10</v>
      </c>
      <c r="W292" s="22">
        <v>10</v>
      </c>
      <c r="X292" s="22">
        <v>10</v>
      </c>
      <c r="Y292" s="22">
        <v>10</v>
      </c>
      <c r="Z292" s="22">
        <v>10</v>
      </c>
      <c r="AA292" s="22">
        <v>10</v>
      </c>
      <c r="AB292" s="22">
        <v>10</v>
      </c>
    </row>
    <row r="293" spans="1:28" x14ac:dyDescent="0.35">
      <c r="A293" s="12" t="s">
        <v>1234</v>
      </c>
      <c r="B293" s="22">
        <v>26.5</v>
      </c>
      <c r="C293" s="22">
        <v>26.5</v>
      </c>
      <c r="D293" s="22">
        <v>26.5</v>
      </c>
      <c r="E293" s="22">
        <v>26.5</v>
      </c>
      <c r="F293" s="22">
        <v>26.5</v>
      </c>
      <c r="G293" s="22">
        <v>26.5</v>
      </c>
      <c r="H293" s="22">
        <v>26.5</v>
      </c>
      <c r="I293" s="22">
        <v>26.5</v>
      </c>
      <c r="J293" s="22">
        <v>26.5</v>
      </c>
      <c r="K293" s="22">
        <v>26.5</v>
      </c>
      <c r="L293" s="22">
        <v>26.5</v>
      </c>
      <c r="M293" s="22">
        <v>26.5</v>
      </c>
      <c r="N293" s="22">
        <v>26.5</v>
      </c>
      <c r="O293" s="22">
        <v>26.5</v>
      </c>
      <c r="P293" s="22">
        <v>26.5</v>
      </c>
      <c r="Q293" s="22">
        <v>26.5</v>
      </c>
      <c r="R293" s="22">
        <v>26.5</v>
      </c>
      <c r="S293" s="22">
        <v>26.5</v>
      </c>
      <c r="T293" s="22">
        <v>26.5</v>
      </c>
      <c r="U293" s="22">
        <v>26.5</v>
      </c>
      <c r="V293" s="22">
        <v>26.5</v>
      </c>
      <c r="W293" s="22">
        <v>26.5</v>
      </c>
      <c r="X293" s="22">
        <v>26.5</v>
      </c>
      <c r="Y293" s="22">
        <v>26.5</v>
      </c>
      <c r="Z293" s="22">
        <v>26.5</v>
      </c>
      <c r="AA293" s="22">
        <v>26.5</v>
      </c>
      <c r="AB293" s="22">
        <v>26.5</v>
      </c>
    </row>
    <row r="294" spans="1:28" x14ac:dyDescent="0.35">
      <c r="A294" s="12" t="s">
        <v>1235</v>
      </c>
      <c r="B294" s="22">
        <v>27</v>
      </c>
      <c r="C294" s="22">
        <v>27</v>
      </c>
      <c r="D294" s="22">
        <v>27</v>
      </c>
      <c r="E294" s="22">
        <v>27</v>
      </c>
      <c r="F294" s="22">
        <v>27</v>
      </c>
      <c r="G294" s="22">
        <v>27</v>
      </c>
      <c r="H294" s="22">
        <v>27</v>
      </c>
      <c r="I294" s="22">
        <v>27</v>
      </c>
      <c r="J294" s="22">
        <v>27</v>
      </c>
      <c r="K294" s="22">
        <v>27</v>
      </c>
      <c r="L294" s="22">
        <v>27</v>
      </c>
      <c r="M294" s="22">
        <v>27</v>
      </c>
      <c r="N294" s="22">
        <v>27</v>
      </c>
      <c r="O294" s="22">
        <v>27</v>
      </c>
      <c r="P294" s="22">
        <v>27</v>
      </c>
      <c r="Q294" s="22">
        <v>27</v>
      </c>
      <c r="R294" s="22">
        <v>27</v>
      </c>
      <c r="S294" s="22">
        <v>27</v>
      </c>
      <c r="T294" s="22">
        <v>27</v>
      </c>
      <c r="U294" s="22">
        <v>27</v>
      </c>
      <c r="V294" s="22">
        <v>27</v>
      </c>
      <c r="W294" s="22">
        <v>27</v>
      </c>
      <c r="X294" s="22">
        <v>27</v>
      </c>
      <c r="Y294" s="22">
        <v>27</v>
      </c>
      <c r="Z294" s="22">
        <v>27</v>
      </c>
      <c r="AA294" s="22">
        <v>27</v>
      </c>
      <c r="AB294" s="22">
        <v>27</v>
      </c>
    </row>
    <row r="295" spans="1:28" x14ac:dyDescent="0.35">
      <c r="A295" s="12" t="s">
        <v>1236</v>
      </c>
      <c r="B295" s="22">
        <v>25</v>
      </c>
      <c r="C295" s="22">
        <v>25</v>
      </c>
      <c r="D295" s="22">
        <v>25</v>
      </c>
      <c r="E295" s="22">
        <v>25</v>
      </c>
      <c r="F295" s="22">
        <v>25</v>
      </c>
      <c r="G295" s="22">
        <v>25</v>
      </c>
      <c r="H295" s="22">
        <v>25</v>
      </c>
      <c r="I295" s="22">
        <v>25</v>
      </c>
      <c r="J295" s="22">
        <v>25</v>
      </c>
      <c r="K295" s="22">
        <v>25</v>
      </c>
      <c r="L295" s="22">
        <v>25</v>
      </c>
      <c r="M295" s="22">
        <v>25</v>
      </c>
      <c r="N295" s="22">
        <v>25</v>
      </c>
      <c r="O295" s="22">
        <v>25</v>
      </c>
      <c r="P295" s="22">
        <v>25</v>
      </c>
      <c r="Q295" s="22">
        <v>25</v>
      </c>
      <c r="R295" s="22">
        <v>25</v>
      </c>
      <c r="S295" s="22">
        <v>25</v>
      </c>
      <c r="T295" s="22">
        <v>25</v>
      </c>
      <c r="U295" s="22">
        <v>25</v>
      </c>
      <c r="V295" s="22">
        <v>25</v>
      </c>
      <c r="W295" s="22">
        <v>25</v>
      </c>
      <c r="X295" s="22">
        <v>25</v>
      </c>
      <c r="Y295" s="22">
        <v>25</v>
      </c>
      <c r="Z295" s="22">
        <v>25</v>
      </c>
      <c r="AA295" s="22">
        <v>25</v>
      </c>
      <c r="AB295" s="22">
        <v>25</v>
      </c>
    </row>
    <row r="296" spans="1:28" x14ac:dyDescent="0.35">
      <c r="A296" s="12" t="s">
        <v>1237</v>
      </c>
      <c r="B296" s="22">
        <v>30</v>
      </c>
      <c r="C296" s="22">
        <v>30</v>
      </c>
      <c r="D296" s="22">
        <v>30</v>
      </c>
      <c r="E296" s="22">
        <v>30</v>
      </c>
      <c r="F296" s="22">
        <v>30</v>
      </c>
      <c r="G296" s="22">
        <v>30</v>
      </c>
      <c r="H296" s="22">
        <v>30</v>
      </c>
      <c r="I296" s="22">
        <v>30</v>
      </c>
      <c r="J296" s="22">
        <v>30</v>
      </c>
      <c r="K296" s="22">
        <v>30</v>
      </c>
      <c r="L296" s="22">
        <v>30</v>
      </c>
      <c r="M296" s="22">
        <v>30</v>
      </c>
      <c r="N296" s="22">
        <v>30</v>
      </c>
      <c r="O296" s="22">
        <v>30</v>
      </c>
      <c r="P296" s="22">
        <v>30</v>
      </c>
      <c r="Q296" s="22">
        <v>30</v>
      </c>
      <c r="R296" s="22">
        <v>30</v>
      </c>
      <c r="S296" s="22">
        <v>30</v>
      </c>
      <c r="T296" s="22">
        <v>30</v>
      </c>
      <c r="U296" s="22">
        <v>30</v>
      </c>
      <c r="V296" s="22">
        <v>30</v>
      </c>
      <c r="W296" s="22">
        <v>30</v>
      </c>
      <c r="X296" s="22">
        <v>30</v>
      </c>
      <c r="Y296" s="22">
        <v>30</v>
      </c>
      <c r="Z296" s="22">
        <v>30</v>
      </c>
      <c r="AA296" s="22">
        <v>30</v>
      </c>
      <c r="AB296" s="22">
        <v>30</v>
      </c>
    </row>
    <row r="297" spans="1:28" x14ac:dyDescent="0.35">
      <c r="A297" s="12" t="s">
        <v>1238</v>
      </c>
      <c r="B297" s="22">
        <v>27</v>
      </c>
      <c r="C297" s="22">
        <v>27</v>
      </c>
      <c r="D297" s="22">
        <v>27</v>
      </c>
      <c r="E297" s="22">
        <v>27</v>
      </c>
      <c r="F297" s="22">
        <v>27</v>
      </c>
      <c r="G297" s="22">
        <v>27</v>
      </c>
      <c r="H297" s="22">
        <v>27</v>
      </c>
      <c r="I297" s="22">
        <v>27</v>
      </c>
      <c r="J297" s="22">
        <v>27</v>
      </c>
      <c r="K297" s="22">
        <v>27</v>
      </c>
      <c r="L297" s="22">
        <v>27</v>
      </c>
      <c r="M297" s="22">
        <v>27</v>
      </c>
      <c r="N297" s="22">
        <v>27</v>
      </c>
      <c r="O297" s="22">
        <v>27</v>
      </c>
      <c r="P297" s="22">
        <v>27</v>
      </c>
      <c r="Q297" s="22">
        <v>27</v>
      </c>
      <c r="R297" s="22">
        <v>27</v>
      </c>
      <c r="S297" s="22">
        <v>27</v>
      </c>
      <c r="T297" s="22">
        <v>27</v>
      </c>
      <c r="U297" s="22">
        <v>27</v>
      </c>
      <c r="V297" s="22">
        <v>27</v>
      </c>
      <c r="W297" s="22">
        <v>27</v>
      </c>
      <c r="X297" s="22">
        <v>27</v>
      </c>
      <c r="Y297" s="22">
        <v>27</v>
      </c>
      <c r="Z297" s="22">
        <v>27</v>
      </c>
      <c r="AA297" s="22">
        <v>27</v>
      </c>
      <c r="AB297" s="22">
        <v>27</v>
      </c>
    </row>
    <row r="298" spans="1:28" x14ac:dyDescent="0.35">
      <c r="A298" s="12" t="s">
        <v>1239</v>
      </c>
      <c r="B298" s="22">
        <v>25</v>
      </c>
      <c r="C298" s="22">
        <v>25</v>
      </c>
      <c r="D298" s="22">
        <v>25</v>
      </c>
      <c r="E298" s="22">
        <v>25</v>
      </c>
      <c r="F298" s="22">
        <v>25</v>
      </c>
      <c r="G298" s="22">
        <v>25</v>
      </c>
      <c r="H298" s="22">
        <v>25</v>
      </c>
      <c r="I298" s="22">
        <v>25</v>
      </c>
      <c r="J298" s="22">
        <v>25</v>
      </c>
      <c r="K298" s="22">
        <v>25</v>
      </c>
      <c r="L298" s="22">
        <v>25</v>
      </c>
      <c r="M298" s="22">
        <v>25</v>
      </c>
      <c r="N298" s="22">
        <v>25</v>
      </c>
      <c r="O298" s="22">
        <v>25</v>
      </c>
      <c r="P298" s="22">
        <v>25</v>
      </c>
      <c r="Q298" s="22">
        <v>25</v>
      </c>
      <c r="R298" s="22">
        <v>25</v>
      </c>
      <c r="S298" s="22">
        <v>25</v>
      </c>
      <c r="T298" s="22">
        <v>25</v>
      </c>
      <c r="U298" s="22">
        <v>25</v>
      </c>
      <c r="V298" s="22">
        <v>25</v>
      </c>
      <c r="W298" s="22">
        <v>25</v>
      </c>
      <c r="X298" s="22">
        <v>25</v>
      </c>
      <c r="Y298" s="22">
        <v>25</v>
      </c>
      <c r="Z298" s="22">
        <v>25</v>
      </c>
      <c r="AA298" s="22">
        <v>25</v>
      </c>
      <c r="AB298" s="22">
        <v>25</v>
      </c>
    </row>
    <row r="299" spans="1:28" x14ac:dyDescent="0.35">
      <c r="A299" s="12" t="s">
        <v>1240</v>
      </c>
      <c r="B299" s="22">
        <v>38</v>
      </c>
      <c r="C299" s="22">
        <v>38</v>
      </c>
      <c r="D299" s="22">
        <v>38</v>
      </c>
      <c r="E299" s="22">
        <v>38</v>
      </c>
      <c r="F299" s="22">
        <v>38</v>
      </c>
      <c r="G299" s="22">
        <v>38</v>
      </c>
      <c r="H299" s="22">
        <v>38</v>
      </c>
      <c r="I299" s="22">
        <v>38</v>
      </c>
      <c r="J299" s="22">
        <v>38</v>
      </c>
      <c r="K299" s="22">
        <v>38</v>
      </c>
      <c r="L299" s="22">
        <v>38</v>
      </c>
      <c r="M299" s="22">
        <v>38</v>
      </c>
      <c r="N299" s="22">
        <v>38</v>
      </c>
      <c r="O299" s="22">
        <v>38</v>
      </c>
      <c r="P299" s="22">
        <v>38</v>
      </c>
      <c r="Q299" s="22">
        <v>38</v>
      </c>
      <c r="R299" s="22">
        <v>38</v>
      </c>
      <c r="S299" s="22">
        <v>38</v>
      </c>
      <c r="T299" s="22">
        <v>38</v>
      </c>
      <c r="U299" s="22">
        <v>38</v>
      </c>
      <c r="V299" s="22">
        <v>38</v>
      </c>
      <c r="W299" s="22">
        <v>38</v>
      </c>
      <c r="X299" s="22">
        <v>38</v>
      </c>
      <c r="Y299" s="22">
        <v>38</v>
      </c>
      <c r="Z299" s="22">
        <v>38</v>
      </c>
      <c r="AA299" s="22">
        <v>38</v>
      </c>
      <c r="AB299" s="22">
        <v>38</v>
      </c>
    </row>
    <row r="300" spans="1:28" x14ac:dyDescent="0.35">
      <c r="A300" s="12" t="s">
        <v>1241</v>
      </c>
      <c r="B300" s="22">
        <v>20</v>
      </c>
      <c r="C300" s="22">
        <v>20</v>
      </c>
      <c r="D300" s="22">
        <v>20</v>
      </c>
      <c r="E300" s="22">
        <v>20</v>
      </c>
      <c r="F300" s="22">
        <v>20</v>
      </c>
      <c r="G300" s="22">
        <v>20</v>
      </c>
      <c r="H300" s="22">
        <v>20</v>
      </c>
      <c r="I300" s="22">
        <v>20</v>
      </c>
      <c r="J300" s="22">
        <v>20</v>
      </c>
      <c r="K300" s="22">
        <v>20</v>
      </c>
      <c r="L300" s="22">
        <v>20</v>
      </c>
      <c r="M300" s="22">
        <v>20</v>
      </c>
      <c r="N300" s="22">
        <v>20</v>
      </c>
      <c r="O300" s="22">
        <v>20</v>
      </c>
      <c r="P300" s="22">
        <v>20</v>
      </c>
      <c r="Q300" s="22">
        <v>20</v>
      </c>
      <c r="R300" s="22">
        <v>20</v>
      </c>
      <c r="S300" s="22">
        <v>20</v>
      </c>
      <c r="T300" s="22">
        <v>20</v>
      </c>
      <c r="U300" s="22">
        <v>20</v>
      </c>
      <c r="V300" s="22">
        <v>20</v>
      </c>
      <c r="W300" s="22">
        <v>20</v>
      </c>
      <c r="X300" s="22">
        <v>20</v>
      </c>
      <c r="Y300" s="22">
        <v>20</v>
      </c>
      <c r="Z300" s="22">
        <v>20</v>
      </c>
      <c r="AA300" s="22">
        <v>20</v>
      </c>
      <c r="AB300" s="22">
        <v>20</v>
      </c>
    </row>
    <row r="301" spans="1:28" x14ac:dyDescent="0.35">
      <c r="A301" s="12" t="s">
        <v>1242</v>
      </c>
      <c r="B301" s="22">
        <v>22</v>
      </c>
      <c r="C301" s="22">
        <v>22</v>
      </c>
      <c r="D301" s="22">
        <v>22</v>
      </c>
      <c r="E301" s="22">
        <v>22</v>
      </c>
      <c r="F301" s="22">
        <v>22</v>
      </c>
      <c r="G301" s="22">
        <v>22</v>
      </c>
      <c r="H301" s="22">
        <v>22</v>
      </c>
      <c r="I301" s="22">
        <v>22</v>
      </c>
      <c r="J301" s="22">
        <v>22</v>
      </c>
      <c r="K301" s="22">
        <v>22</v>
      </c>
      <c r="L301" s="22">
        <v>22</v>
      </c>
      <c r="M301" s="22">
        <v>22</v>
      </c>
      <c r="N301" s="22">
        <v>22</v>
      </c>
      <c r="O301" s="22">
        <v>22</v>
      </c>
      <c r="P301" s="22">
        <v>22</v>
      </c>
      <c r="Q301" s="22">
        <v>22</v>
      </c>
      <c r="R301" s="22">
        <v>22</v>
      </c>
      <c r="S301" s="22">
        <v>22</v>
      </c>
      <c r="T301" s="22">
        <v>22</v>
      </c>
      <c r="U301" s="22">
        <v>22</v>
      </c>
      <c r="V301" s="22">
        <v>22</v>
      </c>
      <c r="W301" s="22">
        <v>22</v>
      </c>
      <c r="X301" s="22">
        <v>22</v>
      </c>
      <c r="Y301" s="22">
        <v>22</v>
      </c>
      <c r="Z301" s="22">
        <v>22</v>
      </c>
      <c r="AA301" s="22">
        <v>22</v>
      </c>
      <c r="AB301" s="22">
        <v>22</v>
      </c>
    </row>
    <row r="302" spans="1:28" x14ac:dyDescent="0.35">
      <c r="A302" s="12" t="s">
        <v>1243</v>
      </c>
      <c r="B302" s="22">
        <v>25</v>
      </c>
      <c r="C302" s="22">
        <v>25</v>
      </c>
      <c r="D302" s="22">
        <v>25</v>
      </c>
      <c r="E302" s="22">
        <v>25</v>
      </c>
      <c r="F302" s="22">
        <v>25</v>
      </c>
      <c r="G302" s="22">
        <v>25</v>
      </c>
      <c r="H302" s="22">
        <v>25</v>
      </c>
      <c r="I302" s="22">
        <v>25</v>
      </c>
      <c r="J302" s="22">
        <v>25</v>
      </c>
      <c r="K302" s="22">
        <v>25</v>
      </c>
      <c r="L302" s="22">
        <v>25</v>
      </c>
      <c r="M302" s="22">
        <v>25</v>
      </c>
      <c r="N302" s="22">
        <v>25</v>
      </c>
      <c r="O302" s="22">
        <v>25</v>
      </c>
      <c r="P302" s="22">
        <v>25</v>
      </c>
      <c r="Q302" s="22">
        <v>25</v>
      </c>
      <c r="R302" s="22">
        <v>25</v>
      </c>
      <c r="S302" s="22">
        <v>25</v>
      </c>
      <c r="T302" s="22">
        <v>25</v>
      </c>
      <c r="U302" s="22">
        <v>25</v>
      </c>
      <c r="V302" s="22">
        <v>25</v>
      </c>
      <c r="W302" s="22">
        <v>25</v>
      </c>
      <c r="X302" s="22">
        <v>25</v>
      </c>
      <c r="Y302" s="22">
        <v>25</v>
      </c>
      <c r="Z302" s="22">
        <v>25</v>
      </c>
      <c r="AA302" s="22">
        <v>25</v>
      </c>
      <c r="AB302" s="22">
        <v>25</v>
      </c>
    </row>
    <row r="303" spans="1:28" x14ac:dyDescent="0.35">
      <c r="A303" s="12" t="s">
        <v>1244</v>
      </c>
      <c r="B303" s="22">
        <v>20</v>
      </c>
      <c r="C303" s="22">
        <v>20</v>
      </c>
      <c r="D303" s="22">
        <v>20</v>
      </c>
      <c r="E303" s="22">
        <v>20</v>
      </c>
      <c r="F303" s="22">
        <v>20</v>
      </c>
      <c r="G303" s="22">
        <v>20</v>
      </c>
      <c r="H303" s="22">
        <v>20</v>
      </c>
      <c r="I303" s="22">
        <v>20</v>
      </c>
      <c r="J303" s="22">
        <v>20</v>
      </c>
      <c r="K303" s="22">
        <v>20</v>
      </c>
      <c r="L303" s="22">
        <v>20</v>
      </c>
      <c r="M303" s="22">
        <v>20</v>
      </c>
      <c r="N303" s="22">
        <v>20</v>
      </c>
      <c r="O303" s="22">
        <v>20</v>
      </c>
      <c r="P303" s="22">
        <v>20</v>
      </c>
      <c r="Q303" s="22">
        <v>20</v>
      </c>
      <c r="R303" s="22">
        <v>20</v>
      </c>
      <c r="S303" s="22">
        <v>20</v>
      </c>
      <c r="T303" s="22">
        <v>20</v>
      </c>
      <c r="U303" s="22">
        <v>20</v>
      </c>
      <c r="V303" s="22">
        <v>20</v>
      </c>
      <c r="W303" s="22">
        <v>20</v>
      </c>
      <c r="X303" s="22">
        <v>20</v>
      </c>
      <c r="Y303" s="22">
        <v>20</v>
      </c>
      <c r="Z303" s="22">
        <v>20</v>
      </c>
      <c r="AA303" s="22">
        <v>20</v>
      </c>
      <c r="AB303" s="22">
        <v>20</v>
      </c>
    </row>
    <row r="304" spans="1:28" x14ac:dyDescent="0.35">
      <c r="A304" s="12" t="s">
        <v>1245</v>
      </c>
      <c r="B304" s="22">
        <v>10</v>
      </c>
      <c r="C304" s="22">
        <v>10</v>
      </c>
      <c r="D304" s="22">
        <v>10</v>
      </c>
      <c r="E304" s="22">
        <v>10</v>
      </c>
      <c r="F304" s="22">
        <v>10</v>
      </c>
      <c r="G304" s="22">
        <v>10</v>
      </c>
      <c r="H304" s="22">
        <v>10</v>
      </c>
      <c r="I304" s="22">
        <v>10</v>
      </c>
      <c r="J304" s="22">
        <v>10</v>
      </c>
      <c r="K304" s="22">
        <v>10</v>
      </c>
      <c r="L304" s="22">
        <v>10</v>
      </c>
      <c r="M304" s="22">
        <v>10</v>
      </c>
      <c r="N304" s="22">
        <v>10</v>
      </c>
      <c r="O304" s="22">
        <v>10</v>
      </c>
      <c r="P304" s="22">
        <v>10</v>
      </c>
      <c r="Q304" s="22">
        <v>10</v>
      </c>
      <c r="R304" s="22">
        <v>10</v>
      </c>
      <c r="S304" s="22">
        <v>10</v>
      </c>
      <c r="T304" s="22">
        <v>10</v>
      </c>
      <c r="U304" s="22">
        <v>10</v>
      </c>
      <c r="V304" s="22">
        <v>10</v>
      </c>
      <c r="W304" s="22">
        <v>10</v>
      </c>
      <c r="X304" s="22">
        <v>10</v>
      </c>
      <c r="Y304" s="22">
        <v>10</v>
      </c>
      <c r="Z304" s="22">
        <v>10</v>
      </c>
      <c r="AA304" s="22">
        <v>10</v>
      </c>
      <c r="AB304" s="22">
        <v>10</v>
      </c>
    </row>
    <row r="305" spans="1:28" x14ac:dyDescent="0.35">
      <c r="A305" s="12" t="s">
        <v>1246</v>
      </c>
      <c r="B305" s="22">
        <v>35</v>
      </c>
      <c r="C305" s="22">
        <v>35</v>
      </c>
      <c r="D305" s="22">
        <v>35</v>
      </c>
      <c r="E305" s="22">
        <v>35</v>
      </c>
      <c r="F305" s="22">
        <v>35</v>
      </c>
      <c r="G305" s="22">
        <v>35</v>
      </c>
      <c r="H305" s="22">
        <v>35</v>
      </c>
      <c r="I305" s="22">
        <v>35</v>
      </c>
      <c r="J305" s="22">
        <v>35</v>
      </c>
      <c r="K305" s="22">
        <v>35</v>
      </c>
      <c r="L305" s="22">
        <v>35</v>
      </c>
      <c r="M305" s="22">
        <v>35</v>
      </c>
      <c r="N305" s="22">
        <v>35</v>
      </c>
      <c r="O305" s="22">
        <v>35</v>
      </c>
      <c r="P305" s="22">
        <v>35</v>
      </c>
      <c r="Q305" s="22">
        <v>35</v>
      </c>
      <c r="R305" s="22">
        <v>35</v>
      </c>
      <c r="S305" s="22">
        <v>35</v>
      </c>
      <c r="T305" s="22">
        <v>35</v>
      </c>
      <c r="U305" s="22">
        <v>35</v>
      </c>
      <c r="V305" s="22">
        <v>35</v>
      </c>
      <c r="W305" s="22">
        <v>35</v>
      </c>
      <c r="X305" s="22">
        <v>35</v>
      </c>
      <c r="Y305" s="22">
        <v>35</v>
      </c>
      <c r="Z305" s="22">
        <v>35</v>
      </c>
      <c r="AA305" s="22">
        <v>35</v>
      </c>
      <c r="AB305" s="22">
        <v>35</v>
      </c>
    </row>
    <row r="306" spans="1:28" x14ac:dyDescent="0.35">
      <c r="A306" s="12" t="s">
        <v>1247</v>
      </c>
      <c r="B306" s="22">
        <v>25</v>
      </c>
      <c r="C306" s="22">
        <v>25</v>
      </c>
      <c r="D306" s="22">
        <v>25</v>
      </c>
      <c r="E306" s="22">
        <v>25</v>
      </c>
      <c r="F306" s="22">
        <v>25</v>
      </c>
      <c r="G306" s="22">
        <v>25</v>
      </c>
      <c r="H306" s="22">
        <v>25</v>
      </c>
      <c r="I306" s="22">
        <v>25</v>
      </c>
      <c r="J306" s="22">
        <v>25</v>
      </c>
      <c r="K306" s="22">
        <v>25</v>
      </c>
      <c r="L306" s="22">
        <v>25</v>
      </c>
      <c r="M306" s="22">
        <v>25</v>
      </c>
      <c r="N306" s="22">
        <v>25</v>
      </c>
      <c r="O306" s="22">
        <v>25</v>
      </c>
      <c r="P306" s="22">
        <v>25</v>
      </c>
      <c r="Q306" s="22">
        <v>25</v>
      </c>
      <c r="R306" s="22">
        <v>25</v>
      </c>
      <c r="S306" s="22">
        <v>25</v>
      </c>
      <c r="T306" s="22">
        <v>25</v>
      </c>
      <c r="U306" s="22">
        <v>25</v>
      </c>
      <c r="V306" s="22">
        <v>25</v>
      </c>
      <c r="W306" s="22">
        <v>25</v>
      </c>
      <c r="X306" s="22">
        <v>25</v>
      </c>
      <c r="Y306" s="22">
        <v>25</v>
      </c>
      <c r="Z306" s="22">
        <v>25</v>
      </c>
      <c r="AA306" s="22">
        <v>25</v>
      </c>
      <c r="AB306" s="22">
        <v>25</v>
      </c>
    </row>
    <row r="307" spans="1:28" x14ac:dyDescent="0.35">
      <c r="A307" s="12" t="s">
        <v>1248</v>
      </c>
      <c r="B307" s="22">
        <v>30</v>
      </c>
      <c r="C307" s="22">
        <v>30</v>
      </c>
      <c r="D307" s="22">
        <v>30</v>
      </c>
      <c r="E307" s="22">
        <v>30</v>
      </c>
      <c r="F307" s="22">
        <v>30</v>
      </c>
      <c r="G307" s="22">
        <v>30</v>
      </c>
      <c r="H307" s="22">
        <v>30</v>
      </c>
      <c r="I307" s="22">
        <v>30</v>
      </c>
      <c r="J307" s="22">
        <v>30</v>
      </c>
      <c r="K307" s="22">
        <v>30</v>
      </c>
      <c r="L307" s="22">
        <v>30</v>
      </c>
      <c r="M307" s="22">
        <v>30</v>
      </c>
      <c r="N307" s="22">
        <v>30</v>
      </c>
      <c r="O307" s="22">
        <v>30</v>
      </c>
      <c r="P307" s="22">
        <v>30</v>
      </c>
      <c r="Q307" s="22">
        <v>30</v>
      </c>
      <c r="R307" s="22">
        <v>30</v>
      </c>
      <c r="S307" s="22">
        <v>30</v>
      </c>
      <c r="T307" s="22">
        <v>30</v>
      </c>
      <c r="U307" s="22">
        <v>30</v>
      </c>
      <c r="V307" s="22">
        <v>30</v>
      </c>
      <c r="W307" s="22">
        <v>30</v>
      </c>
      <c r="X307" s="22">
        <v>30</v>
      </c>
      <c r="Y307" s="22">
        <v>30</v>
      </c>
      <c r="Z307" s="22">
        <v>30</v>
      </c>
      <c r="AA307" s="22">
        <v>30</v>
      </c>
      <c r="AB307" s="22">
        <v>30</v>
      </c>
    </row>
    <row r="308" spans="1:28" x14ac:dyDescent="0.35">
      <c r="A308" s="12" t="s">
        <v>1249</v>
      </c>
      <c r="B308" s="22">
        <v>25</v>
      </c>
      <c r="C308" s="22">
        <v>25</v>
      </c>
      <c r="D308" s="22">
        <v>25</v>
      </c>
      <c r="E308" s="22">
        <v>25</v>
      </c>
      <c r="F308" s="22">
        <v>25</v>
      </c>
      <c r="G308" s="22">
        <v>25</v>
      </c>
      <c r="H308" s="22">
        <v>25</v>
      </c>
      <c r="I308" s="22">
        <v>25</v>
      </c>
      <c r="J308" s="22">
        <v>25</v>
      </c>
      <c r="K308" s="22">
        <v>25</v>
      </c>
      <c r="L308" s="22">
        <v>25</v>
      </c>
      <c r="M308" s="22">
        <v>25</v>
      </c>
      <c r="N308" s="22">
        <v>25</v>
      </c>
      <c r="O308" s="22">
        <v>25</v>
      </c>
      <c r="P308" s="22">
        <v>25</v>
      </c>
      <c r="Q308" s="22">
        <v>25</v>
      </c>
      <c r="R308" s="22">
        <v>25</v>
      </c>
      <c r="S308" s="22">
        <v>25</v>
      </c>
      <c r="T308" s="22">
        <v>25</v>
      </c>
      <c r="U308" s="22">
        <v>25</v>
      </c>
      <c r="V308" s="22">
        <v>25</v>
      </c>
      <c r="W308" s="22">
        <v>25</v>
      </c>
      <c r="X308" s="22">
        <v>25</v>
      </c>
      <c r="Y308" s="22">
        <v>25</v>
      </c>
      <c r="Z308" s="22">
        <v>25</v>
      </c>
      <c r="AA308" s="22">
        <v>25</v>
      </c>
      <c r="AB308" s="22">
        <v>25</v>
      </c>
    </row>
    <row r="309" spans="1:28" x14ac:dyDescent="0.35">
      <c r="A309" s="12" t="s">
        <v>1250</v>
      </c>
      <c r="B309" s="22">
        <v>30</v>
      </c>
      <c r="C309" s="22">
        <v>30</v>
      </c>
      <c r="D309" s="22">
        <v>30</v>
      </c>
      <c r="E309" s="22">
        <v>30</v>
      </c>
      <c r="F309" s="22">
        <v>30</v>
      </c>
      <c r="G309" s="22">
        <v>30</v>
      </c>
      <c r="H309" s="22">
        <v>30</v>
      </c>
      <c r="I309" s="22">
        <v>30</v>
      </c>
      <c r="J309" s="22">
        <v>30</v>
      </c>
      <c r="K309" s="22">
        <v>30</v>
      </c>
      <c r="L309" s="22">
        <v>30</v>
      </c>
      <c r="M309" s="22">
        <v>30</v>
      </c>
      <c r="N309" s="22">
        <v>30</v>
      </c>
      <c r="O309" s="22">
        <v>30</v>
      </c>
      <c r="P309" s="22">
        <v>30</v>
      </c>
      <c r="Q309" s="22">
        <v>30</v>
      </c>
      <c r="R309" s="22">
        <v>30</v>
      </c>
      <c r="S309" s="22">
        <v>30</v>
      </c>
      <c r="T309" s="22">
        <v>30</v>
      </c>
      <c r="U309" s="22">
        <v>30</v>
      </c>
      <c r="V309" s="22">
        <v>30</v>
      </c>
      <c r="W309" s="22">
        <v>30</v>
      </c>
      <c r="X309" s="22">
        <v>30</v>
      </c>
      <c r="Y309" s="22">
        <v>30</v>
      </c>
      <c r="Z309" s="22">
        <v>30</v>
      </c>
      <c r="AA309" s="22">
        <v>30</v>
      </c>
      <c r="AB309" s="22">
        <v>30</v>
      </c>
    </row>
    <row r="310" spans="1:28" x14ac:dyDescent="0.35">
      <c r="A310" s="12" t="s">
        <v>1251</v>
      </c>
      <c r="B310" s="22">
        <v>29.5</v>
      </c>
      <c r="C310" s="22">
        <v>29.5</v>
      </c>
      <c r="D310" s="22">
        <v>29.5</v>
      </c>
      <c r="E310" s="22">
        <v>29.5</v>
      </c>
      <c r="F310" s="22">
        <v>29.5</v>
      </c>
      <c r="G310" s="22">
        <v>29.5</v>
      </c>
      <c r="H310" s="22">
        <v>29.5</v>
      </c>
      <c r="I310" s="22">
        <v>29.5</v>
      </c>
      <c r="J310" s="22">
        <v>29.5</v>
      </c>
      <c r="K310" s="22">
        <v>29.5</v>
      </c>
      <c r="L310" s="22">
        <v>29.5</v>
      </c>
      <c r="M310" s="22">
        <v>29.5</v>
      </c>
      <c r="N310" s="22">
        <v>29.5</v>
      </c>
      <c r="O310" s="22">
        <v>29.5</v>
      </c>
      <c r="P310" s="22">
        <v>29.5</v>
      </c>
      <c r="Q310" s="22">
        <v>29.5</v>
      </c>
      <c r="R310" s="22">
        <v>29.5</v>
      </c>
      <c r="S310" s="22">
        <v>29.5</v>
      </c>
      <c r="T310" s="22">
        <v>29.5</v>
      </c>
      <c r="U310" s="22">
        <v>29.5</v>
      </c>
      <c r="V310" s="22">
        <v>29.5</v>
      </c>
      <c r="W310" s="22">
        <v>29.5</v>
      </c>
      <c r="X310" s="22">
        <v>29.5</v>
      </c>
      <c r="Y310" s="22">
        <v>29.5</v>
      </c>
      <c r="Z310" s="22">
        <v>29.5</v>
      </c>
      <c r="AA310" s="22">
        <v>29.5</v>
      </c>
      <c r="AB310" s="22">
        <v>29.5</v>
      </c>
    </row>
    <row r="311" spans="1:28" x14ac:dyDescent="0.35">
      <c r="A311" s="12" t="s">
        <v>1252</v>
      </c>
      <c r="B311" s="22">
        <v>25</v>
      </c>
      <c r="C311" s="22">
        <v>25</v>
      </c>
      <c r="D311" s="22">
        <v>25</v>
      </c>
      <c r="E311" s="22">
        <v>25</v>
      </c>
      <c r="F311" s="22">
        <v>25</v>
      </c>
      <c r="G311" s="22">
        <v>25</v>
      </c>
      <c r="H311" s="22">
        <v>25</v>
      </c>
      <c r="I311" s="22">
        <v>25</v>
      </c>
      <c r="J311" s="22">
        <v>25</v>
      </c>
      <c r="K311" s="22">
        <v>25</v>
      </c>
      <c r="L311" s="22">
        <v>25</v>
      </c>
      <c r="M311" s="22">
        <v>25</v>
      </c>
      <c r="N311" s="22">
        <v>25</v>
      </c>
      <c r="O311" s="22">
        <v>25</v>
      </c>
      <c r="P311" s="22">
        <v>25</v>
      </c>
      <c r="Q311" s="22">
        <v>25</v>
      </c>
      <c r="R311" s="22">
        <v>25</v>
      </c>
      <c r="S311" s="22">
        <v>25</v>
      </c>
      <c r="T311" s="22">
        <v>25</v>
      </c>
      <c r="U311" s="22">
        <v>25</v>
      </c>
      <c r="V311" s="22">
        <v>25</v>
      </c>
      <c r="W311" s="22">
        <v>25</v>
      </c>
      <c r="X311" s="22">
        <v>25</v>
      </c>
      <c r="Y311" s="22">
        <v>25</v>
      </c>
      <c r="Z311" s="22">
        <v>25</v>
      </c>
      <c r="AA311" s="22">
        <v>25</v>
      </c>
      <c r="AB311" s="22">
        <v>25</v>
      </c>
    </row>
    <row r="312" spans="1:28" x14ac:dyDescent="0.35">
      <c r="A312" s="12" t="s">
        <v>1253</v>
      </c>
      <c r="B312" s="22">
        <v>19</v>
      </c>
      <c r="C312" s="22">
        <v>19</v>
      </c>
      <c r="D312" s="22">
        <v>19</v>
      </c>
      <c r="E312" s="22">
        <v>19</v>
      </c>
      <c r="F312" s="22">
        <v>19</v>
      </c>
      <c r="G312" s="22">
        <v>19</v>
      </c>
      <c r="H312" s="22">
        <v>19</v>
      </c>
      <c r="I312" s="22">
        <v>19</v>
      </c>
      <c r="J312" s="22">
        <v>19</v>
      </c>
      <c r="K312" s="22">
        <v>19</v>
      </c>
      <c r="L312" s="22">
        <v>19</v>
      </c>
      <c r="M312" s="22">
        <v>19</v>
      </c>
      <c r="N312" s="22">
        <v>19</v>
      </c>
      <c r="O312" s="22">
        <v>19</v>
      </c>
      <c r="P312" s="22">
        <v>19</v>
      </c>
      <c r="Q312" s="22">
        <v>19</v>
      </c>
      <c r="R312" s="22">
        <v>19</v>
      </c>
      <c r="S312" s="22">
        <v>19</v>
      </c>
      <c r="T312" s="22">
        <v>19</v>
      </c>
      <c r="U312" s="22">
        <v>19</v>
      </c>
      <c r="V312" s="22">
        <v>19</v>
      </c>
      <c r="W312" s="22">
        <v>19</v>
      </c>
      <c r="X312" s="22">
        <v>19</v>
      </c>
      <c r="Y312" s="22">
        <v>19</v>
      </c>
      <c r="Z312" s="22">
        <v>19</v>
      </c>
      <c r="AA312" s="22">
        <v>19</v>
      </c>
      <c r="AB312" s="22">
        <v>19</v>
      </c>
    </row>
    <row r="313" spans="1:28" x14ac:dyDescent="0.35">
      <c r="A313" s="12" t="s">
        <v>1254</v>
      </c>
      <c r="B313" s="22">
        <v>21</v>
      </c>
      <c r="C313" s="22">
        <v>21</v>
      </c>
      <c r="D313" s="22">
        <v>21</v>
      </c>
      <c r="E313" s="22">
        <v>21</v>
      </c>
      <c r="F313" s="22">
        <v>21</v>
      </c>
      <c r="G313" s="22">
        <v>21</v>
      </c>
      <c r="H313" s="22">
        <v>21</v>
      </c>
      <c r="I313" s="22">
        <v>21</v>
      </c>
      <c r="J313" s="22">
        <v>21</v>
      </c>
      <c r="K313" s="22">
        <v>21</v>
      </c>
      <c r="L313" s="22">
        <v>21</v>
      </c>
      <c r="M313" s="22">
        <v>21</v>
      </c>
      <c r="N313" s="22">
        <v>21</v>
      </c>
      <c r="O313" s="22">
        <v>21</v>
      </c>
      <c r="P313" s="22">
        <v>21</v>
      </c>
      <c r="Q313" s="22">
        <v>21</v>
      </c>
      <c r="R313" s="22">
        <v>21</v>
      </c>
      <c r="S313" s="22">
        <v>21</v>
      </c>
      <c r="T313" s="22">
        <v>21</v>
      </c>
      <c r="U313" s="22">
        <v>21</v>
      </c>
      <c r="V313" s="22">
        <v>21</v>
      </c>
      <c r="W313" s="22">
        <v>21</v>
      </c>
      <c r="X313" s="22">
        <v>21</v>
      </c>
      <c r="Y313" s="22">
        <v>21</v>
      </c>
      <c r="Z313" s="22">
        <v>21</v>
      </c>
      <c r="AA313" s="22">
        <v>21</v>
      </c>
      <c r="AB313" s="22">
        <v>21</v>
      </c>
    </row>
    <row r="314" spans="1:28" x14ac:dyDescent="0.35">
      <c r="A314" s="12" t="s">
        <v>1255</v>
      </c>
      <c r="B314" s="22">
        <v>16</v>
      </c>
      <c r="C314" s="22">
        <v>16</v>
      </c>
      <c r="D314" s="22">
        <v>16</v>
      </c>
      <c r="E314" s="22">
        <v>16</v>
      </c>
      <c r="F314" s="22">
        <v>16</v>
      </c>
      <c r="G314" s="22">
        <v>16</v>
      </c>
      <c r="H314" s="22">
        <v>16</v>
      </c>
      <c r="I314" s="22">
        <v>16</v>
      </c>
      <c r="J314" s="22">
        <v>16</v>
      </c>
      <c r="K314" s="22">
        <v>16</v>
      </c>
      <c r="L314" s="22">
        <v>16</v>
      </c>
      <c r="M314" s="22">
        <v>16</v>
      </c>
      <c r="N314" s="22">
        <v>16</v>
      </c>
      <c r="O314" s="22">
        <v>16</v>
      </c>
      <c r="P314" s="22">
        <v>16</v>
      </c>
      <c r="Q314" s="22">
        <v>16</v>
      </c>
      <c r="R314" s="22">
        <v>16</v>
      </c>
      <c r="S314" s="22">
        <v>16</v>
      </c>
      <c r="T314" s="22">
        <v>16</v>
      </c>
      <c r="U314" s="22">
        <v>16</v>
      </c>
      <c r="V314" s="22">
        <v>16</v>
      </c>
      <c r="W314" s="22">
        <v>16</v>
      </c>
      <c r="X314" s="22">
        <v>16</v>
      </c>
      <c r="Y314" s="22">
        <v>16</v>
      </c>
      <c r="Z314" s="22">
        <v>16</v>
      </c>
      <c r="AA314" s="22">
        <v>16</v>
      </c>
      <c r="AB314" s="22">
        <v>16</v>
      </c>
    </row>
    <row r="315" spans="1:28" x14ac:dyDescent="0.35">
      <c r="A315" s="12" t="s">
        <v>1256</v>
      </c>
      <c r="B315" s="22">
        <v>20</v>
      </c>
      <c r="C315" s="22">
        <v>20</v>
      </c>
      <c r="D315" s="22">
        <v>20</v>
      </c>
      <c r="E315" s="22">
        <v>20</v>
      </c>
      <c r="F315" s="22">
        <v>20</v>
      </c>
      <c r="G315" s="22">
        <v>20</v>
      </c>
      <c r="H315" s="22">
        <v>20</v>
      </c>
      <c r="I315" s="22">
        <v>20</v>
      </c>
      <c r="J315" s="22">
        <v>20</v>
      </c>
      <c r="K315" s="22">
        <v>20</v>
      </c>
      <c r="L315" s="22">
        <v>20</v>
      </c>
      <c r="M315" s="22">
        <v>20</v>
      </c>
      <c r="N315" s="22">
        <v>20</v>
      </c>
      <c r="O315" s="22">
        <v>20</v>
      </c>
      <c r="P315" s="22">
        <v>20</v>
      </c>
      <c r="Q315" s="22">
        <v>20</v>
      </c>
      <c r="R315" s="22">
        <v>20</v>
      </c>
      <c r="S315" s="22">
        <v>20</v>
      </c>
      <c r="T315" s="22">
        <v>20</v>
      </c>
      <c r="U315" s="22">
        <v>20</v>
      </c>
      <c r="V315" s="22">
        <v>20</v>
      </c>
      <c r="W315" s="22">
        <v>20</v>
      </c>
      <c r="X315" s="22">
        <v>20</v>
      </c>
      <c r="Y315" s="22">
        <v>20</v>
      </c>
      <c r="Z315" s="22">
        <v>20</v>
      </c>
      <c r="AA315" s="22">
        <v>20</v>
      </c>
      <c r="AB315" s="22">
        <v>20</v>
      </c>
    </row>
    <row r="316" spans="1:28" x14ac:dyDescent="0.35">
      <c r="A316" s="12" t="s">
        <v>1257</v>
      </c>
      <c r="B316" s="22">
        <v>20</v>
      </c>
      <c r="C316" s="22">
        <v>20</v>
      </c>
      <c r="D316" s="22">
        <v>20</v>
      </c>
      <c r="E316" s="22">
        <v>20</v>
      </c>
      <c r="F316" s="22">
        <v>20</v>
      </c>
      <c r="G316" s="22">
        <v>20</v>
      </c>
      <c r="H316" s="22">
        <v>20</v>
      </c>
      <c r="I316" s="22">
        <v>20</v>
      </c>
      <c r="J316" s="22">
        <v>20</v>
      </c>
      <c r="K316" s="22">
        <v>20</v>
      </c>
      <c r="L316" s="22">
        <v>20</v>
      </c>
      <c r="M316" s="22">
        <v>20</v>
      </c>
      <c r="N316" s="22">
        <v>20</v>
      </c>
      <c r="O316" s="22">
        <v>20</v>
      </c>
      <c r="P316" s="22">
        <v>20</v>
      </c>
      <c r="Q316" s="22">
        <v>20</v>
      </c>
      <c r="R316" s="22">
        <v>20</v>
      </c>
      <c r="S316" s="22">
        <v>20</v>
      </c>
      <c r="T316" s="22">
        <v>20</v>
      </c>
      <c r="U316" s="22">
        <v>20</v>
      </c>
      <c r="V316" s="22">
        <v>20</v>
      </c>
      <c r="W316" s="22">
        <v>20</v>
      </c>
      <c r="X316" s="22">
        <v>20</v>
      </c>
      <c r="Y316" s="22">
        <v>20</v>
      </c>
      <c r="Z316" s="22">
        <v>20</v>
      </c>
      <c r="AA316" s="22">
        <v>20</v>
      </c>
      <c r="AB316" s="22">
        <v>20</v>
      </c>
    </row>
    <row r="317" spans="1:28" x14ac:dyDescent="0.35">
      <c r="A317" s="12" t="s">
        <v>1258</v>
      </c>
      <c r="B317" s="22">
        <v>15</v>
      </c>
      <c r="C317" s="22">
        <v>15</v>
      </c>
      <c r="D317" s="22">
        <v>15</v>
      </c>
      <c r="E317" s="22">
        <v>15</v>
      </c>
      <c r="F317" s="22">
        <v>15</v>
      </c>
      <c r="G317" s="22">
        <v>15</v>
      </c>
      <c r="H317" s="22">
        <v>15</v>
      </c>
      <c r="I317" s="22">
        <v>15</v>
      </c>
      <c r="J317" s="22">
        <v>15</v>
      </c>
      <c r="K317" s="22">
        <v>15</v>
      </c>
      <c r="L317" s="22">
        <v>15</v>
      </c>
      <c r="M317" s="22">
        <v>15</v>
      </c>
      <c r="N317" s="22">
        <v>15</v>
      </c>
      <c r="O317" s="22">
        <v>15</v>
      </c>
      <c r="P317" s="22">
        <v>15</v>
      </c>
      <c r="Q317" s="22">
        <v>15</v>
      </c>
      <c r="R317" s="22">
        <v>15</v>
      </c>
      <c r="S317" s="22">
        <v>15</v>
      </c>
      <c r="T317" s="22">
        <v>15</v>
      </c>
      <c r="U317" s="22">
        <v>15</v>
      </c>
      <c r="V317" s="22">
        <v>15</v>
      </c>
      <c r="W317" s="22">
        <v>15</v>
      </c>
      <c r="X317" s="22">
        <v>15</v>
      </c>
      <c r="Y317" s="22">
        <v>15</v>
      </c>
      <c r="Z317" s="22">
        <v>15</v>
      </c>
      <c r="AA317" s="22">
        <v>15</v>
      </c>
      <c r="AB317" s="22">
        <v>15</v>
      </c>
    </row>
    <row r="318" spans="1:28" x14ac:dyDescent="0.35">
      <c r="A318" s="12" t="s">
        <v>1259</v>
      </c>
      <c r="B318" s="22">
        <v>27</v>
      </c>
      <c r="C318" s="22">
        <v>27</v>
      </c>
      <c r="D318" s="22">
        <v>27</v>
      </c>
      <c r="E318" s="22">
        <v>27</v>
      </c>
      <c r="F318" s="22">
        <v>27</v>
      </c>
      <c r="G318" s="22">
        <v>27</v>
      </c>
      <c r="H318" s="22">
        <v>27</v>
      </c>
      <c r="I318" s="22">
        <v>27</v>
      </c>
      <c r="J318" s="22">
        <v>27</v>
      </c>
      <c r="K318" s="22">
        <v>27</v>
      </c>
      <c r="L318" s="22">
        <v>27</v>
      </c>
      <c r="M318" s="22">
        <v>27</v>
      </c>
      <c r="N318" s="22">
        <v>27</v>
      </c>
      <c r="O318" s="22">
        <v>27</v>
      </c>
      <c r="P318" s="22">
        <v>27</v>
      </c>
      <c r="Q318" s="22">
        <v>27</v>
      </c>
      <c r="R318" s="22">
        <v>27</v>
      </c>
      <c r="S318" s="22">
        <v>27</v>
      </c>
      <c r="T318" s="22">
        <v>27</v>
      </c>
      <c r="U318" s="22">
        <v>27</v>
      </c>
      <c r="V318" s="22">
        <v>27</v>
      </c>
      <c r="W318" s="22">
        <v>27</v>
      </c>
      <c r="X318" s="22">
        <v>27</v>
      </c>
      <c r="Y318" s="22">
        <v>27</v>
      </c>
      <c r="Z318" s="22">
        <v>27</v>
      </c>
      <c r="AA318" s="22">
        <v>27</v>
      </c>
      <c r="AB318" s="22">
        <v>27</v>
      </c>
    </row>
    <row r="319" spans="1:28" x14ac:dyDescent="0.35">
      <c r="A319" s="12" t="s">
        <v>1260</v>
      </c>
      <c r="B319" s="22">
        <v>25</v>
      </c>
      <c r="C319" s="22">
        <v>25</v>
      </c>
      <c r="D319" s="22">
        <v>25</v>
      </c>
      <c r="E319" s="22">
        <v>25</v>
      </c>
      <c r="F319" s="22">
        <v>25</v>
      </c>
      <c r="G319" s="22">
        <v>25</v>
      </c>
      <c r="H319" s="22">
        <v>25</v>
      </c>
      <c r="I319" s="22">
        <v>25</v>
      </c>
      <c r="J319" s="22">
        <v>25</v>
      </c>
      <c r="K319" s="22">
        <v>25</v>
      </c>
      <c r="L319" s="22">
        <v>25</v>
      </c>
      <c r="M319" s="22">
        <v>25</v>
      </c>
      <c r="N319" s="22">
        <v>25</v>
      </c>
      <c r="O319" s="22">
        <v>25</v>
      </c>
      <c r="P319" s="22">
        <v>25</v>
      </c>
      <c r="Q319" s="22">
        <v>25</v>
      </c>
      <c r="R319" s="22">
        <v>25</v>
      </c>
      <c r="S319" s="22">
        <v>25</v>
      </c>
      <c r="T319" s="22">
        <v>25</v>
      </c>
      <c r="U319" s="22">
        <v>25</v>
      </c>
      <c r="V319" s="22">
        <v>25</v>
      </c>
      <c r="W319" s="22">
        <v>25</v>
      </c>
      <c r="X319" s="22">
        <v>25</v>
      </c>
      <c r="Y319" s="22">
        <v>25</v>
      </c>
      <c r="Z319" s="22">
        <v>25</v>
      </c>
      <c r="AA319" s="22">
        <v>25</v>
      </c>
      <c r="AB319" s="22">
        <v>25</v>
      </c>
    </row>
    <row r="320" spans="1:28" x14ac:dyDescent="0.35">
      <c r="A320" s="12" t="s">
        <v>1261</v>
      </c>
      <c r="B320" s="22">
        <v>20.6</v>
      </c>
      <c r="C320" s="22">
        <v>20.6</v>
      </c>
      <c r="D320" s="22">
        <v>20.6</v>
      </c>
      <c r="E320" s="22">
        <v>20.6</v>
      </c>
      <c r="F320" s="22">
        <v>20.6</v>
      </c>
      <c r="G320" s="22">
        <v>20.6</v>
      </c>
      <c r="H320" s="22">
        <v>20.6</v>
      </c>
      <c r="I320" s="22">
        <v>20.6</v>
      </c>
      <c r="J320" s="22">
        <v>20.6</v>
      </c>
      <c r="K320" s="22">
        <v>20.6</v>
      </c>
      <c r="L320" s="22">
        <v>20.6</v>
      </c>
      <c r="M320" s="22">
        <v>20.6</v>
      </c>
      <c r="N320" s="22">
        <v>20.6</v>
      </c>
      <c r="O320" s="22">
        <v>20.6</v>
      </c>
      <c r="P320" s="22">
        <v>20.6</v>
      </c>
      <c r="Q320" s="22">
        <v>20.6</v>
      </c>
      <c r="R320" s="22">
        <v>20.6</v>
      </c>
      <c r="S320" s="22">
        <v>20.6</v>
      </c>
      <c r="T320" s="22">
        <v>20.6</v>
      </c>
      <c r="U320" s="22">
        <v>20.6</v>
      </c>
      <c r="V320" s="22">
        <v>20.6</v>
      </c>
      <c r="W320" s="22">
        <v>20.6</v>
      </c>
      <c r="X320" s="22">
        <v>20.6</v>
      </c>
      <c r="Y320" s="22">
        <v>20.6</v>
      </c>
      <c r="Z320" s="22">
        <v>20.6</v>
      </c>
      <c r="AA320" s="22">
        <v>20.6</v>
      </c>
      <c r="AB320" s="22">
        <v>20.6</v>
      </c>
    </row>
    <row r="321" spans="1:28" x14ac:dyDescent="0.35">
      <c r="A321" s="12" t="s">
        <v>1262</v>
      </c>
      <c r="B321" s="22">
        <v>30</v>
      </c>
      <c r="C321" s="22">
        <v>30</v>
      </c>
      <c r="D321" s="22">
        <v>30</v>
      </c>
      <c r="E321" s="22">
        <v>30</v>
      </c>
      <c r="F321" s="22">
        <v>30</v>
      </c>
      <c r="G321" s="22">
        <v>30</v>
      </c>
      <c r="H321" s="22">
        <v>30</v>
      </c>
      <c r="I321" s="22">
        <v>30</v>
      </c>
      <c r="J321" s="22">
        <v>30</v>
      </c>
      <c r="K321" s="22">
        <v>30</v>
      </c>
      <c r="L321" s="22">
        <v>30</v>
      </c>
      <c r="M321" s="22">
        <v>30</v>
      </c>
      <c r="N321" s="22">
        <v>30</v>
      </c>
      <c r="O321" s="22">
        <v>30</v>
      </c>
      <c r="P321" s="22">
        <v>30</v>
      </c>
      <c r="Q321" s="22">
        <v>30</v>
      </c>
      <c r="R321" s="22">
        <v>30</v>
      </c>
      <c r="S321" s="22">
        <v>30</v>
      </c>
      <c r="T321" s="22">
        <v>30</v>
      </c>
      <c r="U321" s="22">
        <v>30</v>
      </c>
      <c r="V321" s="22">
        <v>30</v>
      </c>
      <c r="W321" s="22">
        <v>30</v>
      </c>
      <c r="X321" s="22">
        <v>30</v>
      </c>
      <c r="Y321" s="22">
        <v>30</v>
      </c>
      <c r="Z321" s="22">
        <v>30</v>
      </c>
      <c r="AA321" s="22">
        <v>30</v>
      </c>
      <c r="AB321" s="22">
        <v>30</v>
      </c>
    </row>
    <row r="322" spans="1:28" x14ac:dyDescent="0.35">
      <c r="A322" s="12" t="s">
        <v>1263</v>
      </c>
      <c r="B322" s="22">
        <v>25</v>
      </c>
      <c r="C322" s="22">
        <v>25</v>
      </c>
      <c r="D322" s="22">
        <v>25</v>
      </c>
      <c r="E322" s="22">
        <v>25</v>
      </c>
      <c r="F322" s="22">
        <v>25</v>
      </c>
      <c r="G322" s="22">
        <v>25</v>
      </c>
      <c r="H322" s="22">
        <v>25</v>
      </c>
      <c r="I322" s="22">
        <v>25</v>
      </c>
      <c r="J322" s="22">
        <v>25</v>
      </c>
      <c r="K322" s="22">
        <v>25</v>
      </c>
      <c r="L322" s="22">
        <v>25</v>
      </c>
      <c r="M322" s="22">
        <v>25</v>
      </c>
      <c r="N322" s="22">
        <v>25</v>
      </c>
      <c r="O322" s="22">
        <v>25</v>
      </c>
      <c r="P322" s="22">
        <v>25</v>
      </c>
      <c r="Q322" s="22">
        <v>25</v>
      </c>
      <c r="R322" s="22">
        <v>25</v>
      </c>
      <c r="S322" s="22">
        <v>25</v>
      </c>
      <c r="T322" s="22">
        <v>25</v>
      </c>
      <c r="U322" s="22">
        <v>25</v>
      </c>
      <c r="V322" s="22">
        <v>25</v>
      </c>
      <c r="W322" s="22">
        <v>25</v>
      </c>
      <c r="X322" s="22">
        <v>25</v>
      </c>
      <c r="Y322" s="22">
        <v>25</v>
      </c>
      <c r="Z322" s="22">
        <v>25</v>
      </c>
      <c r="AA322" s="22">
        <v>25</v>
      </c>
      <c r="AB322" s="22">
        <v>25</v>
      </c>
    </row>
    <row r="323" spans="1:28" x14ac:dyDescent="0.35">
      <c r="A323" s="12" t="s">
        <v>1264</v>
      </c>
      <c r="B323" s="22">
        <v>27</v>
      </c>
      <c r="C323" s="22">
        <v>27</v>
      </c>
      <c r="D323" s="22">
        <v>27</v>
      </c>
      <c r="E323" s="22">
        <v>27</v>
      </c>
      <c r="F323" s="22">
        <v>27</v>
      </c>
      <c r="G323" s="22">
        <v>27</v>
      </c>
      <c r="H323" s="22">
        <v>27</v>
      </c>
      <c r="I323" s="22">
        <v>27</v>
      </c>
      <c r="J323" s="22">
        <v>27</v>
      </c>
      <c r="K323" s="22">
        <v>27</v>
      </c>
      <c r="L323" s="22">
        <v>27</v>
      </c>
      <c r="M323" s="22">
        <v>27</v>
      </c>
      <c r="N323" s="22">
        <v>27</v>
      </c>
      <c r="O323" s="22">
        <v>27</v>
      </c>
      <c r="P323" s="22">
        <v>27</v>
      </c>
      <c r="Q323" s="22">
        <v>27</v>
      </c>
      <c r="R323" s="22">
        <v>27</v>
      </c>
      <c r="S323" s="22">
        <v>27</v>
      </c>
      <c r="T323" s="22">
        <v>27</v>
      </c>
      <c r="U323" s="22">
        <v>27</v>
      </c>
      <c r="V323" s="22">
        <v>27</v>
      </c>
      <c r="W323" s="22">
        <v>27</v>
      </c>
      <c r="X323" s="22">
        <v>27</v>
      </c>
      <c r="Y323" s="22">
        <v>27</v>
      </c>
      <c r="Z323" s="22">
        <v>27</v>
      </c>
      <c r="AA323" s="22">
        <v>27</v>
      </c>
      <c r="AB323" s="22">
        <v>27</v>
      </c>
    </row>
    <row r="324" spans="1:28" x14ac:dyDescent="0.35">
      <c r="A324" s="12" t="s">
        <v>1265</v>
      </c>
      <c r="B324" s="22">
        <v>30</v>
      </c>
      <c r="C324" s="22">
        <v>30</v>
      </c>
      <c r="D324" s="22">
        <v>30</v>
      </c>
      <c r="E324" s="22">
        <v>30</v>
      </c>
      <c r="F324" s="22">
        <v>30</v>
      </c>
      <c r="G324" s="22">
        <v>30</v>
      </c>
      <c r="H324" s="22">
        <v>30</v>
      </c>
      <c r="I324" s="22">
        <v>30</v>
      </c>
      <c r="J324" s="22">
        <v>30</v>
      </c>
      <c r="K324" s="22">
        <v>30</v>
      </c>
      <c r="L324" s="22">
        <v>30</v>
      </c>
      <c r="M324" s="22">
        <v>30</v>
      </c>
      <c r="N324" s="22">
        <v>30</v>
      </c>
      <c r="O324" s="22">
        <v>30</v>
      </c>
      <c r="P324" s="22">
        <v>30</v>
      </c>
      <c r="Q324" s="22">
        <v>30</v>
      </c>
      <c r="R324" s="22">
        <v>30</v>
      </c>
      <c r="S324" s="22">
        <v>30</v>
      </c>
      <c r="T324" s="22">
        <v>30</v>
      </c>
      <c r="U324" s="22">
        <v>30</v>
      </c>
      <c r="V324" s="22">
        <v>30</v>
      </c>
      <c r="W324" s="22">
        <v>30</v>
      </c>
      <c r="X324" s="22">
        <v>30</v>
      </c>
      <c r="Y324" s="22">
        <v>30</v>
      </c>
      <c r="Z324" s="22">
        <v>30</v>
      </c>
      <c r="AA324" s="22">
        <v>30</v>
      </c>
      <c r="AB324" s="22">
        <v>30</v>
      </c>
    </row>
    <row r="325" spans="1:28" x14ac:dyDescent="0.35">
      <c r="A325" s="12" t="s">
        <v>1266</v>
      </c>
      <c r="B325" s="22">
        <v>24.7</v>
      </c>
      <c r="C325" s="22">
        <v>24.7</v>
      </c>
      <c r="D325" s="22">
        <v>24.7</v>
      </c>
      <c r="E325" s="22">
        <v>24.7</v>
      </c>
      <c r="F325" s="22">
        <v>24.7</v>
      </c>
      <c r="G325" s="22">
        <v>24.7</v>
      </c>
      <c r="H325" s="22">
        <v>24.7</v>
      </c>
      <c r="I325" s="22">
        <v>24.7</v>
      </c>
      <c r="J325" s="22">
        <v>24.7</v>
      </c>
      <c r="K325" s="22">
        <v>24.7</v>
      </c>
      <c r="L325" s="22">
        <v>24.7</v>
      </c>
      <c r="M325" s="22">
        <v>24.7</v>
      </c>
      <c r="N325" s="22">
        <v>24.7</v>
      </c>
      <c r="O325" s="22">
        <v>24.7</v>
      </c>
      <c r="P325" s="22">
        <v>24.7</v>
      </c>
      <c r="Q325" s="22">
        <v>24.7</v>
      </c>
      <c r="R325" s="22">
        <v>24.7</v>
      </c>
      <c r="S325" s="22">
        <v>24.7</v>
      </c>
      <c r="T325" s="22">
        <v>24.7</v>
      </c>
      <c r="U325" s="22">
        <v>24.7</v>
      </c>
      <c r="V325" s="22">
        <v>24.7</v>
      </c>
      <c r="W325" s="22">
        <v>24.7</v>
      </c>
      <c r="X325" s="22">
        <v>24.7</v>
      </c>
      <c r="Y325" s="22">
        <v>24.7</v>
      </c>
      <c r="Z325" s="22">
        <v>24.7</v>
      </c>
      <c r="AA325" s="22">
        <v>24.7</v>
      </c>
      <c r="AB325" s="22">
        <v>24.7</v>
      </c>
    </row>
    <row r="326" spans="1:28" x14ac:dyDescent="0.3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sheetData>
  <mergeCells count="4">
    <mergeCell ref="A1:D1"/>
    <mergeCell ref="A3:D3"/>
    <mergeCell ref="A5:AB5"/>
    <mergeCell ref="A326:AB326"/>
  </mergeCells>
  <pageMargins left="0.7" right="0.7" top="0.75" bottom="0.75" header="0.3" footer="0.3"/>
  <pageSetup orientation="landscape"/>
  <headerFooter>
    <oddFooter>&amp;C_x000D_&amp;1#&amp;"Aptos"&amp;10&amp;K0000FF Restricted Use - À usage restreint</oddFooter>
  </headerFooter>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vt:lpstr>
      <vt:lpstr>Data</vt:lpstr>
      <vt:lpstr>Flex Assumptions</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HOUHAMDI Wafa, DAF/RBC</cp:lastModifiedBy>
  <dcterms:modified xsi:type="dcterms:W3CDTF">2026-06-08T08:13:23Z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MSIP_Label_0e5510b0-e729-4ef0-a3dd-4ba0dfe56c99_Enabled">
    <vt:lpwstr>true</vt:lpwstr>
  </property>
  <property fmtid="{D5CDD505-2E9C-101B-9397-08002B2CF9AE}" pid="4" name="MSIP_Label_0e5510b0-e729-4ef0-a3dd-4ba0dfe56c99_SetDate">
    <vt:lpwstr>2026-06-08T07:32:30Z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ce3f443e-6a2f-41f7-9436-25bac02981af</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ies>
</file>