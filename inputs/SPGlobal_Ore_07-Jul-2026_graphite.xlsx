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less\Downloads\"/>
    </mc:Choice>
  </mc:AlternateContent>
  <xr:revisionPtr revIDLastSave="0" documentId="8_{D7E4F930-0A84-4B78-838A-222E4152E060}" xr6:coauthVersionLast="47" xr6:coauthVersionMax="47" xr10:uidLastSave="{00000000-0000-0000-0000-000000000000}"/>
  <bookViews>
    <workbookView xWindow="0" yWindow="825" windowWidth="28770" windowHeight="14175" firstSheet="1" activeTab="6" xr2:uid="{00000000-000D-0000-FFFF-FFFF00000000}"/>
  </bookViews>
  <sheets>
    <sheet name="__snloffice" sheetId="7" state="veryHidden" r:id="rId1"/>
    <sheet name="Ore" sheetId="1" r:id="rId2"/>
    <sheet name="Products Tonne" sheetId="2" r:id="rId3"/>
    <sheet name="Consolidated Products Tonne" sheetId="3" r:id="rId4"/>
    <sheet name="Cash Flow" sheetId="4" r:id="rId5"/>
    <sheet name="Ownership" sheetId="5" r:id="rId6"/>
    <sheet name="Sheet1" sheetId="6" r:id="rId7"/>
  </sheets>
  <externalReferences>
    <externalReference r:id="rId8"/>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 i="5" l="1"/>
  <c r="R20" i="5"/>
  <c r="Q20" i="5"/>
  <c r="P20" i="5"/>
  <c r="O20" i="5"/>
  <c r="N20" i="5"/>
  <c r="M20" i="5"/>
  <c r="L20" i="5"/>
  <c r="K20" i="5"/>
  <c r="J20" i="5"/>
  <c r="S19" i="5"/>
  <c r="R19" i="5"/>
  <c r="Q19" i="5"/>
  <c r="P19" i="5"/>
  <c r="O19" i="5"/>
  <c r="N19" i="5"/>
  <c r="M19" i="5"/>
  <c r="L19" i="5"/>
  <c r="K19" i="5"/>
  <c r="J19" i="5"/>
  <c r="S18" i="5"/>
  <c r="R18" i="5"/>
  <c r="Q18" i="5"/>
  <c r="P18" i="5"/>
  <c r="O18" i="5"/>
  <c r="N18" i="5"/>
  <c r="M18" i="5"/>
  <c r="L18" i="5"/>
  <c r="K18" i="5"/>
  <c r="J18" i="5"/>
  <c r="S17" i="5"/>
  <c r="R17" i="5"/>
  <c r="Q17" i="5"/>
  <c r="P17" i="5"/>
  <c r="O17" i="5"/>
  <c r="N17" i="5"/>
  <c r="M17" i="5"/>
  <c r="L17" i="5"/>
  <c r="K17" i="5"/>
  <c r="J17" i="5"/>
  <c r="S16" i="5"/>
  <c r="R16" i="5"/>
  <c r="Q16" i="5"/>
  <c r="P16" i="5"/>
  <c r="O16" i="5"/>
  <c r="N16" i="5"/>
  <c r="M16" i="5"/>
  <c r="L16" i="5"/>
  <c r="K16" i="5"/>
  <c r="J16" i="5"/>
  <c r="S15" i="5"/>
  <c r="R15" i="5"/>
  <c r="Q15" i="5"/>
  <c r="P15" i="5"/>
  <c r="O15" i="5"/>
  <c r="N15" i="5"/>
  <c r="M15" i="5"/>
  <c r="L15" i="5"/>
  <c r="K15" i="5"/>
  <c r="J15" i="5"/>
  <c r="S14" i="5"/>
  <c r="R14" i="5"/>
  <c r="Q14" i="5"/>
  <c r="P14" i="5"/>
  <c r="O14" i="5"/>
  <c r="N14" i="5"/>
  <c r="M14" i="5"/>
  <c r="L14" i="5"/>
  <c r="K14" i="5"/>
  <c r="J14" i="5"/>
  <c r="S13" i="5"/>
  <c r="R13" i="5"/>
  <c r="Q13" i="5"/>
  <c r="P13" i="5"/>
  <c r="O13" i="5"/>
  <c r="N13" i="5"/>
  <c r="M13" i="5"/>
  <c r="L13" i="5"/>
  <c r="K13" i="5"/>
  <c r="J13" i="5"/>
  <c r="S12" i="5"/>
  <c r="R12" i="5"/>
  <c r="Q12" i="5"/>
  <c r="P12" i="5"/>
  <c r="O12" i="5"/>
  <c r="N12" i="5"/>
  <c r="M12" i="5"/>
  <c r="L12" i="5"/>
  <c r="K12" i="5"/>
  <c r="J12" i="5"/>
  <c r="S11" i="5"/>
  <c r="R11" i="5"/>
  <c r="Q11" i="5"/>
  <c r="P11" i="5"/>
  <c r="O11" i="5"/>
  <c r="N11" i="5"/>
  <c r="M11" i="5"/>
  <c r="L11" i="5"/>
  <c r="K11" i="5"/>
  <c r="J11" i="5"/>
  <c r="S10" i="5"/>
  <c r="R10" i="5"/>
  <c r="Q10" i="5"/>
  <c r="P10" i="5"/>
  <c r="O10" i="5"/>
  <c r="N10" i="5"/>
  <c r="M10" i="5"/>
  <c r="L10" i="5"/>
  <c r="K10" i="5"/>
  <c r="J10"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alcChain>
</file>

<file path=xl/sharedStrings.xml><?xml version="1.0" encoding="utf-8"?>
<sst xmlns="http://schemas.openxmlformats.org/spreadsheetml/2006/main" count="579" uniqueCount="161">
  <si>
    <t>Commodity: Graphite</t>
  </si>
  <si>
    <t>Scenario:  Market Intelligence 2024 Constant USD</t>
  </si>
  <si>
    <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</si>
  <si>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</si>
  <si>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</si>
  <si>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</si>
  <si>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</si>
  <si>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</si>
  <si>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</si>
  <si>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</si>
  <si>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</si>
  <si>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</si>
  <si>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</si>
  <si>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</si>
  <si>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Processed
(kilotonnes)</t>
  </si>
  <si>
    <t xml:space="preserve"> Head Grade
(%)</t>
  </si>
  <si>
    <t xml:space="preserve"> Recovery Rate
(%)</t>
  </si>
  <si>
    <t xml:space="preserve"> Concentration (mg/liter)-
Li</t>
  </si>
  <si>
    <t xml:space="preserve"> Pumping Rate
(liters/min)</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</si>
  <si>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</si>
  <si>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</si>
  <si>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</si>
  <si>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</si>
  <si>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</si>
  <si>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</si>
  <si>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</si>
  <si>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</si>
  <si>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</si>
  <si>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</si>
  <si>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Processing Plant:
Labor Cost
($/tonne)</t>
  </si>
  <si>
    <t xml:space="preserve"> Processing Plant:
Reagent Cost
($/tonne)</t>
  </si>
  <si>
    <t xml:space="preserve"> Processing Plant:
Electricity Cost
($/tonne)</t>
  </si>
  <si>
    <t xml:space="preserve"> Processing Plant:
Other Cost
($/tonne)</t>
  </si>
  <si>
    <t xml:space="preserve"> Processing Plant:
Total Cost
($/tonne)</t>
  </si>
  <si>
    <t xml:space="preserve"> Total Minesite
Cost ($/tonne)</t>
  </si>
  <si>
    <t xml:space="preserve"> Transport and
Offsite Cost
($/tonne)</t>
  </si>
  <si>
    <t xml:space="preserve"> Cash Operating
Cost ($/tonne)</t>
  </si>
  <si>
    <t xml:space="preserve"> Seaborne Shipment
Cost ($/tonne)</t>
  </si>
  <si>
    <t xml:space="preserve"> Royalty Cost
($/tonne)</t>
  </si>
  <si>
    <t xml:space="preserve"> Total Cash
Cost ($/tonne)</t>
  </si>
  <si>
    <t xml:space="preserve"> Gross Revenue
($/tonne)</t>
  </si>
  <si>
    <t xml:space="preserve"> Cash Operating
Margin ($/tonne)</t>
  </si>
  <si>
    <t xml:space="preserve"> Total Cash
Margin ($/tonne)</t>
  </si>
  <si>
    <t>Balama</t>
  </si>
  <si>
    <t>61626</t>
  </si>
  <si>
    <t>Mozambique</t>
  </si>
  <si>
    <t>Beishan</t>
  </si>
  <si>
    <t>89685</t>
  </si>
  <si>
    <t>China</t>
  </si>
  <si>
    <t>Bogala</t>
  </si>
  <si>
    <t>64685</t>
  </si>
  <si>
    <t>Sri Lanka</t>
  </si>
  <si>
    <t>Kropfmuehl</t>
  </si>
  <si>
    <t>67003</t>
  </si>
  <si>
    <t>Germany</t>
  </si>
  <si>
    <t>Lac des Iles</t>
  </si>
  <si>
    <t>64090</t>
  </si>
  <si>
    <t>Canada</t>
  </si>
  <si>
    <t>Traelen</t>
  </si>
  <si>
    <t>83203</t>
  </si>
  <si>
    <t>Norway</t>
  </si>
  <si>
    <t>Vatomina</t>
  </si>
  <si>
    <t>76407</t>
  </si>
  <si>
    <t>Madagascar</t>
  </si>
  <si>
    <t>Yunshan</t>
  </si>
  <si>
    <t>93710</t>
  </si>
  <si>
    <t>Ore</t>
  </si>
  <si>
    <t xml:space="preserve"> Flake Size</t>
  </si>
  <si>
    <t xml:space="preserve"> Production (kilotonnes)</t>
  </si>
  <si>
    <t xml:space="preserve"> Grade (%)</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</si>
  <si>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</si>
  <si>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</si>
  <si>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</si>
  <si>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</si>
  <si>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</si>
  <si>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</si>
  <si>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</si>
  <si>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</si>
  <si>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</si>
  <si>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</si>
  <si>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</si>
  <si>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</si>
  <si>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</si>
  <si>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</si>
  <si>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</si>
  <si>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Jumbo</t>
  </si>
  <si>
    <t>Fines</t>
  </si>
  <si>
    <t>Medium</t>
  </si>
  <si>
    <t>Large</t>
  </si>
  <si>
    <t>Pedra Azul</t>
  </si>
  <si>
    <t>77115</t>
  </si>
  <si>
    <t>Brazil</t>
  </si>
  <si>
    <t>Super Jumbo</t>
  </si>
  <si>
    <t>Salto Da Divisa</t>
  </si>
  <si>
    <t>77113</t>
  </si>
  <si>
    <t>Products Tonne</t>
  </si>
  <si>
    <t>Consolidated Products Tonne</t>
  </si>
  <si>
    <t xml:space="preserve"> Gross Revenue
($M)</t>
  </si>
  <si>
    <t xml:space="preserve"> Inland Transport
&amp; Offsite
Costs ($M)</t>
  </si>
  <si>
    <t xml:space="preserve"> Seaborne Shipment
Costs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</si>
  <si>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</si>
  <si>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</si>
  <si>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</si>
  <si>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</si>
  <si>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</si>
  <si>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</si>
  <si>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</si>
  <si>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</si>
  <si>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</si>
  <si>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</si>
  <si>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</si>
  <si>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</si>
  <si>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</si>
  <si>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</si>
  <si>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</si>
  <si>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</si>
  <si>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</si>
  <si>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</si>
  <si>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</si>
  <si>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Syrah Resources Ltd.</t>
  </si>
  <si>
    <t>China Graphite Group Ltd.</t>
  </si>
  <si>
    <t>AMG Critical Materials NV</t>
  </si>
  <si>
    <t>Northern Graphite Corp.</t>
  </si>
  <si>
    <t>Nacional de Grafite Ltda.</t>
  </si>
  <si>
    <t>Mineral Commodities Ltd.</t>
  </si>
  <si>
    <t>Private Interest</t>
  </si>
  <si>
    <t>Tirupati Graphite PLC</t>
  </si>
  <si>
    <t>China Minmetals Corp.</t>
  </si>
  <si>
    <t>Ownership</t>
  </si>
  <si>
    <t>List of owners</t>
  </si>
  <si>
    <t>Owner 1 SNL institution key</t>
  </si>
  <si>
    <t>Owner 2 SNL institution key</t>
  </si>
  <si>
    <t>Ultimate parent company name owner 1</t>
  </si>
  <si>
    <t>Ultimate parent company country owner 1</t>
  </si>
  <si>
    <t>Parent company Owner 1</t>
  </si>
  <si>
    <t>Parent company country onwer 1</t>
  </si>
  <si>
    <t>Country name owner 1</t>
  </si>
  <si>
    <t>Ultimate parent company name owner 2</t>
  </si>
  <si>
    <t>Ultimate parent company country owner 2</t>
  </si>
  <si>
    <t>Parent company Owner 2</t>
  </si>
  <si>
    <t>Parent company country onwer 2</t>
  </si>
  <si>
    <t>Country name owner 2</t>
  </si>
  <si>
    <t>Mozambique (Carried) 5%; Syrah Resources Limited  95%</t>
  </si>
  <si>
    <t>Australian Super Pty Ltd</t>
  </si>
  <si>
    <t>Australia</t>
  </si>
  <si>
    <t>Australian Super Pty Ltd; AustralianSuper</t>
  </si>
  <si>
    <t>Australia; Australia</t>
  </si>
  <si>
    <t>China Graphite Group Limited  100%</t>
  </si>
  <si>
    <t>NA</t>
  </si>
  <si>
    <t>Sandy Mining Limited</t>
  </si>
  <si>
    <t>BVI</t>
  </si>
  <si>
    <t>AMG Critical Materials N.V.  100%</t>
  </si>
  <si>
    <t>Netherlands</t>
  </si>
  <si>
    <t>Northern Graphite Corporation  100%</t>
  </si>
  <si>
    <t>Nacional de Grafite Ltda.  100%</t>
  </si>
  <si>
    <t>Mineral Commodities Ltd  100%; Norge Mining Limited (Fractional) %</t>
  </si>
  <si>
    <t>United Kingdom</t>
  </si>
  <si>
    <t>Tirupati Graphite plc (Venturer) 98%; Private Interest (Venturer) 2%</t>
  </si>
  <si>
    <t>China Minmetals Corporation  100%</t>
  </si>
  <si>
    <t>State-owned Assets Supervision and Administration Commission of the State Counci</t>
  </si>
  <si>
    <t>允䅁䍁䅯䅁允䅁䅁睔㍂䝁䄴党祂䍁䅁杍䅁䅁䅙䅁獂䅁䅁兔療䡁䅯兙瑂䝁䅉兡硂䡁䅕党杁䍁䅧睑桂䡁䅉杣灂䝁䅕䅚灁䍁䅁兎汁䑁䅳䅉呂䡁䅫杣桂䝁䅧䅉卂䝁䅕督療䡁䅕杣橂䝁䅕督杁䕁䅷兡瑂䝁䅫䅤求䝁䅑䅉杁䑁䅫兎汁䅁䅁睁䅁䍁䅯䅁䉂䡁䅕督あ䡁䅉兙獂䝁䅫兙㝁䍁䅁兑ㅂ䡁䅍䅤祂䝁䅅䅢灂䝁䅅䅁佁䅁䅁杄䅁䑁䅉䅎穁䑁䅍杍㍁䅁䅁䅁䅁䅁䅷䅁㉁䑁䅅李祁䑁䅙䅁䉁䅁䅁杆䅁䕁䄸睖佂䕁䅕杕時䕁䅷兓呂䙁䅑䅁䍁䅁䅁䅋䅁䕁䄸睖佂䕁䅕杕時䙁䅍杔䵂䙁䄸兓佂䙁䅍䅖佂䙁䄸睓䙂䙁䅫䅁䕁䅁䅁杌䅁䙁䅍䅕時䙁䅁兑卂䕁䅕杔啂䙁䄸睑偂䕁䄰䅕䉂䕁䄴兗時䕁䄴兑乂䕁䅕䅁䡁䅁䅁䅅䅁䕁䄸睤畂䝁䅕杣杁䑁䅅䅁䙁䅁䅁杁䅁䅁䅁䅃䅁䅁䅷䅁㉁䑁䅣䅍睁䑁䅍䅁十䅁䅁李䅁䙁䅍䅕時䙁䅕䅔啂䙁䄸䅕䉂䙁䅉兒佂䙁䅑睘䑂䕁䄸兔兂䕁䅅杔婂䙁䄸杔䉂䕁䄰兒䅁䅁䅫䅁歁䅁䅁睕兂䙁䄸䅕䉂䙁䅉兒佂䙁䅑睘䑂䕁䄸兖佂䙁䅑杕婂䅁䅁权䅁䍁䅁䅁呂䙁䅁睘䑂䕁䄸兖佂䙁䅑杕婂䙁䄸杔䉂䕁䄰兒䅁䅁䅳䅁啁䅁䅁兑ㅂ䡁䅍䅤祂䝁䅅䅢灂䝁䅅䅁䵁䅁䅁杆䅁䕁䄰睢㙂䝁䅅兢楂䝁䅫兣ㅂ䝁䅕䅁乁䅁䅁䅖䅁䕁䅅兤穂䡁䅑杣桂䝁䅷兡桂䝁䄴䅉呂䡁䅕䅣求䡁䅉䅉兂䡁䅑入杁䕁䅷䅤歂䑁䅳䅉䉂䡁䅕督あ䡁䅉兙獂䝁䅫兙畂䙁䅍兤睂䝁䅕杣䅁䉁䅅䅁祁䅁䅁兑ㅂ䡁䅍䅤祂䝁䅅䅢灂䝁䅅杢杁䙁䅍兤睂䝁䅕杣杁䙁䅁䅤㕂䍁䅁䅔あ䝁䅑䅁偁䅁䅁䅄䅁䕁䅍䅡灂䝁䄴兙䅁䍁䅉䅁獁䅁䅁睕兂䙁䄸兖䵂䙁䅑睘兂䕁䅅杕䙂䕁䄴䅖時䕁䅍睔噂䕁䄴䅖卂䙁䅫䅁允䅁䅁䅒䅁䕁䅅兔䡂䍁䅁睑祂䝁䅫䅤灂䝁䅍兙獂䍁䅁兔桂䡁䅑党祂䝁䅫兙獂䡁䅍䅉佂䍁䄴杖畁䍁䅁䅉硁䑁䅁䅍汁䅁䅁睅䅁䅁䅷䅁㍁䑁䅙䅎睁䑁䅣䅁敁䅁䅁䅄䅁䑁䅧兏㉁䑁䅧兎䅁䉁䅑䅁䭃䅁䅁䅖灂䡁䅉兤睂䝁䅅䅤灂䍁䅁睒祂䝁䅅䅣潂䝁䅫䅤求䍁䅁䅣獂䝁䅍䅉潁䙁䅙党畂䡁䅑兤祂䝁䅕杣灁䍁䅁兏㑁䍁䅕睏杁䙁䅁杣灂䡁䅙兙あ䝁䅕䅉䩂䝁䄴䅤求䡁䅉党穂䡁䅑䅉潁䙁䅙党畂䡁䅑兤祂䝁䅕杣灁䍁䅁杍汁䅁䅁睈䅁䕁䅙䅁䑂䝁䅧兡畂䝁䅅䅉䡂䡁䅉兙睂䝁䅧兡あ䝁䅕䅉䡂䡁䅉睢ㅂ䡁䅁䅉䵂䝁䅫兢灂䡁䅑党歂䍁䅁䅉硁䑁䅁䅍汁䅁䅁兆䅁䕁䅁䅁佂䝁䅅睙灂䝁䄸杢桂䝁䅷䅉歂䝁䅕䅉䡂䡁䅉兙浂䝁䅫䅤求䍁䅁䅔あ䝁䅑兙畁䍁䅁䅉硁䑁䅁䅍汁䅁䅁睆䅁䅁䅷䅁㍁䑁䅣免硁䑁䅕䅁坁䅁䅁杂䅁䕁䄴兑䅁䉁䅧䅁䵁䅁䅁李ぁ䑁䅁兏睁䅁䅁兇䅁䕁䅧䅁佂䝁䄸杣あ䝁䅧党祂䝁䄴䅉䡂䡁䅉兙睂䝁䅧兡あ䝁䅕䅉䑂䝁䄸杣睂䝁䄸杣桂䡁䅑兡療䝁䄴䅉杁䑁䅅䅍睁䍁䅕䅁慁䅁䅁䅄䅁䑁䅣睎硁䑁䅅睍䅁䉁䅳䅁䵁䅁䅁䅏穁䑁䅉䅍穁䅁䅁䅈䅁䉁䄴䅁噂䝁䄴兡あ䝁䅕䅚杁䕁䅳兡畂䝁䅣䅚療䝁䄰䅁汁䅁䅁杨䅁䕁䄰兡畂䝁䅕杣桂䝁䅷䅉䑂䝁䄸兢瑂䝁䄸䅚灂䡁䅑兡求䡁䅍䅉䵂䡁䅑䅚杁䍁䅁免睁䑁䅁兊㝁䍁䅁杔療䡁䅉睚求䍁䅁兔灂䝁䄴兡畂䝁䅣䅉䵂䝁䅫兢灂䡁䅑党歂䍁䅁䅋䝂䡁䅉兙橂䡁䅑兡療䝁䄴兙獂䍁䅫䅉汁䅁䅁先䅁䅁䅷䅁㕁䑁䅍睎硁䑁䅁䅁杁䅁䅁杋䅁䙁䅍兙畂䝁䅑入杁䕁䄰兡畂䝁䅫杢湂䍁䅁䅔灂䝁䄰兡あ䝁䅕䅚䅁䍁䅧䅁䕂䅁䅁睑潂䝁䅫杢桂䍁䅁兔灂䝁䄴兢求䡁䅑兙獂䡁䅍䅉䑂䝁䄸杣睂䝁䄸杣桂䡁䅑兡療䝁䄴䅉杁䑁䅅䅍睁䍁䅕䅁桁䅁䅁杯䅁䙁䅍䅤桂䡁䅑党瑁䝁䄸睤畂䝁䅕䅚杁䕁䅅督穂䝁䅕䅤穂䍁䅁睕ㅂ䡁䅁党祂䡁䅙兡穂䝁䅫睢畂䍁䅁兙畂䝁䅑䅉䉂䝁䅑兢灂䝁䄴兡穂䡁䅑杣桂䡁䅑兡療䝁䄴䅉䑂䝁䄸兢瑂䝁䅫督穂䝁䅫睢畂䍁䅁睢浂䍁䅁䅤潂䝁䅕䅉呂䡁䅑兙あ䝁䅕䅉䑂䝁䄸兤畂䝁䅍兡䅁䍁䅍䅁䥁䅁䅁村坂䕁䅫䅁歁䅁䅁杄䅁䕁䅉杣桂䡁䅯兡獂䅁䅁杊䅁䉁䅧䅁佂䝁䅕䅤潂䝁䅕杣獂䝁䅅杢歂䡁䅍䅁湁䅁䅁杄䅁䕁䅍兙畂䝁䅅䅚桂䅁䅁克䅁䙁䅣䅁䵁䅉䅅䅁䕁䅁䅁睁䅁䅁䅁权䅁䅁䅁权䉁䅁䅁权䍁䅁䅁允䅁䅁䅅䅁䭁䅁䅍䅁䵁䅉䅅䅁䕁䅁䅁睁䅁䅁䅁权䅁䅁䅁权捁䅁䅁权䍁䅁䅁允䅁䅁䅅䅁䭁䉁䄰䅁䵁䅉䅅䅁䙁䅁䅁睁䅁䅁䅁权䅁䅁䅁权䉁䅁䅁权䕁䅁䅁权䙁䅁䅁允䅁䅁䅅䅁䑁䡁礱村䵁䅉䅅䅁䑁䅁䅁睁䵁䅁䅁兂䅁䅁䅃婶全兑䅯元䅁䅁䅅䅁䉁䅁䅁权䥁䅁䅁䍄䉁䅁䅁兂䅁䅁䅍䅁䅁䅁䅯䅁䅁䅁䅯允䅁䅁䅯䅂䅁䅁䅯杂䅁䅁䅅䅁䉁䅁䅁睁㉄歙䅉䍄䉁䅁䅁睁䅁䅁䅍䅄䅁䅁䅕䅁䅁䱧夲䕕䭅䅁䅣䅁䉁䅁䅁允䅁䅁䅯䅃䅁䅁杷允䅁䅁䅑䅁䑁䅁䅁䅁䭁䅁䅁䅁䭁䍁䅁䅁䭁䅁䅉䅁䉁䅁䅁允䅁䅁䅯光䅁䅁杷允䅁䅁䅍䅁䑁䅁䅷䅁䙁䅁䅁䥁㥃䙭䉂权䭁䅁䅁允䅁䅁䅅䅁䭁䅁䅧䅁䵁䅉䅅䅁䑁䅁䅁睁䵁䅁䅁权奁䅁䅁权䭁䅁䅁允䅁䅁䅅䅁䭁䅁䅧䅁䵁䅉䅅䅁䑁䅁䅁睁䵁䅁䅁兂䅁䅁䅂㕮典兑䅯睃䅁䅁䅅䅁䉁䅁䅁权䵁䅁䅁䍄䉁䅁䅁睁䅁䅁䅍䅄䅁䅁䅕䅁䅁䱧夲䕕䭅䅁䅳䅁䉁䅁䅁允䅁䅁䅯兄䅁䅁杷允䅁䅁䅍䅁䑁䅁䅷䅁䙁䅁䅁䕁畃浏䉒权䩁䅁䅁允䅁䅁䅅䅁䭁䅁䅧䅁䵁䅉䅅䅁䑁䅁䅁睁䵁䅁䅁兂䅁䅁䅂㕡兰兑䅯元䅁䅁䅅䅁䉁䅁䅁权䥁䅁䅁䍄䉁䅁䅁睁䅁䅁䅍䅄䅁䅁䅕䅁䅁䩑挫䕕䭅䅁䅯䅁䉁䅁䅁允䅁䅁䅯杄䅁䅁杷允䅁䅁䅍䅁䑁䅁䅷䅁䙁䅁䅁䕁硂噁䉆权䱁䅁䅁允䅁䅁䅅䅁䭁䍁䅙䅁䵁䅉䅅䅁䙁䅁䅁睁䅁䅁䅁权䅁䅁䅁权杁䅁䅁权䕁䅁䅁权䝁䅁䅁允䅁䅁䅅䅁䭁䉁䅧䅁䵁䅉䅅䅁䑁䅁䅁睁䵁䅁䅁兂䅁䅁䅂㕮典兑䅯元䅁䅁䅅䅁䉁䅁䅁权偁䅁䅁䍄䉁䅁䅁䅂䅁䅁䅍䅁䅁䅁䅯䅁䅁䅁䅯兇䅁䅁䅯杁䅁䅁䅅䅁䉁䅁䅁权慁䅁䅁䍄䉁䅁䅁睁䅁䅁䅍䅄䅁䅁䅕䅁䅁䱧夲䕕䭅䉁䅁䅁䉁䅁䅁允䅁䅁䅯䅃䅁䅁杷允䅁䅁䅍䅁䑁䅁䅷䅁䙁䅁䅁䅁獂ㅭ䉂权䩁䅁䅁允䅁䅁䅅䅁䭁䅁䅧䅁䵁䅉䅅䅁䑁䅁䅁睁䵁䅁䅁兂䅁䅁䅁㙪兖兑䅯睃䅁䅁䅅䅁䉁䅁䅁权灁䅁䅁䍄䉁䅁䅁睁䅁䅁䅍䅄䅁䅁䅕䅁䅁䨯改啭䭅䉁䅁䅁䉁䅁䅁允䅁䅁䅯䅊䅁䅁杷允䅁䅁䅍䅁䑁䅁䅷䅁䭁䉁䅧䅁䭁䅁䅣䅁䉁䅁䅁允䅁䅁䅯䅃䅁䅁杷允䅁䅁䅍䅁䑁䅁䅷䅁䙁䅁䅁䕁晃䙮䉂权允䅁䅁允䅁䅁䅅䅁䭁䅁䅷䅁䵁䅉䅅䅁䑁䅁䅁睁䵁䅁䅁兂䅁䅁䅁䩢兴兑䅯䅅䅁䅁䅅䅁䉁䅁䅁权䥁䅁䅁䍄䉁䅁䅁睁䅁䅁䅍䅄䅁䅁䅕䅁䅁䩑挫䕕䭅䅁䅣䅁䉁䅁䅁允䅁䅁䅯充䅁䅁杷允䅁䅁䅑䅁䑁䅁䅁䅁䭁䅁䅁䅁䭁䉁䅉䅁䭁䅁䅉䅁䉁䅁䅁允䅁䅁䅯睅䅁䅁杷允䅁䅁䅑䅁䑁䅁䅁䅁䭁䅁䅁䅁䭁䉁䅑䅁䭁䅁䅉䅁䉁䅁䅁允䅁䅁䅯兆䅁䅁杷允䅁䅁䅑䅁䑁䅁䅁䅁䭁䅁䅁䅁䭁䉁䅙䅁䭁䅁䅉䅁䉁䅁䅁允䅁䅁䅯睆䅁䅁杷允䅁䅁䅕䅁䑁䅁䅁䅁䭁䅁䅁䅁䭁䉁䅳䅁䭁䅁䅑䅁䭁䅁䅙䅁䉁䅁䅁允䅁䅁䅯䅇䅁䅁杷允䅁䅁䅑䅁䑁䅁䅁䅁䭁䅁䅁䅁䭁䉁䄴䅁䭁䅁䅉䅁䉁䅁䅁允䅁䅁䅯睈䅁䅁杷允䅁䅁䅕䅁䑁䅁䅁䅁䭁䅁䅁䅁䭁䉁䅑䅁䭁䅁䅑䅁䭁䅁䅕䅁䉁䅁䅁允䅁䅁䅍㘯塤杂杷允䅁䅁䅕䅁䑁䅁䅁䅁䭁䅁䅁䅁䭁䉁䅑䅁䭁䅁䅑䅁䭁䅁䅙䅁䉁䅁䅁允䅁䅁䅯䅇䅁䅁杷允䅁䅁䅕䅁䑁䅁䅁䅁䭁䅁䅁䅁䭁䉁䅙䅁䭁䅁䅑䅁䭁䅁䅕䅁䉁䅁䅁允䅁䅁䅍典䕖䅁杷允䅁䅁䅕䅁䑁䅁䅁䅁䭁䅁䅁䅁䭁䉁䅉䅁䭁䅁䅑䅁䭁䅁䅕䅁䉁䅁䅁允䅁䅁䅍䙣䍨䅁杷允䅁䅁䅕䅁䑁䅁䅁䅁䭁䅁䅁䅁䭁䉁䅉䅁䭁䅁䅑䅁䭁䅁䅙䅁䉁䅁䅁允䅁䅁䅯䅇䅁䅁杷允䅁䅁䅕䅁䑁䅁䅁䅁䭁䅁䅁䅁䭁䉁䅫䅁䭁䅁䅑䅁䭁䅁䅕䅁䉁䅁䅁允䅁䅁䅍䩐䍚䅁杷允䅁䅁䅕䅁䑁䅁䅁䅁䭁䅁䅁䅁䭁䉁䅫䅁䭁䅁䅑䅁䭁䅁䅙䅁䉁䅁䅁允䅁䅁䅯䅇䅁䅁杷允䅁䅁䅕䅁䑁䅁䅁䅁䭁䅁䅁䅁䭁䉁䅷䅁䭁䅁䅑䅁䭁䅁䅕䅁䉁䅁䅁允䅁䅁䅍坲䍬䅁杷允䅁䅁䅍䅁䑁䅁䅷䅁䙁䅁䅁䅁捁汬䉂权䭁䅁䅁允䅁䅁䅅䅁䭁䅁䅧䅁䵁䅉䅅䅁䑁䅁䅁睁䵁䅁䅁兂䅁䅁䅂㕡兰兑䅯䅅䅁䅁䅅䅁䉁䅁䅁权䥁䅁䅁䍄䉁䅁䅁兂䅁䅁䅍䅁䅁䅁䅯䅁䅁䅁䅯杆䅁䅁䅯䅂䅁䅁䅯杂䅁䅁䅅䅁䉁䅁䅁权奁䅁䅁䍄䉁䅁䅁睁䅁䅁䅍䅄䅁䅁䅕䅁䅁䡑䉅啕䭅䉁䅁䅁䉁䅁䅁允䅁䅁䅯䅃䅁䅁杷允䅁䅁䅑䅁䑁䅁䅁䅁䭁䅁䅁䅁䭁䉁䅳䅁䭁䅁䅉䅁䉁䅁䅁允䅁䅁䅯睆䅁䅁杷允䅁䅁䅕䅁䑁䅁䅁䅁䭁䅁䅁䅁䭁䉁䅳䅁䭁䅁䅑䅁䭁䅁䅕䅁䉁䅁䅁允䅁䅁䅍典䕖䅁杷允䅁䅁䅍䅁䑁䅁䅷䅁䙁䅁䅁䵁塄㉨䉸权䡁䅁䅁允䅁䅁䅅䅁䭁䅁䅧䅁䵁䅉䅅䅁䙁䅁䅁睁䅁䅁䅁权䅁䅁䅁权捁䅁䅁权䕁䅁䅁权䝁䅁䅁允䅁䅁䅅䅁䑁䱁⬴䄵䵁䅉䅅䅁䙁䅁䅁睁䅁䅁䅁权䅁䅁䅁权敁䅁䅁权䕁䅁䅁权䙁䅁䅁允䅁䅁䅅䅁䑁䡁噌兯䵁䅉䅅䅁䑁䅁䅁睁䵁䅁䅁兂䅁䅁䅁䩈党兑䅯元䅁䅁䅅䅁䉁䅁䅁权䥁䅁䅁䍄䉁䅁䅁兂䅁䅁䅍䅁䅁䅁䅯䅁䅁䅁䅯杈䅁䅁䅯䅂䅁䅁䅯杂䅁䅁䅅䅁䉁䅁䅁睁睃啢䅉䍄䉁䅁䅁睁䅁䅁䅍䅄䅁䅁䅕䅁䅁䝑慵䕕䭅䅁䅳䅁䉁䅁䅁允䅁䅁䅯䅄䅁䅁杷允䅁䅁䅕䅁䑁䅁䅁䅁䭁䅁䅁䅁䭁䍁䅁䅁䭁䅁䅑䅁䭁䅁䅕䅁䉁䅁䅁允䅁䅁䅍桵䍤䅁杷允䅁䅁䅍䅁䑁䅁䅷䅁䙁䅁䅁䵁塄㉨䉸权䭁䅁䅁允䅁䅁䅅䅁䭁䅁䅧䅁䵁䅉䅅䅁䑁䅁䅁睁䵁䅁䅁权奁䅁䅁权䱁䅁䅁允䅁䅁䅅䅁䭁䍁䅉䅁䵁䅉䅅䅁䑁䅁䅁睁䵁䅁䅁兂䅁䅁䅃漷兖兑䅯睂䅁䅁䅅䅁䉁䅁䅁权橁䅁䅁䍄䉁䅁䅁睁䅁䅁䅍䅄䅁䅁䅕䅁䅁䡑䉅啕䭅䅁䅣䅁䉁䅁䅁允䅁䅁䅯䅃䅁䅁杷允䅁䅁䅍䅁䑁䅁䅷䅁䙁䅁䅁偁晹灘䉬权䭁䅁䅁允䅁䅁䅅䅁䭁䍁䅑䅁䵁䅉䅅䅁䑁䅁䅁睁䵁䅁䅁权奁䅁䅁权允䅁䅁允䅁䅁䅅䅁䭁䅁䅧䅁䵁䅉䅅䅁䑁䅁䅁睁䵁䅁䅁兂䅁䅁䅂橲歰兑䅯睃䅁䅁䅅䅁䉁䅁䅁权汁䅁䅁䍄䉁䅁䅁睁䅁䅁䅍䅄䅁䅁䅯䅇䅁䅁䅯元䅁䅁䅅䅁䉁䅁䅁权䥁䅁䅁䍄䉁䅁䅁睁䅁䅁䅍䅄䅁䅁䅕䅁䅁䡑䉅啕䭅䅁䅯䅁䉁䅁䅁允䅁䅁䅯䅃䅁䅁杷允䅁䅁䅍䅁䑁䅁䅷䅁䙁䅁䅁䕁牂汭䉂权䭁䅁䅁允䅁䅁䅅䅁䭁䅁䅧䅁䵁䅉䅅䅁䑁䅁䅁睁䵁䅁䅁兂䅁䅁䅁䩢兴兑䅯睃䅁䅁䅅䅁䉁䅁䅁权楁䅁䅁䍄䉁䅁䅁睁䅁䅁䅍䅄䅁䅁䅕䅁䅁䭑㘴䕚䭅䅁䅯䅁䉁䅁䅁允䅁䅁䅯䅃䅁䅁杷允䅁䅁䅍䅁䑁䅁䅷䅁䙁䅁䅁䵁塄㉨䉸权䱁䅁䅁允䅁䅁䅅䅁䭁䍁䅕䅁䵁䅉䅅䅁䑁䅁䅁睁䵁䅁䅁兂䅁䅁䅄㐱獤兑䅯䅅䅁䅁䅅䅁䉁䅁䅁权䥁䅁䅁䍄䉁䅁䅁睁䅁䅁䅍䅄䅁䅁䅕䅁䅁䭑㘴䕚䭅䅁䅣䅁䉁䅁䅁允䅁䅁䅯䅃䅁䅁杷允䅁䅁䅍䅁䑁䅁䅷䅁䙁䅁䅁䕁畃浏䉒权允䅁䅁允䅁䅁䅅䅁䭁䅁䅧䅁䵁䅉䅅䅁䑁䅁䅁睁䵁䅁䅁兂䅁䅁䅃漷兖兑䅯权䅁䅁䅅䅁䉁䅁䅁权楁䅁䅁䍄䉁䅁䅁睁䅁䅁䅍䅄䅁䅁䅕䅁䅁䉁坹䕕䭅䅁䅳䅁䉁䅁䅁允䅁䅁䅯睊䅁䅁杷允䅁䅁䅍䅁䑁䅁䅷䅁䙁䅁䅁䅁捁汬䉂权䡁䅁䅁允䅁䅁䅅䅁䭁䅁䅧䅁䵁䅉䅅䅁䑁䅁䅁睁䵁䅁䅁兂䅁䅁䅂兣剆兑䅯元䅁䅁䅅䅁䉁䅁䅁权䥁䅁䅁䍄䉁䅁䅁睁䅁䅁䅍䅄䅁䅁䅕䅁䅁佧䘶䕕䭅䉁䅁䅁䉁䅁䅁允䅁䅁䅯杉䅁䅁杷允䅁䅁䅍䅁䑁䅁䅷䅁䙁䅁䅁䅁獂ㅭ䉂权䡁䅁䅁允䅁䅁䅅䅁䭁䅁䅧䅁䵁䅉䅅䅁䑁䅁䅁睁䵁䅁䅁兂䅁䅁䅃漷兖兑䅯睃䅁䅁䅅䅁䉁䅁䅁权楁䅁䅁䍄䉁䅁䅁睁䅁䅁䅍䅄䅁䅁䅕䅁䅁䝁批䕕䭅䅁䅯䅁䉁䅁䅁允䅁䅁䅯䅃䅁䅁杷允䅁䅁䅍䅁䑁䅁䅷䅁䙁䅁䅁䵁塄㉨䉸权䩁䅁䅁允䅁䅁䅅䅁䭁䅁䅧䅁䵁䅉䅅䅁䑁䅁䅁睁䵁䅁䅁兂䅁䅁䅂㕡兰兑䅯睂䅁䅁䅅䅁䉁䅁䅁权䥁䅁䅁䍄䉁䅁䅁睁䅁䅁䅍䅄䅁䅁䅕䅁䅁䨯改啭䭅䅁䅣䅁䉁䅁䅁允䅁䅁䅯䅋䅁䅁杷允䅁䅁䅍䅁䑁䅁䅷䅁䙁䅁䅁偁晹灘䉬权䩁䅁䅁允䅁䅁䅅䅁䭁䍁䅧䅁䵁䅉䅅䅁䑁䅁䅁睁䵁䅁䅁兂䅁䅁㡄ㅮ娶兑䅯睃䅁䅁䅅䅁䉁䅁䅁权楁䅁䅁䍄䉁䅁䅁睁䅁䅁䅍䅄䅁䅁䅕䅁䅁䥁氫䕕䭅䅁䅫䅁䉁䅁䅁允䅁䅁䅯䅃䅁䅁杷允䅁䅁䅍䅁䑁䅁䅷䅁䙁䅁䅁䅁偃噰䉂权允䅁䅁允䅁䅁䅅䅁䭁䅁䅧䅁䵁䅉䅅䅁䑁䅁䅁睁䵁䅁䅁兂䅁䅁䅁㙪兖兑䅯权䅁䅁䅅䅁䉁䅁䅁权䥁䅁䅁䍄䉁䅁䅁睁䅁䅁䅍䅄䅁䅁䅕䅁䅁佧䘶䕕䭅䅁䅫䅁䉁䅁䅁允䅁䅁䅯睉䅁䅁杷允䅁䅁䅍䅁䑁䅁䅷䅁䙁䅁䅁䅁偃噰䉂权䡁䅁䅁允䅁䅁䅅䅁䭁䅁䅧䅁䵁䅉䅅䅁䑁䅁䅁睁䵁䅁䅁兂䅁䅁䅁䩈党兑䅯䅅䅁䅁䅅䅁䉁䅁䅁权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</si>
</sst>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Calibri"/>
      <family val="2"/>
      <scheme val="minor"/>
    </font>
    <font>
      <b/>
      <sz val="14"/>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right" vertical="top" wrapText="1"/>
    </xf>
    <xf numFmtId="0" fontId="2" fillId="0" borderId="0" xfId="0" applyFont="1" applyAlignment="1">
      <alignment horizontal="left" vertical="top" wrapText="1"/>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1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SNL%20Financial/SNLxl/SNLXLAddin.xla" TargetMode="External"/><Relationship Id="rId2" Type="http://schemas.openxmlformats.org/officeDocument/2006/relationships/externalLinkPath" Target="file:///C:\Program%20Files\SNL%20Financial\SNLxl\SNLXLAddin.xla" TargetMode="External"/><Relationship Id="rId1" Type="http://schemas.openxmlformats.org/officeDocument/2006/relationships/externalLinkPath" Target="/Program%20Files/SNL%20Financial/SNLxl/SNLXLAddin.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s>
    <definedNames>
      <definedName name="SNLData"/>
    </defined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EA15-F303-4793-A129-229F50C5041A}">
  <dimension ref="A1"/>
  <sheetViews>
    <sheetView workbookViewId="0"/>
  </sheetViews>
  <sheetFormatPr defaultRowHeight="15" x14ac:dyDescent="0.25"/>
  <sheetData>
    <row r="1" spans="1:1" x14ac:dyDescent="0.25">
      <c r="A1"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7"/>
  <sheetViews>
    <sheetView workbookViewId="0">
      <selection sqref="A1:D1"/>
    </sheetView>
  </sheetViews>
  <sheetFormatPr defaultRowHeight="15" x14ac:dyDescent="0.25"/>
  <cols>
    <col min="1" max="1" width="48.5703125" customWidth="1"/>
    <col min="2" max="2" width="19.5703125" customWidth="1"/>
    <col min="3" max="3" width="16.140625" customWidth="1"/>
    <col min="4" max="4" width="21.7109375" customWidth="1"/>
    <col min="5" max="5" width="17.5703125" customWidth="1"/>
    <col min="6" max="6" width="16.140625" customWidth="1"/>
    <col min="7" max="7" width="17.5703125" customWidth="1"/>
    <col min="8" max="8" width="20.5703125" customWidth="1"/>
    <col min="9" max="9" width="19.5703125" customWidth="1"/>
    <col min="10" max="10" width="17.5703125" customWidth="1"/>
    <col min="11" max="12" width="19.5703125" customWidth="1"/>
    <col min="13" max="14" width="17.5703125" customWidth="1"/>
    <col min="15" max="16" width="16.140625" customWidth="1"/>
    <col min="17" max="17" width="22.42578125" customWidth="1"/>
    <col min="18" max="18" width="21.140625" customWidth="1"/>
    <col min="19" max="19" width="22.42578125" customWidth="1"/>
    <col min="20" max="22" width="21.140625" customWidth="1"/>
    <col min="23" max="24" width="22.42578125" customWidth="1"/>
    <col min="25" max="26" width="21.140625" customWidth="1"/>
    <col min="27" max="31" width="16.140625" customWidth="1"/>
    <col min="32" max="32" width="21.140625" customWidth="1"/>
    <col min="33" max="33" width="22.42578125" customWidth="1"/>
    <col min="34" max="34" width="21.140625" customWidth="1"/>
    <col min="35" max="35" width="16.140625" customWidth="1"/>
    <col min="36" max="36" width="17.5703125" customWidth="1"/>
    <col min="37" max="37" width="21.140625" customWidth="1"/>
    <col min="38" max="38" width="19.5703125" customWidth="1"/>
    <col min="39" max="39" width="22.42578125" customWidth="1"/>
    <col min="40" max="40" width="21.140625" customWidth="1"/>
    <col min="41" max="41" width="22" customWidth="1"/>
    <col min="42" max="42" width="16.140625" customWidth="1"/>
    <col min="43" max="43" width="17.5703125" customWidth="1"/>
    <col min="44" max="44" width="22" customWidth="1"/>
  </cols>
  <sheetData>
    <row r="1" spans="1:44" ht="39.950000000000003" customHeight="1" x14ac:dyDescent="0.25">
      <c r="A1" s="3"/>
      <c r="B1" s="3"/>
      <c r="C1" s="3"/>
      <c r="D1" s="3"/>
    </row>
    <row r="2" spans="1:44" ht="30" customHeight="1" x14ac:dyDescent="0.3">
      <c r="A2" s="4" t="s">
        <v>66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25">
      <c r="A3" s="6" t="s">
        <v>0</v>
      </c>
    </row>
    <row r="4" spans="1:44" x14ac:dyDescent="0.25">
      <c r="A4" s="6" t="s">
        <v>1</v>
      </c>
    </row>
    <row r="5" spans="1:44" x14ac:dyDescent="0.25">
      <c r="A5" s="7"/>
    </row>
    <row r="6" spans="1:44" x14ac:dyDescent="0.25">
      <c r="A6" s="2" t="s">
        <v>3</v>
      </c>
      <c r="B6" s="2" t="s">
        <v>4</v>
      </c>
      <c r="C6" s="2" t="s">
        <v>5</v>
      </c>
      <c r="D6" s="2"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c r="AF6" s="1" t="s">
        <v>34</v>
      </c>
      <c r="AG6" s="1" t="s">
        <v>35</v>
      </c>
      <c r="AH6" s="1" t="s">
        <v>36</v>
      </c>
      <c r="AI6" s="1" t="s">
        <v>37</v>
      </c>
      <c r="AJ6" s="1" t="s">
        <v>38</v>
      </c>
      <c r="AK6" s="1" t="s">
        <v>39</v>
      </c>
      <c r="AL6" s="1" t="s">
        <v>40</v>
      </c>
      <c r="AM6" s="1" t="s">
        <v>35</v>
      </c>
      <c r="AN6" s="1" t="s">
        <v>34</v>
      </c>
      <c r="AO6" s="1" t="s">
        <v>41</v>
      </c>
      <c r="AP6" s="1" t="s">
        <v>37</v>
      </c>
      <c r="AQ6" s="1" t="s">
        <v>38</v>
      </c>
      <c r="AR6" s="1" t="s">
        <v>42</v>
      </c>
    </row>
    <row r="7" spans="1:44" x14ac:dyDescent="0.25">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row>
    <row r="8" spans="1:44" x14ac:dyDescent="0.25">
      <c r="A8" s="2"/>
      <c r="B8" s="2"/>
      <c r="C8" s="2"/>
      <c r="D8" s="2"/>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spans="1:44" x14ac:dyDescent="0.25">
      <c r="A9" s="2"/>
      <c r="B9" s="2"/>
      <c r="C9" s="2"/>
      <c r="D9" s="2"/>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row>
    <row r="10" spans="1:44" x14ac:dyDescent="0.25">
      <c r="A10" s="8">
        <v>46022</v>
      </c>
      <c r="B10" s="7" t="s">
        <v>43</v>
      </c>
      <c r="C10" s="7" t="s">
        <v>44</v>
      </c>
      <c r="D10" s="7" t="s">
        <v>45</v>
      </c>
      <c r="E10" s="9">
        <v>19.12</v>
      </c>
      <c r="F10" s="9">
        <v>0</v>
      </c>
      <c r="G10" s="9">
        <v>19.12</v>
      </c>
      <c r="H10" s="9">
        <v>0.04</v>
      </c>
      <c r="I10" s="9">
        <v>478</v>
      </c>
      <c r="J10" s="9">
        <v>0</v>
      </c>
      <c r="K10" s="9">
        <v>478</v>
      </c>
      <c r="L10" s="9">
        <v>478</v>
      </c>
      <c r="M10" s="10">
        <v>16.891213</v>
      </c>
      <c r="N10" s="9">
        <v>68.126084000000006</v>
      </c>
      <c r="O10" s="11">
        <v>0</v>
      </c>
      <c r="P10" s="11">
        <v>0</v>
      </c>
      <c r="Q10" s="10">
        <v>1.449679970729097</v>
      </c>
      <c r="R10" s="10">
        <v>0.96031997878608011</v>
      </c>
      <c r="S10" s="10">
        <v>1.32158563515493</v>
      </c>
      <c r="T10" s="10">
        <v>2.258295759334513</v>
      </c>
      <c r="U10" s="10">
        <v>5.989881344004619</v>
      </c>
      <c r="V10" s="10">
        <v>5.6829955862271699</v>
      </c>
      <c r="W10" s="10">
        <v>1.0029535140807839</v>
      </c>
      <c r="X10" s="10">
        <v>0.3921917296525822</v>
      </c>
      <c r="Y10" s="10">
        <v>12.376480488579309</v>
      </c>
      <c r="Z10" s="10">
        <v>19.45462131853985</v>
      </c>
      <c r="AA10" s="10">
        <v>0</v>
      </c>
      <c r="AB10" s="10">
        <v>0</v>
      </c>
      <c r="AC10" s="10">
        <v>0</v>
      </c>
      <c r="AD10" s="10">
        <v>0</v>
      </c>
      <c r="AE10" s="10">
        <v>0</v>
      </c>
      <c r="AF10" s="10">
        <v>25.444502662544469</v>
      </c>
      <c r="AG10" s="10">
        <v>34.810309189949663</v>
      </c>
      <c r="AH10" s="10">
        <v>60.13371233930804</v>
      </c>
      <c r="AI10" s="10">
        <v>0</v>
      </c>
      <c r="AJ10" s="10">
        <v>1.997916</v>
      </c>
      <c r="AK10" s="10">
        <v>62.131628339308037</v>
      </c>
      <c r="AL10" s="10">
        <v>66.597202999999993</v>
      </c>
      <c r="AM10" s="10">
        <v>34.810309189949663</v>
      </c>
      <c r="AN10" s="10">
        <v>25.444502662544469</v>
      </c>
      <c r="AO10" s="10">
        <v>6.4634906606919502</v>
      </c>
      <c r="AP10" s="10">
        <v>0</v>
      </c>
      <c r="AQ10" s="10">
        <v>1.997916</v>
      </c>
      <c r="AR10" s="10">
        <v>4.4655746606919502</v>
      </c>
    </row>
    <row r="11" spans="1:44" x14ac:dyDescent="0.25">
      <c r="A11" s="8">
        <v>46022</v>
      </c>
      <c r="B11" s="7" t="s">
        <v>46</v>
      </c>
      <c r="C11" s="7" t="s">
        <v>47</v>
      </c>
      <c r="D11" s="7" t="s">
        <v>48</v>
      </c>
      <c r="E11" s="9">
        <v>2205</v>
      </c>
      <c r="F11" s="9">
        <v>0</v>
      </c>
      <c r="G11" s="9">
        <v>2205</v>
      </c>
      <c r="H11" s="9">
        <v>4.5</v>
      </c>
      <c r="I11" s="9">
        <v>490</v>
      </c>
      <c r="J11" s="9">
        <v>0</v>
      </c>
      <c r="K11" s="9">
        <v>490</v>
      </c>
      <c r="L11" s="9">
        <v>490</v>
      </c>
      <c r="M11" s="10">
        <v>11</v>
      </c>
      <c r="N11" s="9">
        <v>88</v>
      </c>
      <c r="O11" s="11">
        <v>0</v>
      </c>
      <c r="P11" s="11">
        <v>0</v>
      </c>
      <c r="Q11" s="10">
        <v>1.766083853370787</v>
      </c>
      <c r="R11" s="10">
        <v>1.4407110000000001</v>
      </c>
      <c r="S11" s="10">
        <v>0.44707579283707871</v>
      </c>
      <c r="T11" s="10">
        <v>3.806952804424157</v>
      </c>
      <c r="U11" s="10">
        <v>7.4608234506320219</v>
      </c>
      <c r="V11" s="10">
        <v>2.605375998946629</v>
      </c>
      <c r="W11" s="10">
        <v>1.3194689634129211</v>
      </c>
      <c r="X11" s="10">
        <v>5.2619202158005622</v>
      </c>
      <c r="Y11" s="10">
        <v>7.0116415170646063</v>
      </c>
      <c r="Z11" s="10">
        <v>16.198406695224719</v>
      </c>
      <c r="AA11" s="10">
        <v>0</v>
      </c>
      <c r="AB11" s="10">
        <v>0</v>
      </c>
      <c r="AC11" s="10">
        <v>0</v>
      </c>
      <c r="AD11" s="10">
        <v>0</v>
      </c>
      <c r="AE11" s="10">
        <v>0</v>
      </c>
      <c r="AF11" s="10">
        <v>23.659230145856739</v>
      </c>
      <c r="AG11" s="10">
        <v>0</v>
      </c>
      <c r="AH11" s="10">
        <v>23.659230145856739</v>
      </c>
      <c r="AI11" s="10">
        <v>0</v>
      </c>
      <c r="AJ11" s="10">
        <v>1.0520929999999999</v>
      </c>
      <c r="AK11" s="10">
        <v>24.711323145856738</v>
      </c>
      <c r="AL11" s="10">
        <v>36.207662999999997</v>
      </c>
      <c r="AM11" s="10">
        <v>0</v>
      </c>
      <c r="AN11" s="10">
        <v>23.659230145856739</v>
      </c>
      <c r="AO11" s="10">
        <v>12.54843285414325</v>
      </c>
      <c r="AP11" s="10">
        <v>0</v>
      </c>
      <c r="AQ11" s="10">
        <v>1.0520929999999999</v>
      </c>
      <c r="AR11" s="10">
        <v>11.49633985414326</v>
      </c>
    </row>
    <row r="12" spans="1:44" x14ac:dyDescent="0.25">
      <c r="A12" s="8">
        <v>46022</v>
      </c>
      <c r="B12" s="7" t="s">
        <v>49</v>
      </c>
      <c r="C12" s="7" t="s">
        <v>50</v>
      </c>
      <c r="D12" s="7" t="s">
        <v>51</v>
      </c>
      <c r="E12" s="9">
        <v>0</v>
      </c>
      <c r="F12" s="9">
        <v>0</v>
      </c>
      <c r="G12" s="9">
        <v>0</v>
      </c>
      <c r="H12" s="9">
        <v>0</v>
      </c>
      <c r="I12" s="9">
        <v>0</v>
      </c>
      <c r="J12" s="9">
        <v>61.904761999999998</v>
      </c>
      <c r="K12" s="9">
        <v>61.904761999999998</v>
      </c>
      <c r="L12" s="9">
        <v>61.904761999999998</v>
      </c>
      <c r="M12" s="10">
        <v>6</v>
      </c>
      <c r="N12" s="9">
        <v>70</v>
      </c>
      <c r="O12" s="11">
        <v>0</v>
      </c>
      <c r="P12" s="11">
        <v>0</v>
      </c>
      <c r="Q12" s="10">
        <v>1.20983586399</v>
      </c>
      <c r="R12" s="10">
        <v>3.9520564804257301</v>
      </c>
      <c r="S12" s="10">
        <v>5.6222899999999996</v>
      </c>
      <c r="T12" s="10">
        <v>10.0010923296</v>
      </c>
      <c r="U12" s="10">
        <v>20.785274674015731</v>
      </c>
      <c r="V12" s="10">
        <v>2.4143944682599998</v>
      </c>
      <c r="W12" s="10">
        <v>0</v>
      </c>
      <c r="X12" s="10">
        <v>1.0336430000000001</v>
      </c>
      <c r="Y12" s="10">
        <v>3.41788019574</v>
      </c>
      <c r="Z12" s="10">
        <v>6.8659176640000004</v>
      </c>
      <c r="AA12" s="10">
        <v>0</v>
      </c>
      <c r="AB12" s="10">
        <v>0</v>
      </c>
      <c r="AC12" s="10">
        <v>0</v>
      </c>
      <c r="AD12" s="10">
        <v>0</v>
      </c>
      <c r="AE12" s="10">
        <v>0</v>
      </c>
      <c r="AF12" s="10">
        <v>27.651192338015729</v>
      </c>
      <c r="AG12" s="10">
        <v>0.78732199999999997</v>
      </c>
      <c r="AH12" s="10">
        <v>27.992478404090001</v>
      </c>
      <c r="AI12" s="10">
        <v>0</v>
      </c>
      <c r="AJ12" s="10">
        <v>4.1181000000000001</v>
      </c>
      <c r="AK12" s="10">
        <v>32.110578404089999</v>
      </c>
      <c r="AL12" s="10">
        <v>82.361999999999995</v>
      </c>
      <c r="AM12" s="10">
        <v>0.78732199999999997</v>
      </c>
      <c r="AN12" s="10">
        <v>27.651192338015729</v>
      </c>
      <c r="AO12" s="10">
        <v>54.369521595910001</v>
      </c>
      <c r="AP12" s="10">
        <v>0</v>
      </c>
      <c r="AQ12" s="10">
        <v>4.1181000000000001</v>
      </c>
      <c r="AR12" s="10">
        <v>50.251421595910003</v>
      </c>
    </row>
    <row r="13" spans="1:44" x14ac:dyDescent="0.25">
      <c r="A13" s="8">
        <v>46022</v>
      </c>
      <c r="B13" s="7" t="s">
        <v>52</v>
      </c>
      <c r="C13" s="7" t="s">
        <v>53</v>
      </c>
      <c r="D13" s="7" t="s">
        <v>54</v>
      </c>
      <c r="E13" s="9">
        <v>0</v>
      </c>
      <c r="F13" s="9">
        <v>0</v>
      </c>
      <c r="G13" s="9">
        <v>0</v>
      </c>
      <c r="H13" s="9">
        <v>0</v>
      </c>
      <c r="I13" s="9">
        <v>0</v>
      </c>
      <c r="J13" s="9">
        <v>6.7</v>
      </c>
      <c r="K13" s="9">
        <v>6.7</v>
      </c>
      <c r="L13" s="9">
        <v>6.7</v>
      </c>
      <c r="M13" s="10">
        <v>10</v>
      </c>
      <c r="N13" s="9">
        <v>88</v>
      </c>
      <c r="O13" s="11">
        <v>0</v>
      </c>
      <c r="P13" s="11">
        <v>0</v>
      </c>
      <c r="Q13" s="10">
        <v>31.89479512043161</v>
      </c>
      <c r="R13" s="10">
        <v>1.7328319999999999</v>
      </c>
      <c r="S13" s="10">
        <v>9.2538655666024052</v>
      </c>
      <c r="T13" s="10">
        <v>12.200348588192041</v>
      </c>
      <c r="U13" s="10">
        <v>55.081841275226061</v>
      </c>
      <c r="V13" s="10">
        <v>15.69049373522024</v>
      </c>
      <c r="W13" s="10">
        <v>0.12734014127318519</v>
      </c>
      <c r="X13" s="10">
        <v>0.7071152825674244</v>
      </c>
      <c r="Y13" s="10">
        <v>6.9152429223687388</v>
      </c>
      <c r="Z13" s="10">
        <v>23.440192081429579</v>
      </c>
      <c r="AA13" s="10">
        <v>0</v>
      </c>
      <c r="AB13" s="10">
        <v>0</v>
      </c>
      <c r="AC13" s="10">
        <v>0</v>
      </c>
      <c r="AD13" s="10">
        <v>0</v>
      </c>
      <c r="AE13" s="10">
        <v>0</v>
      </c>
      <c r="AF13" s="10">
        <v>78.522033356655641</v>
      </c>
      <c r="AG13" s="10">
        <v>1.166029498191268</v>
      </c>
      <c r="AH13" s="10">
        <v>79.688062854846905</v>
      </c>
      <c r="AI13" s="10">
        <v>0</v>
      </c>
      <c r="AJ13" s="10">
        <v>14.665675</v>
      </c>
      <c r="AK13" s="10">
        <v>94.353737854846912</v>
      </c>
      <c r="AL13" s="10">
        <v>146.656747</v>
      </c>
      <c r="AM13" s="10">
        <v>1.166029498191268</v>
      </c>
      <c r="AN13" s="10">
        <v>78.522033356655641</v>
      </c>
      <c r="AO13" s="10">
        <v>66.968684145153091</v>
      </c>
      <c r="AP13" s="10">
        <v>0</v>
      </c>
      <c r="AQ13" s="10">
        <v>14.665675</v>
      </c>
      <c r="AR13" s="10">
        <v>52.303009145153091</v>
      </c>
    </row>
    <row r="14" spans="1:44" x14ac:dyDescent="0.25">
      <c r="A14" s="8">
        <v>46022</v>
      </c>
      <c r="B14" s="7" t="s">
        <v>55</v>
      </c>
      <c r="C14" s="7" t="s">
        <v>56</v>
      </c>
      <c r="D14" s="7" t="s">
        <v>57</v>
      </c>
      <c r="E14" s="9">
        <v>460.56099999999998</v>
      </c>
      <c r="F14" s="9">
        <v>0</v>
      </c>
      <c r="G14" s="9">
        <v>460.56099999999998</v>
      </c>
      <c r="H14" s="9">
        <v>3.8655179999999998</v>
      </c>
      <c r="I14" s="9">
        <v>119.146</v>
      </c>
      <c r="J14" s="9">
        <v>0</v>
      </c>
      <c r="K14" s="9">
        <v>119.146</v>
      </c>
      <c r="L14" s="9">
        <v>119.33</v>
      </c>
      <c r="M14" s="10">
        <v>6.0873169999999996</v>
      </c>
      <c r="N14" s="9">
        <v>87.371013000000005</v>
      </c>
      <c r="O14" s="11">
        <v>0</v>
      </c>
      <c r="P14" s="11">
        <v>0</v>
      </c>
      <c r="Q14" s="10">
        <v>13.589515</v>
      </c>
      <c r="R14" s="10">
        <v>11.07375</v>
      </c>
      <c r="S14" s="10">
        <v>0.59240700000000013</v>
      </c>
      <c r="T14" s="10">
        <v>14.730378999999999</v>
      </c>
      <c r="U14" s="10">
        <v>39.986051000000003</v>
      </c>
      <c r="V14" s="10">
        <v>15.706657</v>
      </c>
      <c r="W14" s="10">
        <v>3.3129379999999999</v>
      </c>
      <c r="X14" s="10">
        <v>1.268589</v>
      </c>
      <c r="Y14" s="10">
        <v>9.0684170000000002</v>
      </c>
      <c r="Z14" s="10">
        <v>29.356601000000001</v>
      </c>
      <c r="AA14" s="10">
        <v>0</v>
      </c>
      <c r="AB14" s="10">
        <v>0</v>
      </c>
      <c r="AC14" s="10">
        <v>0</v>
      </c>
      <c r="AD14" s="10">
        <v>0</v>
      </c>
      <c r="AE14" s="10">
        <v>0</v>
      </c>
      <c r="AF14" s="10">
        <v>69.342652000000001</v>
      </c>
      <c r="AG14" s="10">
        <v>3.2217380000000002</v>
      </c>
      <c r="AH14" s="10">
        <v>72.564390000000003</v>
      </c>
      <c r="AI14" s="10">
        <v>0</v>
      </c>
      <c r="AJ14" s="10">
        <v>1.188766</v>
      </c>
      <c r="AK14" s="10">
        <v>73.753156000000004</v>
      </c>
      <c r="AL14" s="10">
        <v>59.438291</v>
      </c>
      <c r="AM14" s="10">
        <v>3.2217380000000002</v>
      </c>
      <c r="AN14" s="10">
        <v>69.342652000000001</v>
      </c>
      <c r="AO14" s="10">
        <v>-13.126099000000011</v>
      </c>
      <c r="AP14" s="10">
        <v>0</v>
      </c>
      <c r="AQ14" s="10">
        <v>1.188766</v>
      </c>
      <c r="AR14" s="10">
        <v>-14.31486500000001</v>
      </c>
    </row>
    <row r="15" spans="1:44" x14ac:dyDescent="0.25">
      <c r="A15" s="8">
        <v>46022</v>
      </c>
      <c r="B15" s="7" t="s">
        <v>58</v>
      </c>
      <c r="C15" s="7" t="s">
        <v>59</v>
      </c>
      <c r="D15" s="7" t="s">
        <v>60</v>
      </c>
      <c r="E15" s="9">
        <v>0</v>
      </c>
      <c r="F15" s="9">
        <v>0</v>
      </c>
      <c r="G15" s="9">
        <v>0</v>
      </c>
      <c r="H15" s="9">
        <v>0</v>
      </c>
      <c r="I15" s="9">
        <v>0</v>
      </c>
      <c r="J15" s="9">
        <v>31.286667000000001</v>
      </c>
      <c r="K15" s="9">
        <v>31.286667000000001</v>
      </c>
      <c r="L15" s="9">
        <v>28.533332999999999</v>
      </c>
      <c r="M15" s="10">
        <v>27.559823000000002</v>
      </c>
      <c r="N15" s="9">
        <v>91</v>
      </c>
      <c r="O15" s="11">
        <v>0</v>
      </c>
      <c r="P15" s="11">
        <v>0</v>
      </c>
      <c r="Q15" s="10">
        <v>82.545309653257021</v>
      </c>
      <c r="R15" s="10">
        <v>13.341333000000001</v>
      </c>
      <c r="S15" s="10">
        <v>40.619172934276797</v>
      </c>
      <c r="T15" s="10">
        <v>31.131700348844952</v>
      </c>
      <c r="U15" s="10">
        <v>167.6375159363788</v>
      </c>
      <c r="V15" s="10">
        <v>58.34098978077003</v>
      </c>
      <c r="W15" s="10">
        <v>5.6402995951716957</v>
      </c>
      <c r="X15" s="10">
        <v>4.6699195318626439</v>
      </c>
      <c r="Y15" s="10">
        <v>37.931658942455769</v>
      </c>
      <c r="Z15" s="10">
        <v>106.5828678502601</v>
      </c>
      <c r="AA15" s="10">
        <v>0</v>
      </c>
      <c r="AB15" s="10">
        <v>0</v>
      </c>
      <c r="AC15" s="10">
        <v>0</v>
      </c>
      <c r="AD15" s="10">
        <v>0</v>
      </c>
      <c r="AE15" s="10">
        <v>0</v>
      </c>
      <c r="AF15" s="10">
        <v>274.22038378663888</v>
      </c>
      <c r="AG15" s="10">
        <v>3.5178270393340272</v>
      </c>
      <c r="AH15" s="10">
        <v>277.73821082597289</v>
      </c>
      <c r="AI15" s="10">
        <v>0</v>
      </c>
      <c r="AJ15" s="10">
        <v>13.191398</v>
      </c>
      <c r="AK15" s="10">
        <v>290.92960882597288</v>
      </c>
      <c r="AL15" s="10">
        <v>212.401094</v>
      </c>
      <c r="AM15" s="10">
        <v>3.5178270393340272</v>
      </c>
      <c r="AN15" s="10">
        <v>274.22038378663888</v>
      </c>
      <c r="AO15" s="10">
        <v>-65.337116825972942</v>
      </c>
      <c r="AP15" s="10">
        <v>0</v>
      </c>
      <c r="AQ15" s="10">
        <v>13.191398</v>
      </c>
      <c r="AR15" s="10">
        <v>-78.528514825972934</v>
      </c>
    </row>
    <row r="16" spans="1:44" x14ac:dyDescent="0.25">
      <c r="A16" s="8">
        <v>46022</v>
      </c>
      <c r="B16" s="7" t="s">
        <v>61</v>
      </c>
      <c r="C16" s="7" t="s">
        <v>62</v>
      </c>
      <c r="D16" s="7" t="s">
        <v>63</v>
      </c>
      <c r="E16" s="9">
        <v>90.666667000000004</v>
      </c>
      <c r="F16" s="9">
        <v>0</v>
      </c>
      <c r="G16" s="9">
        <v>90.666667000000004</v>
      </c>
      <c r="H16" s="9">
        <v>0.5</v>
      </c>
      <c r="I16" s="9">
        <v>181.33333300000001</v>
      </c>
      <c r="J16" s="9">
        <v>0</v>
      </c>
      <c r="K16" s="9">
        <v>181.33333300000001</v>
      </c>
      <c r="L16" s="9">
        <v>181.33333300000001</v>
      </c>
      <c r="M16" s="10">
        <v>3</v>
      </c>
      <c r="N16" s="9">
        <v>85</v>
      </c>
      <c r="O16" s="11">
        <v>0</v>
      </c>
      <c r="P16" s="11">
        <v>0</v>
      </c>
      <c r="Q16" s="10">
        <v>0.31662210496220827</v>
      </c>
      <c r="R16" s="10">
        <v>0.52612899999999996</v>
      </c>
      <c r="S16" s="10">
        <v>1.287491426811461</v>
      </c>
      <c r="T16" s="10">
        <v>2.7101738984395989</v>
      </c>
      <c r="U16" s="10">
        <v>4.8404164302132688</v>
      </c>
      <c r="V16" s="10">
        <v>1.469431487125729</v>
      </c>
      <c r="W16" s="10">
        <v>0.57910519197699339</v>
      </c>
      <c r="X16" s="10">
        <v>0.77377725651200047</v>
      </c>
      <c r="Y16" s="10">
        <v>11.158671699169471</v>
      </c>
      <c r="Z16" s="10">
        <v>13.98098563478419</v>
      </c>
      <c r="AA16" s="10">
        <v>0</v>
      </c>
      <c r="AB16" s="10">
        <v>0</v>
      </c>
      <c r="AC16" s="10">
        <v>0</v>
      </c>
      <c r="AD16" s="10">
        <v>0</v>
      </c>
      <c r="AE16" s="10">
        <v>0</v>
      </c>
      <c r="AF16" s="10">
        <v>18.821402064997461</v>
      </c>
      <c r="AG16" s="10">
        <v>0.33149810989369688</v>
      </c>
      <c r="AH16" s="10">
        <v>19.152900174891151</v>
      </c>
      <c r="AI16" s="10">
        <v>0</v>
      </c>
      <c r="AJ16" s="10">
        <v>1.176142</v>
      </c>
      <c r="AK16" s="10">
        <v>20.32904217489115</v>
      </c>
      <c r="AL16" s="10">
        <v>23.522842000000001</v>
      </c>
      <c r="AM16" s="10">
        <v>0.33149810989369688</v>
      </c>
      <c r="AN16" s="10">
        <v>18.821402064997461</v>
      </c>
      <c r="AO16" s="10">
        <v>4.369941825108846</v>
      </c>
      <c r="AP16" s="10">
        <v>0</v>
      </c>
      <c r="AQ16" s="10">
        <v>1.176142</v>
      </c>
      <c r="AR16" s="10">
        <v>3.193799825108846</v>
      </c>
    </row>
    <row r="17" spans="1:44" x14ac:dyDescent="0.25">
      <c r="A17" s="8">
        <v>46022</v>
      </c>
      <c r="B17" s="7" t="s">
        <v>64</v>
      </c>
      <c r="C17" s="7" t="s">
        <v>65</v>
      </c>
      <c r="D17" s="7" t="s">
        <v>48</v>
      </c>
      <c r="E17" s="9">
        <v>15000</v>
      </c>
      <c r="F17" s="9">
        <v>0</v>
      </c>
      <c r="G17" s="9">
        <v>15000</v>
      </c>
      <c r="H17" s="9">
        <v>2.5</v>
      </c>
      <c r="I17" s="9">
        <v>6000</v>
      </c>
      <c r="J17" s="9">
        <v>0</v>
      </c>
      <c r="K17" s="9">
        <v>6000</v>
      </c>
      <c r="L17" s="9">
        <v>2000</v>
      </c>
      <c r="M17" s="10">
        <v>10</v>
      </c>
      <c r="N17" s="9">
        <v>90</v>
      </c>
      <c r="O17" s="11">
        <v>0</v>
      </c>
      <c r="P17" s="11">
        <v>0</v>
      </c>
      <c r="Q17" s="10">
        <v>1.871022740800562</v>
      </c>
      <c r="R17" s="10">
        <v>2.2427830000000002</v>
      </c>
      <c r="S17" s="10">
        <v>0.38518883356741568</v>
      </c>
      <c r="T17" s="10">
        <v>3.888826552106742</v>
      </c>
      <c r="U17" s="10">
        <v>8.3878211264747193</v>
      </c>
      <c r="V17" s="10">
        <v>2.129982173244382</v>
      </c>
      <c r="W17" s="10">
        <v>0.87498562429775284</v>
      </c>
      <c r="X17" s="10">
        <v>4.1513892252808988</v>
      </c>
      <c r="Y17" s="10">
        <v>3.633416371769663</v>
      </c>
      <c r="Z17" s="10">
        <v>10.7897733945927</v>
      </c>
      <c r="AA17" s="10">
        <v>0</v>
      </c>
      <c r="AB17" s="10">
        <v>0</v>
      </c>
      <c r="AC17" s="10">
        <v>0</v>
      </c>
      <c r="AD17" s="10">
        <v>0</v>
      </c>
      <c r="AE17" s="10">
        <v>0</v>
      </c>
      <c r="AF17" s="10">
        <v>19.177594521067419</v>
      </c>
      <c r="AG17" s="10">
        <v>0</v>
      </c>
      <c r="AH17" s="10">
        <v>19.177594521067419</v>
      </c>
      <c r="AI17" s="10">
        <v>0</v>
      </c>
      <c r="AJ17" s="10">
        <v>0.98218099999999997</v>
      </c>
      <c r="AK17" s="10">
        <v>20.15977552106742</v>
      </c>
      <c r="AL17" s="10">
        <v>55.777940000000001</v>
      </c>
      <c r="AM17" s="10">
        <v>0</v>
      </c>
      <c r="AN17" s="10">
        <v>19.177594521067419</v>
      </c>
      <c r="AO17" s="10">
        <v>36.600345478932581</v>
      </c>
      <c r="AP17" s="10">
        <v>0</v>
      </c>
      <c r="AQ17" s="10">
        <v>0.98218099999999997</v>
      </c>
      <c r="AR17" s="10">
        <v>35.618164478932577</v>
      </c>
    </row>
  </sheetData>
  <mergeCells count="45">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32"/>
  <sheetViews>
    <sheetView workbookViewId="0"/>
  </sheetViews>
  <sheetFormatPr defaultRowHeight="15" x14ac:dyDescent="0.25"/>
  <cols>
    <col min="1" max="1" width="48.5703125" customWidth="1"/>
    <col min="2" max="2" width="24.140625" customWidth="1"/>
    <col min="3" max="3" width="16.140625" customWidth="1"/>
    <col min="4" max="4" width="21.7109375" customWidth="1"/>
    <col min="5" max="5" width="21.42578125" customWidth="1"/>
    <col min="6" max="6" width="20.5703125" customWidth="1"/>
    <col min="7" max="7" width="16.140625" customWidth="1"/>
    <col min="8" max="8" width="21.140625" customWidth="1"/>
    <col min="9" max="9" width="27.42578125" customWidth="1"/>
    <col min="10" max="17" width="21.140625" customWidth="1"/>
    <col min="18" max="22" width="16.140625" customWidth="1"/>
    <col min="23" max="25" width="21.140625" customWidth="1"/>
    <col min="26" max="26" width="16.140625" customWidth="1"/>
    <col min="27" max="27" width="22.42578125" customWidth="1"/>
    <col min="28" max="30" width="21.140625" customWidth="1"/>
    <col min="31" max="32" width="16.140625" customWidth="1"/>
    <col min="33" max="36" width="21.140625" customWidth="1"/>
    <col min="37" max="37" width="16.140625" customWidth="1"/>
    <col min="38" max="39" width="21.140625" customWidth="1"/>
    <col min="40" max="44" width="16.140625" customWidth="1"/>
    <col min="45" max="45" width="21.140625" customWidth="1"/>
    <col min="46" max="47" width="22" customWidth="1"/>
  </cols>
  <sheetData>
    <row r="1" spans="1:47" ht="39.950000000000003" customHeight="1" x14ac:dyDescent="0.25">
      <c r="A1" s="3"/>
      <c r="B1" s="3"/>
      <c r="C1" s="3"/>
      <c r="D1" s="3"/>
    </row>
    <row r="2" spans="1:47" ht="30" customHeight="1" x14ac:dyDescent="0.3">
      <c r="A2" s="4" t="s">
        <v>95</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row>
    <row r="3" spans="1:47" x14ac:dyDescent="0.25">
      <c r="A3" s="6" t="s">
        <v>0</v>
      </c>
    </row>
    <row r="4" spans="1:47" x14ac:dyDescent="0.25">
      <c r="A4" s="6" t="s">
        <v>1</v>
      </c>
    </row>
    <row r="5" spans="1:47" x14ac:dyDescent="0.25">
      <c r="A5" s="7"/>
    </row>
    <row r="6" spans="1:47" x14ac:dyDescent="0.25">
      <c r="A6" s="2" t="s">
        <v>3</v>
      </c>
      <c r="B6" s="2" t="s">
        <v>4</v>
      </c>
      <c r="C6" s="2" t="s">
        <v>5</v>
      </c>
      <c r="D6" s="2" t="s">
        <v>6</v>
      </c>
      <c r="E6" s="2" t="s">
        <v>67</v>
      </c>
      <c r="F6" s="1" t="s">
        <v>68</v>
      </c>
      <c r="G6" s="1" t="s">
        <v>69</v>
      </c>
      <c r="H6" s="1" t="s">
        <v>19</v>
      </c>
      <c r="I6" s="1" t="s">
        <v>20</v>
      </c>
      <c r="J6" s="1" t="s">
        <v>21</v>
      </c>
      <c r="K6" s="1" t="s">
        <v>22</v>
      </c>
      <c r="L6" s="1" t="s">
        <v>23</v>
      </c>
      <c r="M6" s="1" t="s">
        <v>24</v>
      </c>
      <c r="N6" s="1" t="s">
        <v>25</v>
      </c>
      <c r="O6" s="1" t="s">
        <v>26</v>
      </c>
      <c r="P6" s="1" t="s">
        <v>27</v>
      </c>
      <c r="Q6" s="1" t="s">
        <v>28</v>
      </c>
      <c r="R6" s="1" t="s">
        <v>29</v>
      </c>
      <c r="S6" s="1" t="s">
        <v>30</v>
      </c>
      <c r="T6" s="1" t="s">
        <v>31</v>
      </c>
      <c r="U6" s="1" t="s">
        <v>32</v>
      </c>
      <c r="V6" s="1" t="s">
        <v>33</v>
      </c>
      <c r="W6" s="1" t="s">
        <v>34</v>
      </c>
      <c r="X6" s="1" t="s">
        <v>35</v>
      </c>
      <c r="Y6" s="1" t="s">
        <v>36</v>
      </c>
      <c r="Z6" s="1" t="s">
        <v>37</v>
      </c>
      <c r="AA6" s="1" t="s">
        <v>38</v>
      </c>
      <c r="AB6" s="1" t="s">
        <v>39</v>
      </c>
      <c r="AC6" s="1" t="s">
        <v>70</v>
      </c>
      <c r="AD6" s="1" t="s">
        <v>71</v>
      </c>
      <c r="AE6" s="1" t="s">
        <v>72</v>
      </c>
      <c r="AF6" s="1" t="s">
        <v>73</v>
      </c>
      <c r="AG6" s="1" t="s">
        <v>74</v>
      </c>
      <c r="AH6" s="1" t="s">
        <v>39</v>
      </c>
      <c r="AI6" s="1" t="s">
        <v>75</v>
      </c>
      <c r="AJ6" s="1" t="s">
        <v>70</v>
      </c>
      <c r="AK6" s="1" t="s">
        <v>76</v>
      </c>
      <c r="AL6" s="1" t="s">
        <v>77</v>
      </c>
      <c r="AM6" s="1" t="s">
        <v>78</v>
      </c>
      <c r="AN6" s="1" t="s">
        <v>79</v>
      </c>
      <c r="AO6" s="1" t="s">
        <v>80</v>
      </c>
      <c r="AP6" s="1" t="s">
        <v>81</v>
      </c>
      <c r="AQ6" s="1" t="s">
        <v>82</v>
      </c>
      <c r="AR6" s="1" t="s">
        <v>83</v>
      </c>
      <c r="AS6" s="1" t="s">
        <v>84</v>
      </c>
      <c r="AT6" s="1" t="s">
        <v>41</v>
      </c>
      <c r="AU6" s="1" t="s">
        <v>42</v>
      </c>
    </row>
    <row r="7" spans="1:47" x14ac:dyDescent="0.25">
      <c r="A7" s="2"/>
      <c r="B7" s="2"/>
      <c r="C7" s="2"/>
      <c r="D7" s="2"/>
      <c r="E7" s="2"/>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row>
    <row r="8" spans="1:47" x14ac:dyDescent="0.25">
      <c r="A8" s="2"/>
      <c r="B8" s="2"/>
      <c r="C8" s="2"/>
      <c r="D8" s="2"/>
      <c r="E8" s="2"/>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row>
    <row r="9" spans="1:47" x14ac:dyDescent="0.25">
      <c r="A9" s="2"/>
      <c r="B9" s="2"/>
      <c r="C9" s="2"/>
      <c r="D9" s="2"/>
      <c r="E9" s="2"/>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row>
    <row r="10" spans="1:47" x14ac:dyDescent="0.25">
      <c r="A10" s="8">
        <v>46022</v>
      </c>
      <c r="B10" s="7" t="s">
        <v>43</v>
      </c>
      <c r="C10" s="7" t="s">
        <v>44</v>
      </c>
      <c r="D10" s="7" t="s">
        <v>45</v>
      </c>
      <c r="E10" s="7" t="s">
        <v>85</v>
      </c>
      <c r="F10" s="9">
        <v>8.1059999999999999</v>
      </c>
      <c r="G10" s="9">
        <v>0.95</v>
      </c>
      <c r="H10" s="10">
        <v>11.967998894423809</v>
      </c>
      <c r="I10" s="10">
        <v>6.9282810685999996</v>
      </c>
      <c r="J10" s="10">
        <v>10.910496768525819</v>
      </c>
      <c r="K10" s="10">
        <v>18.64361652642997</v>
      </c>
      <c r="L10" s="10">
        <v>48.450393257979613</v>
      </c>
      <c r="M10" s="10">
        <v>46.916612170898063</v>
      </c>
      <c r="N10" s="10">
        <v>8.2799975348631243</v>
      </c>
      <c r="O10" s="10">
        <v>3.2377796021784042</v>
      </c>
      <c r="P10" s="10">
        <v>102.1754319092785</v>
      </c>
      <c r="Q10" s="10">
        <v>160.6098212172181</v>
      </c>
      <c r="R10" s="10">
        <v>0</v>
      </c>
      <c r="S10" s="10">
        <v>0</v>
      </c>
      <c r="T10" s="10">
        <v>0</v>
      </c>
      <c r="U10" s="10">
        <v>0</v>
      </c>
      <c r="V10" s="10">
        <v>0</v>
      </c>
      <c r="W10" s="10">
        <v>209.06021447519771</v>
      </c>
      <c r="X10" s="10">
        <v>287.38044852499007</v>
      </c>
      <c r="Y10" s="10">
        <v>496.44066300018778</v>
      </c>
      <c r="Z10" s="10">
        <v>0</v>
      </c>
      <c r="AA10" s="10">
        <v>7.3080572408632962</v>
      </c>
      <c r="AB10" s="10">
        <v>503.7487202410511</v>
      </c>
      <c r="AC10" s="10">
        <v>0</v>
      </c>
      <c r="AD10" s="10">
        <v>220.17063900920189</v>
      </c>
      <c r="AE10" s="10">
        <v>0</v>
      </c>
      <c r="AF10" s="10">
        <v>0</v>
      </c>
      <c r="AG10" s="10">
        <v>723.91935925025302</v>
      </c>
      <c r="AH10" s="10">
        <v>503.7487202410511</v>
      </c>
      <c r="AI10" s="10">
        <v>75.046101521160807</v>
      </c>
      <c r="AJ10" s="10">
        <v>0</v>
      </c>
      <c r="AK10" s="10">
        <v>0</v>
      </c>
      <c r="AL10" s="10">
        <v>117.3199503648205</v>
      </c>
      <c r="AM10" s="10">
        <v>696.11477212703255</v>
      </c>
      <c r="AN10" s="10">
        <v>0</v>
      </c>
      <c r="AO10" s="10">
        <v>0</v>
      </c>
      <c r="AP10" s="10">
        <v>0</v>
      </c>
      <c r="AQ10" s="10">
        <v>0</v>
      </c>
      <c r="AR10" s="10">
        <v>0</v>
      </c>
      <c r="AS10" s="10">
        <v>696.11477212703255</v>
      </c>
      <c r="AT10" s="10">
        <v>391.80933699981222</v>
      </c>
      <c r="AU10" s="10">
        <v>384.5012797589489</v>
      </c>
    </row>
    <row r="11" spans="1:47" x14ac:dyDescent="0.25">
      <c r="A11" s="8">
        <v>46022</v>
      </c>
      <c r="B11" s="7" t="s">
        <v>43</v>
      </c>
      <c r="C11" s="7" t="s">
        <v>44</v>
      </c>
      <c r="D11" s="7" t="s">
        <v>45</v>
      </c>
      <c r="E11" s="7" t="s">
        <v>86</v>
      </c>
      <c r="F11" s="9">
        <v>49.793999999999997</v>
      </c>
      <c r="G11" s="9">
        <v>0.95</v>
      </c>
      <c r="H11" s="10">
        <v>11.967998894423809</v>
      </c>
      <c r="I11" s="10">
        <v>6.9282810685999996</v>
      </c>
      <c r="J11" s="10">
        <v>10.910496768525819</v>
      </c>
      <c r="K11" s="10">
        <v>18.64361652642997</v>
      </c>
      <c r="L11" s="10">
        <v>48.450393257979613</v>
      </c>
      <c r="M11" s="10">
        <v>46.916612170898063</v>
      </c>
      <c r="N11" s="10">
        <v>8.2799975348631243</v>
      </c>
      <c r="O11" s="10">
        <v>3.2377796021784042</v>
      </c>
      <c r="P11" s="10">
        <v>102.1754319092785</v>
      </c>
      <c r="Q11" s="10">
        <v>160.6098212172181</v>
      </c>
      <c r="R11" s="10">
        <v>0</v>
      </c>
      <c r="S11" s="10">
        <v>0</v>
      </c>
      <c r="T11" s="10">
        <v>0</v>
      </c>
      <c r="U11" s="10">
        <v>0</v>
      </c>
      <c r="V11" s="10">
        <v>0</v>
      </c>
      <c r="W11" s="10">
        <v>209.06021447519771</v>
      </c>
      <c r="X11" s="10">
        <v>287.38044852499007</v>
      </c>
      <c r="Y11" s="10">
        <v>496.44066300018778</v>
      </c>
      <c r="Z11" s="10">
        <v>0</v>
      </c>
      <c r="AA11" s="10">
        <v>6.4556708587406959</v>
      </c>
      <c r="AB11" s="10">
        <v>502.89633385892847</v>
      </c>
      <c r="AC11" s="10">
        <v>0</v>
      </c>
      <c r="AD11" s="10">
        <v>220.17063900920189</v>
      </c>
      <c r="AE11" s="10">
        <v>0</v>
      </c>
      <c r="AF11" s="10">
        <v>0</v>
      </c>
      <c r="AG11" s="10">
        <v>723.06697286813039</v>
      </c>
      <c r="AH11" s="10">
        <v>502.89633385892847</v>
      </c>
      <c r="AI11" s="10">
        <v>75.046101521160807</v>
      </c>
      <c r="AJ11" s="10">
        <v>0</v>
      </c>
      <c r="AK11" s="10">
        <v>0</v>
      </c>
      <c r="AL11" s="10">
        <v>117.3199503648205</v>
      </c>
      <c r="AM11" s="10">
        <v>695.26238574490992</v>
      </c>
      <c r="AN11" s="10">
        <v>0</v>
      </c>
      <c r="AO11" s="10">
        <v>0</v>
      </c>
      <c r="AP11" s="10">
        <v>0</v>
      </c>
      <c r="AQ11" s="10">
        <v>0</v>
      </c>
      <c r="AR11" s="10">
        <v>0</v>
      </c>
      <c r="AS11" s="10">
        <v>695.26238574490992</v>
      </c>
      <c r="AT11" s="10">
        <v>-107.8906630001878</v>
      </c>
      <c r="AU11" s="10">
        <v>-114.3463338589285</v>
      </c>
    </row>
    <row r="12" spans="1:47" x14ac:dyDescent="0.25">
      <c r="A12" s="8">
        <v>46022</v>
      </c>
      <c r="B12" s="7" t="s">
        <v>46</v>
      </c>
      <c r="C12" s="7" t="s">
        <v>47</v>
      </c>
      <c r="D12" s="7" t="s">
        <v>48</v>
      </c>
      <c r="E12" s="7" t="s">
        <v>87</v>
      </c>
      <c r="F12" s="9">
        <v>51.00215</v>
      </c>
      <c r="G12" s="9">
        <v>0.93</v>
      </c>
      <c r="H12" s="10">
        <v>16.967539624648879</v>
      </c>
      <c r="I12" s="10">
        <v>13.841543</v>
      </c>
      <c r="J12" s="10">
        <v>4.2952569096910107</v>
      </c>
      <c r="K12" s="10">
        <v>36.575065955126412</v>
      </c>
      <c r="L12" s="10">
        <v>71.679405489466305</v>
      </c>
      <c r="M12" s="10">
        <v>25.030989506179768</v>
      </c>
      <c r="N12" s="10">
        <v>12.67671678061798</v>
      </c>
      <c r="O12" s="10">
        <v>50.553571424719102</v>
      </c>
      <c r="P12" s="10">
        <v>67.363911174297755</v>
      </c>
      <c r="Q12" s="10">
        <v>155.62518888581459</v>
      </c>
      <c r="R12" s="10">
        <v>0</v>
      </c>
      <c r="S12" s="10">
        <v>0</v>
      </c>
      <c r="T12" s="10">
        <v>0</v>
      </c>
      <c r="U12" s="10">
        <v>0</v>
      </c>
      <c r="V12" s="10">
        <v>0</v>
      </c>
      <c r="W12" s="10">
        <v>227.30459437528091</v>
      </c>
      <c r="X12" s="10">
        <v>0</v>
      </c>
      <c r="Y12" s="10">
        <v>227.30459437528091</v>
      </c>
      <c r="Z12" s="10">
        <v>0</v>
      </c>
      <c r="AA12" s="10">
        <v>5.9818537666914038</v>
      </c>
      <c r="AB12" s="10">
        <v>233.2864481419723</v>
      </c>
      <c r="AC12" s="10">
        <v>0</v>
      </c>
      <c r="AD12" s="10">
        <v>25.843656262219099</v>
      </c>
      <c r="AE12" s="10">
        <v>0</v>
      </c>
      <c r="AF12" s="10">
        <v>0</v>
      </c>
      <c r="AG12" s="10">
        <v>259.1301044041914</v>
      </c>
      <c r="AH12" s="10">
        <v>233.2864481419723</v>
      </c>
      <c r="AI12" s="10">
        <v>68.610099579283698</v>
      </c>
      <c r="AJ12" s="10">
        <v>0</v>
      </c>
      <c r="AK12" s="10">
        <v>0</v>
      </c>
      <c r="AL12" s="10">
        <v>9.8014426542134832</v>
      </c>
      <c r="AM12" s="10">
        <v>311.69799037546949</v>
      </c>
      <c r="AN12" s="10">
        <v>0</v>
      </c>
      <c r="AO12" s="10">
        <v>0</v>
      </c>
      <c r="AP12" s="10">
        <v>0</v>
      </c>
      <c r="AQ12" s="10">
        <v>0</v>
      </c>
      <c r="AR12" s="10">
        <v>0</v>
      </c>
      <c r="AS12" s="10">
        <v>311.69799037546949</v>
      </c>
      <c r="AT12" s="10">
        <v>181.8954099382627</v>
      </c>
      <c r="AU12" s="10">
        <v>175.91355617157129</v>
      </c>
    </row>
    <row r="13" spans="1:47" x14ac:dyDescent="0.25">
      <c r="A13" s="8">
        <v>46022</v>
      </c>
      <c r="B13" s="7" t="s">
        <v>52</v>
      </c>
      <c r="C13" s="7" t="s">
        <v>53</v>
      </c>
      <c r="D13" s="7" t="s">
        <v>54</v>
      </c>
      <c r="E13" s="7" t="s">
        <v>85</v>
      </c>
      <c r="F13" s="9">
        <v>0.10377</v>
      </c>
      <c r="G13" s="9">
        <v>0.92</v>
      </c>
      <c r="H13" s="10">
        <v>411.86461196507668</v>
      </c>
      <c r="I13" s="10">
        <v>22.376449999999998</v>
      </c>
      <c r="J13" s="10">
        <v>119.4972326031797</v>
      </c>
      <c r="K13" s="10">
        <v>157.54582800889219</v>
      </c>
      <c r="L13" s="10">
        <v>711.28412257714865</v>
      </c>
      <c r="M13" s="10">
        <v>202.61485260763081</v>
      </c>
      <c r="N13" s="10">
        <v>1.6443660093056001</v>
      </c>
      <c r="O13" s="10">
        <v>9.131131780150632</v>
      </c>
      <c r="P13" s="10">
        <v>89.298074015401284</v>
      </c>
      <c r="Q13" s="10">
        <v>302.6884244124883</v>
      </c>
      <c r="R13" s="10">
        <v>0</v>
      </c>
      <c r="S13" s="10">
        <v>0</v>
      </c>
      <c r="T13" s="10">
        <v>0</v>
      </c>
      <c r="U13" s="10">
        <v>0</v>
      </c>
      <c r="V13" s="10">
        <v>0</v>
      </c>
      <c r="W13" s="10">
        <v>1013.972546989637</v>
      </c>
      <c r="X13" s="10">
        <v>15.057200061966331</v>
      </c>
      <c r="Y13" s="10">
        <v>1029.029747051603</v>
      </c>
      <c r="Z13" s="10">
        <v>0</v>
      </c>
      <c r="AA13" s="10">
        <v>0.48827669330416917</v>
      </c>
      <c r="AB13" s="10">
        <v>1029.5180237449069</v>
      </c>
      <c r="AC13" s="10">
        <v>0</v>
      </c>
      <c r="AD13" s="10">
        <v>50.549922891720023</v>
      </c>
      <c r="AE13" s="10">
        <v>0</v>
      </c>
      <c r="AF13" s="10">
        <v>0</v>
      </c>
      <c r="AG13" s="10">
        <v>1080.0679466366271</v>
      </c>
      <c r="AH13" s="10">
        <v>1029.5180237449069</v>
      </c>
      <c r="AI13" s="10">
        <v>42.285835464354818</v>
      </c>
      <c r="AJ13" s="10">
        <v>0</v>
      </c>
      <c r="AK13" s="10">
        <v>0</v>
      </c>
      <c r="AL13" s="10">
        <v>50.549922891720023</v>
      </c>
      <c r="AM13" s="10">
        <v>1122.353782100982</v>
      </c>
      <c r="AN13" s="10">
        <v>0</v>
      </c>
      <c r="AO13" s="10">
        <v>0</v>
      </c>
      <c r="AP13" s="10">
        <v>0</v>
      </c>
      <c r="AQ13" s="10">
        <v>0</v>
      </c>
      <c r="AR13" s="10">
        <v>0</v>
      </c>
      <c r="AS13" s="10">
        <v>1122.353782100982</v>
      </c>
      <c r="AT13" s="10">
        <v>-168.8333511761094</v>
      </c>
      <c r="AU13" s="10">
        <v>-169.32162786941359</v>
      </c>
    </row>
    <row r="14" spans="1:47" x14ac:dyDescent="0.25">
      <c r="A14" s="8">
        <v>46022</v>
      </c>
      <c r="B14" s="7" t="s">
        <v>52</v>
      </c>
      <c r="C14" s="7" t="s">
        <v>53</v>
      </c>
      <c r="D14" s="7" t="s">
        <v>54</v>
      </c>
      <c r="E14" s="7" t="s">
        <v>88</v>
      </c>
      <c r="F14" s="9">
        <v>0.41508</v>
      </c>
      <c r="G14" s="9">
        <v>0.92</v>
      </c>
      <c r="H14" s="10">
        <v>411.86461196507668</v>
      </c>
      <c r="I14" s="10">
        <v>22.376449999999998</v>
      </c>
      <c r="J14" s="10">
        <v>119.4972326031797</v>
      </c>
      <c r="K14" s="10">
        <v>157.54582800889219</v>
      </c>
      <c r="L14" s="10">
        <v>711.28412257714865</v>
      </c>
      <c r="M14" s="10">
        <v>202.61485260763081</v>
      </c>
      <c r="N14" s="10">
        <v>1.6443660093056001</v>
      </c>
      <c r="O14" s="10">
        <v>9.131131780150632</v>
      </c>
      <c r="P14" s="10">
        <v>89.298074015401284</v>
      </c>
      <c r="Q14" s="10">
        <v>302.6884244124883</v>
      </c>
      <c r="R14" s="10">
        <v>0</v>
      </c>
      <c r="S14" s="10">
        <v>0</v>
      </c>
      <c r="T14" s="10">
        <v>0</v>
      </c>
      <c r="U14" s="10">
        <v>0</v>
      </c>
      <c r="V14" s="10">
        <v>0</v>
      </c>
      <c r="W14" s="10">
        <v>1013.972546989637</v>
      </c>
      <c r="X14" s="10">
        <v>15.057200061966331</v>
      </c>
      <c r="Y14" s="10">
        <v>1029.029747051603</v>
      </c>
      <c r="Z14" s="10">
        <v>0</v>
      </c>
      <c r="AA14" s="10">
        <v>0.3906213529107343</v>
      </c>
      <c r="AB14" s="10">
        <v>1029.420368404514</v>
      </c>
      <c r="AC14" s="10">
        <v>0</v>
      </c>
      <c r="AD14" s="10">
        <v>50.549922891720023</v>
      </c>
      <c r="AE14" s="10">
        <v>0</v>
      </c>
      <c r="AF14" s="10">
        <v>0</v>
      </c>
      <c r="AG14" s="10">
        <v>1079.9702912962341</v>
      </c>
      <c r="AH14" s="10">
        <v>1029.420368404514</v>
      </c>
      <c r="AI14" s="10">
        <v>42.285835464354818</v>
      </c>
      <c r="AJ14" s="10">
        <v>0</v>
      </c>
      <c r="AK14" s="10">
        <v>0</v>
      </c>
      <c r="AL14" s="10">
        <v>50.549922891720023</v>
      </c>
      <c r="AM14" s="10">
        <v>1122.256126760589</v>
      </c>
      <c r="AN14" s="10">
        <v>0</v>
      </c>
      <c r="AO14" s="10">
        <v>0</v>
      </c>
      <c r="AP14" s="10">
        <v>0</v>
      </c>
      <c r="AQ14" s="10">
        <v>0</v>
      </c>
      <c r="AR14" s="10">
        <v>0</v>
      </c>
      <c r="AS14" s="10">
        <v>1122.256126760589</v>
      </c>
      <c r="AT14" s="10">
        <v>-478.87205214941571</v>
      </c>
      <c r="AU14" s="10">
        <v>-479.26267350232649</v>
      </c>
    </row>
    <row r="15" spans="1:47" x14ac:dyDescent="0.25">
      <c r="A15" s="8">
        <v>46022</v>
      </c>
      <c r="B15" s="7" t="s">
        <v>55</v>
      </c>
      <c r="C15" s="7" t="s">
        <v>56</v>
      </c>
      <c r="D15" s="7" t="s">
        <v>57</v>
      </c>
      <c r="E15" s="7" t="s">
        <v>85</v>
      </c>
      <c r="F15" s="9">
        <v>1.7203999999999999</v>
      </c>
      <c r="G15" s="9">
        <v>0.81200000000000006</v>
      </c>
      <c r="H15" s="10">
        <v>207.37044</v>
      </c>
      <c r="I15" s="10">
        <v>168.98089300000001</v>
      </c>
      <c r="J15" s="10">
        <v>9.0398899999999998</v>
      </c>
      <c r="K15" s="10">
        <v>224.779549</v>
      </c>
      <c r="L15" s="10">
        <v>610.17077200000006</v>
      </c>
      <c r="M15" s="10">
        <v>239.677155</v>
      </c>
      <c r="N15" s="10">
        <v>50.554082000000008</v>
      </c>
      <c r="O15" s="10">
        <v>19.358142999999998</v>
      </c>
      <c r="P15" s="10">
        <v>138.380335</v>
      </c>
      <c r="Q15" s="10">
        <v>447.96971500000001</v>
      </c>
      <c r="R15" s="10">
        <v>0</v>
      </c>
      <c r="S15" s="10">
        <v>0</v>
      </c>
      <c r="T15" s="10">
        <v>0</v>
      </c>
      <c r="U15" s="10">
        <v>0</v>
      </c>
      <c r="V15" s="10">
        <v>0</v>
      </c>
      <c r="W15" s="10">
        <v>1058.1404869999999</v>
      </c>
      <c r="X15" s="10">
        <v>49.162410000000008</v>
      </c>
      <c r="Y15" s="10">
        <v>1107.302897</v>
      </c>
      <c r="Z15" s="10">
        <v>0</v>
      </c>
      <c r="AA15" s="10">
        <v>1.7468947229774829</v>
      </c>
      <c r="AB15" s="10">
        <v>1109.0497917229779</v>
      </c>
      <c r="AC15" s="10">
        <v>0</v>
      </c>
      <c r="AD15" s="10">
        <v>530.11955999999998</v>
      </c>
      <c r="AE15" s="10">
        <v>0</v>
      </c>
      <c r="AF15" s="10">
        <v>0</v>
      </c>
      <c r="AG15" s="10">
        <v>1639.169351722978</v>
      </c>
      <c r="AH15" s="10">
        <v>1109.0497917229779</v>
      </c>
      <c r="AI15" s="10">
        <v>723.36180000000013</v>
      </c>
      <c r="AJ15" s="10">
        <v>0</v>
      </c>
      <c r="AK15" s="10">
        <v>0</v>
      </c>
      <c r="AL15" s="10">
        <v>515.33576000000005</v>
      </c>
      <c r="AM15" s="10">
        <v>2347.7473517229778</v>
      </c>
      <c r="AN15" s="10">
        <v>0</v>
      </c>
      <c r="AO15" s="10">
        <v>0</v>
      </c>
      <c r="AP15" s="10">
        <v>0</v>
      </c>
      <c r="AQ15" s="10">
        <v>0</v>
      </c>
      <c r="AR15" s="10">
        <v>0</v>
      </c>
      <c r="AS15" s="10">
        <v>2347.7473517229778</v>
      </c>
      <c r="AT15" s="10">
        <v>-348.46702743478272</v>
      </c>
      <c r="AU15" s="10">
        <v>-350.21392215776012</v>
      </c>
    </row>
    <row r="16" spans="1:47" x14ac:dyDescent="0.25">
      <c r="A16" s="8">
        <v>46022</v>
      </c>
      <c r="B16" s="7" t="s">
        <v>55</v>
      </c>
      <c r="C16" s="7" t="s">
        <v>56</v>
      </c>
      <c r="D16" s="7" t="s">
        <v>57</v>
      </c>
      <c r="E16" s="7" t="s">
        <v>88</v>
      </c>
      <c r="F16" s="9">
        <v>1.8768</v>
      </c>
      <c r="G16" s="9">
        <v>0.81200000000000006</v>
      </c>
      <c r="H16" s="10">
        <v>207.37044</v>
      </c>
      <c r="I16" s="10">
        <v>168.98089300000001</v>
      </c>
      <c r="J16" s="10">
        <v>9.0398899999999998</v>
      </c>
      <c r="K16" s="10">
        <v>224.779549</v>
      </c>
      <c r="L16" s="10">
        <v>610.17077200000006</v>
      </c>
      <c r="M16" s="10">
        <v>239.677155</v>
      </c>
      <c r="N16" s="10">
        <v>50.554082000000008</v>
      </c>
      <c r="O16" s="10">
        <v>19.358142999999998</v>
      </c>
      <c r="P16" s="10">
        <v>138.380335</v>
      </c>
      <c r="Q16" s="10">
        <v>447.96971500000001</v>
      </c>
      <c r="R16" s="10">
        <v>0</v>
      </c>
      <c r="S16" s="10">
        <v>0</v>
      </c>
      <c r="T16" s="10">
        <v>0</v>
      </c>
      <c r="U16" s="10">
        <v>0</v>
      </c>
      <c r="V16" s="10">
        <v>0</v>
      </c>
      <c r="W16" s="10">
        <v>1058.1404869999999</v>
      </c>
      <c r="X16" s="10">
        <v>49.162410000000008</v>
      </c>
      <c r="Y16" s="10">
        <v>1107.302897</v>
      </c>
      <c r="Z16" s="10">
        <v>0</v>
      </c>
      <c r="AA16" s="10">
        <v>1.397515778381986</v>
      </c>
      <c r="AB16" s="10">
        <v>1108.7004127783821</v>
      </c>
      <c r="AC16" s="10">
        <v>0</v>
      </c>
      <c r="AD16" s="10">
        <v>530.11955999999998</v>
      </c>
      <c r="AE16" s="10">
        <v>0</v>
      </c>
      <c r="AF16" s="10">
        <v>0</v>
      </c>
      <c r="AG16" s="10">
        <v>1638.819972778382</v>
      </c>
      <c r="AH16" s="10">
        <v>1108.7004127783821</v>
      </c>
      <c r="AI16" s="10">
        <v>723.36180000000013</v>
      </c>
      <c r="AJ16" s="10">
        <v>0</v>
      </c>
      <c r="AK16" s="10">
        <v>0</v>
      </c>
      <c r="AL16" s="10">
        <v>515.33576000000005</v>
      </c>
      <c r="AM16" s="10">
        <v>2347.3979727783822</v>
      </c>
      <c r="AN16" s="10">
        <v>0</v>
      </c>
      <c r="AO16" s="10">
        <v>0</v>
      </c>
      <c r="AP16" s="10">
        <v>0</v>
      </c>
      <c r="AQ16" s="10">
        <v>0</v>
      </c>
      <c r="AR16" s="10">
        <v>0</v>
      </c>
      <c r="AS16" s="10">
        <v>2347.3979727783822</v>
      </c>
      <c r="AT16" s="10">
        <v>-621.97274994117663</v>
      </c>
      <c r="AU16" s="10">
        <v>-623.37026571955857</v>
      </c>
    </row>
    <row r="17" spans="1:47" x14ac:dyDescent="0.25">
      <c r="A17" s="8">
        <v>46022</v>
      </c>
      <c r="B17" s="7" t="s">
        <v>55</v>
      </c>
      <c r="C17" s="7" t="s">
        <v>56</v>
      </c>
      <c r="D17" s="7" t="s">
        <v>57</v>
      </c>
      <c r="E17" s="7" t="s">
        <v>87</v>
      </c>
      <c r="F17" s="9">
        <v>1.4076</v>
      </c>
      <c r="G17" s="9">
        <v>0.81200000000000006</v>
      </c>
      <c r="H17" s="10">
        <v>207.37044</v>
      </c>
      <c r="I17" s="10">
        <v>168.98089300000001</v>
      </c>
      <c r="J17" s="10">
        <v>9.0398899999999998</v>
      </c>
      <c r="K17" s="10">
        <v>224.779549</v>
      </c>
      <c r="L17" s="10">
        <v>610.17077200000006</v>
      </c>
      <c r="M17" s="10">
        <v>239.677155</v>
      </c>
      <c r="N17" s="10">
        <v>50.554082000000008</v>
      </c>
      <c r="O17" s="10">
        <v>19.358142999999998</v>
      </c>
      <c r="P17" s="10">
        <v>138.380335</v>
      </c>
      <c r="Q17" s="10">
        <v>447.96971500000001</v>
      </c>
      <c r="R17" s="10">
        <v>0</v>
      </c>
      <c r="S17" s="10">
        <v>0</v>
      </c>
      <c r="T17" s="10">
        <v>0</v>
      </c>
      <c r="U17" s="10">
        <v>0</v>
      </c>
      <c r="V17" s="10">
        <v>0</v>
      </c>
      <c r="W17" s="10">
        <v>1058.1404869999999</v>
      </c>
      <c r="X17" s="10">
        <v>49.162410000000008</v>
      </c>
      <c r="Y17" s="10">
        <v>1107.302897</v>
      </c>
      <c r="Z17" s="10">
        <v>0</v>
      </c>
      <c r="AA17" s="10">
        <v>1.19787066718456</v>
      </c>
      <c r="AB17" s="10">
        <v>1108.5007676671851</v>
      </c>
      <c r="AC17" s="10">
        <v>0</v>
      </c>
      <c r="AD17" s="10">
        <v>530.11955999999998</v>
      </c>
      <c r="AE17" s="10">
        <v>0</v>
      </c>
      <c r="AF17" s="10">
        <v>0</v>
      </c>
      <c r="AG17" s="10">
        <v>1638.6203276671849</v>
      </c>
      <c r="AH17" s="10">
        <v>1108.5007676671851</v>
      </c>
      <c r="AI17" s="10">
        <v>723.36180000000013</v>
      </c>
      <c r="AJ17" s="10">
        <v>0</v>
      </c>
      <c r="AK17" s="10">
        <v>0</v>
      </c>
      <c r="AL17" s="10">
        <v>515.33576000000005</v>
      </c>
      <c r="AM17" s="10">
        <v>2347.1983276671849</v>
      </c>
      <c r="AN17" s="10">
        <v>0</v>
      </c>
      <c r="AO17" s="10">
        <v>0</v>
      </c>
      <c r="AP17" s="10">
        <v>0</v>
      </c>
      <c r="AQ17" s="10">
        <v>0</v>
      </c>
      <c r="AR17" s="10">
        <v>0</v>
      </c>
      <c r="AS17" s="10">
        <v>2347.1983276671849</v>
      </c>
      <c r="AT17" s="10">
        <v>-750.20363584626318</v>
      </c>
      <c r="AU17" s="10">
        <v>-751.40150651344777</v>
      </c>
    </row>
    <row r="18" spans="1:47" x14ac:dyDescent="0.25">
      <c r="A18" s="8">
        <v>46022</v>
      </c>
      <c r="B18" s="7" t="s">
        <v>55</v>
      </c>
      <c r="C18" s="7" t="s">
        <v>56</v>
      </c>
      <c r="D18" s="7" t="s">
        <v>57</v>
      </c>
      <c r="E18" s="7" t="s">
        <v>86</v>
      </c>
      <c r="F18" s="9">
        <v>2.8151999999999999</v>
      </c>
      <c r="G18" s="9">
        <v>0.81200000000000006</v>
      </c>
      <c r="H18" s="10">
        <v>207.37044</v>
      </c>
      <c r="I18" s="10">
        <v>168.98089300000001</v>
      </c>
      <c r="J18" s="10">
        <v>9.0398899999999998</v>
      </c>
      <c r="K18" s="10">
        <v>224.779549</v>
      </c>
      <c r="L18" s="10">
        <v>610.17077200000006</v>
      </c>
      <c r="M18" s="10">
        <v>239.677155</v>
      </c>
      <c r="N18" s="10">
        <v>50.554082000000008</v>
      </c>
      <c r="O18" s="10">
        <v>19.358142999999998</v>
      </c>
      <c r="P18" s="10">
        <v>138.380335</v>
      </c>
      <c r="Q18" s="10">
        <v>447.96971500000001</v>
      </c>
      <c r="R18" s="10">
        <v>0</v>
      </c>
      <c r="S18" s="10">
        <v>0</v>
      </c>
      <c r="T18" s="10">
        <v>0</v>
      </c>
      <c r="U18" s="10">
        <v>0</v>
      </c>
      <c r="V18" s="10">
        <v>0</v>
      </c>
      <c r="W18" s="10">
        <v>1058.1404869999999</v>
      </c>
      <c r="X18" s="10">
        <v>49.162410000000008</v>
      </c>
      <c r="Y18" s="10">
        <v>1107.302897</v>
      </c>
      <c r="Z18" s="10">
        <v>0</v>
      </c>
      <c r="AA18" s="10">
        <v>0.4991127779935664</v>
      </c>
      <c r="AB18" s="10">
        <v>1107.802009777994</v>
      </c>
      <c r="AC18" s="10">
        <v>0</v>
      </c>
      <c r="AD18" s="10">
        <v>530.11955999999998</v>
      </c>
      <c r="AE18" s="10">
        <v>0</v>
      </c>
      <c r="AF18" s="10">
        <v>0</v>
      </c>
      <c r="AG18" s="10">
        <v>1637.9215697779939</v>
      </c>
      <c r="AH18" s="10">
        <v>1107.802009777994</v>
      </c>
      <c r="AI18" s="10">
        <v>723.36180000000013</v>
      </c>
      <c r="AJ18" s="10">
        <v>0</v>
      </c>
      <c r="AK18" s="10">
        <v>0</v>
      </c>
      <c r="AL18" s="10">
        <v>515.33576000000005</v>
      </c>
      <c r="AM18" s="10">
        <v>2346.4995697779941</v>
      </c>
      <c r="AN18" s="10">
        <v>0</v>
      </c>
      <c r="AO18" s="10">
        <v>0</v>
      </c>
      <c r="AP18" s="10">
        <v>0</v>
      </c>
      <c r="AQ18" s="10">
        <v>0</v>
      </c>
      <c r="AR18" s="10">
        <v>0</v>
      </c>
      <c r="AS18" s="10">
        <v>2346.4995697779941</v>
      </c>
      <c r="AT18" s="10">
        <v>-775.36304725575462</v>
      </c>
      <c r="AU18" s="10">
        <v>-775.86216003374807</v>
      </c>
    </row>
    <row r="19" spans="1:47" x14ac:dyDescent="0.25">
      <c r="A19" s="8">
        <v>46022</v>
      </c>
      <c r="B19" s="7" t="s">
        <v>89</v>
      </c>
      <c r="C19" s="7" t="s">
        <v>90</v>
      </c>
      <c r="D19" s="7" t="s">
        <v>91</v>
      </c>
      <c r="E19" s="7" t="s">
        <v>92</v>
      </c>
      <c r="F19" s="9">
        <v>6.87134</v>
      </c>
      <c r="G19" s="9">
        <v>0.91</v>
      </c>
      <c r="H19" s="10">
        <v>68.282958409783063</v>
      </c>
      <c r="I19" s="10">
        <v>56.286554993919999</v>
      </c>
      <c r="J19" s="10">
        <v>0.29345399999999999</v>
      </c>
      <c r="K19" s="10">
        <v>82.441376943049605</v>
      </c>
      <c r="L19" s="10">
        <v>207.30434434675271</v>
      </c>
      <c r="M19" s="10">
        <v>144.7933339026838</v>
      </c>
      <c r="N19" s="10">
        <v>58.267044360042753</v>
      </c>
      <c r="O19" s="10">
        <v>13.893298205565859</v>
      </c>
      <c r="P19" s="10">
        <v>137.8434558364215</v>
      </c>
      <c r="Q19" s="10">
        <v>354.7971323047139</v>
      </c>
      <c r="R19" s="10">
        <v>0</v>
      </c>
      <c r="S19" s="10">
        <v>0</v>
      </c>
      <c r="T19" s="10">
        <v>0</v>
      </c>
      <c r="U19" s="10">
        <v>0</v>
      </c>
      <c r="V19" s="10">
        <v>0</v>
      </c>
      <c r="W19" s="10">
        <v>562.10147665146656</v>
      </c>
      <c r="X19" s="10">
        <v>0</v>
      </c>
      <c r="Y19" s="10">
        <v>562.10147665146656</v>
      </c>
      <c r="Z19" s="10">
        <v>0</v>
      </c>
      <c r="AA19" s="10">
        <v>4.4580850323659513</v>
      </c>
      <c r="AB19" s="10">
        <v>566.5595616838325</v>
      </c>
      <c r="AC19" s="10">
        <v>0</v>
      </c>
      <c r="AD19" s="10">
        <v>232.41896324126159</v>
      </c>
      <c r="AE19" s="10">
        <v>0</v>
      </c>
      <c r="AF19" s="10">
        <v>0</v>
      </c>
      <c r="AG19" s="10">
        <v>798.97852492509412</v>
      </c>
      <c r="AH19" s="10">
        <v>566.5595616838325</v>
      </c>
      <c r="AI19" s="10">
        <v>22.298386055139719</v>
      </c>
      <c r="AJ19" s="10">
        <v>0</v>
      </c>
      <c r="AK19" s="10">
        <v>0</v>
      </c>
      <c r="AL19" s="10">
        <v>224.55158133554491</v>
      </c>
      <c r="AM19" s="10">
        <v>813.40952907451708</v>
      </c>
      <c r="AN19" s="10">
        <v>0</v>
      </c>
      <c r="AO19" s="10">
        <v>0</v>
      </c>
      <c r="AP19" s="10">
        <v>0</v>
      </c>
      <c r="AQ19" s="10">
        <v>0</v>
      </c>
      <c r="AR19" s="10">
        <v>0</v>
      </c>
      <c r="AS19" s="10">
        <v>813.40952907451708</v>
      </c>
      <c r="AT19" s="10">
        <v>480.75778951786862</v>
      </c>
      <c r="AU19" s="10">
        <v>476.29970448550267</v>
      </c>
    </row>
    <row r="20" spans="1:47" x14ac:dyDescent="0.25">
      <c r="A20" s="8">
        <v>46022</v>
      </c>
      <c r="B20" s="7" t="s">
        <v>89</v>
      </c>
      <c r="C20" s="7" t="s">
        <v>90</v>
      </c>
      <c r="D20" s="7" t="s">
        <v>91</v>
      </c>
      <c r="E20" s="7" t="s">
        <v>85</v>
      </c>
      <c r="F20" s="9">
        <v>11.244</v>
      </c>
      <c r="G20" s="9">
        <v>0.91</v>
      </c>
      <c r="H20" s="10">
        <v>68.282958409783063</v>
      </c>
      <c r="I20" s="10">
        <v>56.286554993919999</v>
      </c>
      <c r="J20" s="10">
        <v>0.29345399999999999</v>
      </c>
      <c r="K20" s="10">
        <v>82.441376943049605</v>
      </c>
      <c r="L20" s="10">
        <v>207.30434434675271</v>
      </c>
      <c r="M20" s="10">
        <v>144.7933339026838</v>
      </c>
      <c r="N20" s="10">
        <v>58.267044360042753</v>
      </c>
      <c r="O20" s="10">
        <v>13.893298205565859</v>
      </c>
      <c r="P20" s="10">
        <v>137.8434558364215</v>
      </c>
      <c r="Q20" s="10">
        <v>354.7971323047139</v>
      </c>
      <c r="R20" s="10">
        <v>0</v>
      </c>
      <c r="S20" s="10">
        <v>0</v>
      </c>
      <c r="T20" s="10">
        <v>0</v>
      </c>
      <c r="U20" s="10">
        <v>0</v>
      </c>
      <c r="V20" s="10">
        <v>0</v>
      </c>
      <c r="W20" s="10">
        <v>562.10147665146656</v>
      </c>
      <c r="X20" s="10">
        <v>0</v>
      </c>
      <c r="Y20" s="10">
        <v>562.10147665146656</v>
      </c>
      <c r="Z20" s="10">
        <v>0</v>
      </c>
      <c r="AA20" s="10">
        <v>2.9761156525506212</v>
      </c>
      <c r="AB20" s="10">
        <v>565.07759230401723</v>
      </c>
      <c r="AC20" s="10">
        <v>0</v>
      </c>
      <c r="AD20" s="10">
        <v>232.41896324126159</v>
      </c>
      <c r="AE20" s="10">
        <v>0</v>
      </c>
      <c r="AF20" s="10">
        <v>0</v>
      </c>
      <c r="AG20" s="10">
        <v>797.49655554527885</v>
      </c>
      <c r="AH20" s="10">
        <v>565.07759230401723</v>
      </c>
      <c r="AI20" s="10">
        <v>22.298386055139719</v>
      </c>
      <c r="AJ20" s="10">
        <v>0</v>
      </c>
      <c r="AK20" s="10">
        <v>0</v>
      </c>
      <c r="AL20" s="10">
        <v>224.55158133554491</v>
      </c>
      <c r="AM20" s="10">
        <v>811.92755969470181</v>
      </c>
      <c r="AN20" s="10">
        <v>0</v>
      </c>
      <c r="AO20" s="10">
        <v>0</v>
      </c>
      <c r="AP20" s="10">
        <v>0</v>
      </c>
      <c r="AQ20" s="10">
        <v>0</v>
      </c>
      <c r="AR20" s="10">
        <v>0</v>
      </c>
      <c r="AS20" s="10">
        <v>811.92755969470181</v>
      </c>
      <c r="AT20" s="10">
        <v>288.74877281491553</v>
      </c>
      <c r="AU20" s="10">
        <v>285.77265716236491</v>
      </c>
    </row>
    <row r="21" spans="1:47" x14ac:dyDescent="0.25">
      <c r="A21" s="8">
        <v>46022</v>
      </c>
      <c r="B21" s="7" t="s">
        <v>89</v>
      </c>
      <c r="C21" s="7" t="s">
        <v>90</v>
      </c>
      <c r="D21" s="7" t="s">
        <v>91</v>
      </c>
      <c r="E21" s="7" t="s">
        <v>87</v>
      </c>
      <c r="F21" s="9">
        <v>11.244</v>
      </c>
      <c r="G21" s="9">
        <v>0.91</v>
      </c>
      <c r="H21" s="10">
        <v>68.282958409783063</v>
      </c>
      <c r="I21" s="10">
        <v>56.286554993919999</v>
      </c>
      <c r="J21" s="10">
        <v>0.29345399999999999</v>
      </c>
      <c r="K21" s="10">
        <v>82.441376943049605</v>
      </c>
      <c r="L21" s="10">
        <v>207.30434434675271</v>
      </c>
      <c r="M21" s="10">
        <v>144.7933339026838</v>
      </c>
      <c r="N21" s="10">
        <v>58.267044360042753</v>
      </c>
      <c r="O21" s="10">
        <v>13.893298205565859</v>
      </c>
      <c r="P21" s="10">
        <v>137.8434558364215</v>
      </c>
      <c r="Q21" s="10">
        <v>354.7971323047139</v>
      </c>
      <c r="R21" s="10">
        <v>0</v>
      </c>
      <c r="S21" s="10">
        <v>0</v>
      </c>
      <c r="T21" s="10">
        <v>0</v>
      </c>
      <c r="U21" s="10">
        <v>0</v>
      </c>
      <c r="V21" s="10">
        <v>0</v>
      </c>
      <c r="W21" s="10">
        <v>562.10147665146656</v>
      </c>
      <c r="X21" s="10">
        <v>0</v>
      </c>
      <c r="Y21" s="10">
        <v>562.10147665146656</v>
      </c>
      <c r="Z21" s="10">
        <v>0</v>
      </c>
      <c r="AA21" s="10">
        <v>1.962353330413789</v>
      </c>
      <c r="AB21" s="10">
        <v>564.06382998188042</v>
      </c>
      <c r="AC21" s="10">
        <v>0</v>
      </c>
      <c r="AD21" s="10">
        <v>232.41896324126159</v>
      </c>
      <c r="AE21" s="10">
        <v>0</v>
      </c>
      <c r="AF21" s="10">
        <v>0</v>
      </c>
      <c r="AG21" s="10">
        <v>796.48279322314204</v>
      </c>
      <c r="AH21" s="10">
        <v>564.06382998188042</v>
      </c>
      <c r="AI21" s="10">
        <v>22.298386055139719</v>
      </c>
      <c r="AJ21" s="10">
        <v>0</v>
      </c>
      <c r="AK21" s="10">
        <v>0</v>
      </c>
      <c r="AL21" s="10">
        <v>224.55158133554491</v>
      </c>
      <c r="AM21" s="10">
        <v>810.913797372565</v>
      </c>
      <c r="AN21" s="10">
        <v>0</v>
      </c>
      <c r="AO21" s="10">
        <v>0</v>
      </c>
      <c r="AP21" s="10">
        <v>0</v>
      </c>
      <c r="AQ21" s="10">
        <v>0</v>
      </c>
      <c r="AR21" s="10">
        <v>0</v>
      </c>
      <c r="AS21" s="10">
        <v>810.913797372565</v>
      </c>
      <c r="AT21" s="10">
        <v>-161.70135925552211</v>
      </c>
      <c r="AU21" s="10">
        <v>-163.66371258593591</v>
      </c>
    </row>
    <row r="22" spans="1:47" x14ac:dyDescent="0.25">
      <c r="A22" s="8">
        <v>46022</v>
      </c>
      <c r="B22" s="7" t="s">
        <v>89</v>
      </c>
      <c r="C22" s="7" t="s">
        <v>90</v>
      </c>
      <c r="D22" s="7" t="s">
        <v>91</v>
      </c>
      <c r="E22" s="7" t="s">
        <v>86</v>
      </c>
      <c r="F22" s="9">
        <v>1.8740000000000001</v>
      </c>
      <c r="G22" s="9">
        <v>0.91</v>
      </c>
      <c r="H22" s="10">
        <v>68.282958409783063</v>
      </c>
      <c r="I22" s="10">
        <v>56.286554993919999</v>
      </c>
      <c r="J22" s="10">
        <v>0.29345399999999999</v>
      </c>
      <c r="K22" s="10">
        <v>82.441376943049605</v>
      </c>
      <c r="L22" s="10">
        <v>207.30434434675271</v>
      </c>
      <c r="M22" s="10">
        <v>144.7933339026838</v>
      </c>
      <c r="N22" s="10">
        <v>58.267044360042753</v>
      </c>
      <c r="O22" s="10">
        <v>13.893298205565859</v>
      </c>
      <c r="P22" s="10">
        <v>137.8434558364215</v>
      </c>
      <c r="Q22" s="10">
        <v>354.7971323047139</v>
      </c>
      <c r="R22" s="10">
        <v>0</v>
      </c>
      <c r="S22" s="10">
        <v>0</v>
      </c>
      <c r="T22" s="10">
        <v>0</v>
      </c>
      <c r="U22" s="10">
        <v>0</v>
      </c>
      <c r="V22" s="10">
        <v>0</v>
      </c>
      <c r="W22" s="10">
        <v>562.10147665146656</v>
      </c>
      <c r="X22" s="10">
        <v>0</v>
      </c>
      <c r="Y22" s="10">
        <v>562.10147665146656</v>
      </c>
      <c r="Z22" s="10">
        <v>0</v>
      </c>
      <c r="AA22" s="10">
        <v>1.8058454644164099</v>
      </c>
      <c r="AB22" s="10">
        <v>563.90732211588295</v>
      </c>
      <c r="AC22" s="10">
        <v>0</v>
      </c>
      <c r="AD22" s="10">
        <v>232.41896324126159</v>
      </c>
      <c r="AE22" s="10">
        <v>0</v>
      </c>
      <c r="AF22" s="10">
        <v>0</v>
      </c>
      <c r="AG22" s="10">
        <v>796.32628535714457</v>
      </c>
      <c r="AH22" s="10">
        <v>563.90732211588295</v>
      </c>
      <c r="AI22" s="10">
        <v>22.298386055139719</v>
      </c>
      <c r="AJ22" s="10">
        <v>0</v>
      </c>
      <c r="AK22" s="10">
        <v>0</v>
      </c>
      <c r="AL22" s="10">
        <v>224.55158133554491</v>
      </c>
      <c r="AM22" s="10">
        <v>810.75728950656764</v>
      </c>
      <c r="AN22" s="10">
        <v>0</v>
      </c>
      <c r="AO22" s="10">
        <v>0</v>
      </c>
      <c r="AP22" s="10">
        <v>0</v>
      </c>
      <c r="AQ22" s="10">
        <v>0</v>
      </c>
      <c r="AR22" s="10">
        <v>0</v>
      </c>
      <c r="AS22" s="10">
        <v>810.75728950656764</v>
      </c>
      <c r="AT22" s="10">
        <v>-189.91147665146659</v>
      </c>
      <c r="AU22" s="10">
        <v>-191.71732211588301</v>
      </c>
    </row>
    <row r="23" spans="1:47" x14ac:dyDescent="0.25">
      <c r="A23" s="8">
        <v>46022</v>
      </c>
      <c r="B23" s="7" t="s">
        <v>93</v>
      </c>
      <c r="C23" s="7" t="s">
        <v>94</v>
      </c>
      <c r="D23" s="7" t="s">
        <v>91</v>
      </c>
      <c r="E23" s="7" t="s">
        <v>92</v>
      </c>
      <c r="F23" s="9">
        <v>1.94926</v>
      </c>
      <c r="G23" s="9">
        <v>0.92</v>
      </c>
      <c r="H23" s="10">
        <v>32.499992774659241</v>
      </c>
      <c r="I23" s="10">
        <v>26.02631143488</v>
      </c>
      <c r="J23" s="10">
        <v>1.670347738330241</v>
      </c>
      <c r="K23" s="10">
        <v>44.937021856999991</v>
      </c>
      <c r="L23" s="10">
        <v>105.1336738048695</v>
      </c>
      <c r="M23" s="10">
        <v>79.8174412250778</v>
      </c>
      <c r="N23" s="10">
        <v>66.314766083523693</v>
      </c>
      <c r="O23" s="10">
        <v>95.035600823153985</v>
      </c>
      <c r="P23" s="10">
        <v>245.6644500853337</v>
      </c>
      <c r="Q23" s="10">
        <v>486.83225821708919</v>
      </c>
      <c r="R23" s="10">
        <v>0</v>
      </c>
      <c r="S23" s="10">
        <v>0</v>
      </c>
      <c r="T23" s="10">
        <v>0</v>
      </c>
      <c r="U23" s="10">
        <v>0</v>
      </c>
      <c r="V23" s="10">
        <v>0</v>
      </c>
      <c r="W23" s="10">
        <v>591.96593202195857</v>
      </c>
      <c r="X23" s="10">
        <v>55.351148292763689</v>
      </c>
      <c r="Y23" s="10">
        <v>647.31708031472226</v>
      </c>
      <c r="Z23" s="10">
        <v>0</v>
      </c>
      <c r="AA23" s="10">
        <v>1.345487458076797</v>
      </c>
      <c r="AB23" s="10">
        <v>648.66256777279909</v>
      </c>
      <c r="AC23" s="10">
        <v>0</v>
      </c>
      <c r="AD23" s="10">
        <v>334.96118738404448</v>
      </c>
      <c r="AE23" s="10">
        <v>0</v>
      </c>
      <c r="AF23" s="10">
        <v>0</v>
      </c>
      <c r="AG23" s="10">
        <v>983.62375515684357</v>
      </c>
      <c r="AH23" s="10">
        <v>648.66256777279909</v>
      </c>
      <c r="AI23" s="10">
        <v>26.27740492949194</v>
      </c>
      <c r="AJ23" s="10">
        <v>0</v>
      </c>
      <c r="AK23" s="10">
        <v>0</v>
      </c>
      <c r="AL23" s="10">
        <v>323.62275119109461</v>
      </c>
      <c r="AM23" s="10">
        <v>998.56272389338574</v>
      </c>
      <c r="AN23" s="10">
        <v>0</v>
      </c>
      <c r="AO23" s="10">
        <v>0</v>
      </c>
      <c r="AP23" s="10">
        <v>0</v>
      </c>
      <c r="AQ23" s="10">
        <v>0</v>
      </c>
      <c r="AR23" s="10">
        <v>0</v>
      </c>
      <c r="AS23" s="10">
        <v>998.56272389338574</v>
      </c>
      <c r="AT23" s="10">
        <v>407.00456584843698</v>
      </c>
      <c r="AU23" s="10">
        <v>405.65907839036021</v>
      </c>
    </row>
    <row r="24" spans="1:47" x14ac:dyDescent="0.25">
      <c r="A24" s="8">
        <v>46022</v>
      </c>
      <c r="B24" s="7" t="s">
        <v>93</v>
      </c>
      <c r="C24" s="7" t="s">
        <v>94</v>
      </c>
      <c r="D24" s="7" t="s">
        <v>91</v>
      </c>
      <c r="E24" s="7" t="s">
        <v>85</v>
      </c>
      <c r="F24" s="9">
        <v>2.9628800000000002</v>
      </c>
      <c r="G24" s="9">
        <v>0.95</v>
      </c>
      <c r="H24" s="10">
        <v>32.499992774659241</v>
      </c>
      <c r="I24" s="10">
        <v>26.02631143488</v>
      </c>
      <c r="J24" s="10">
        <v>1.670347738330241</v>
      </c>
      <c r="K24" s="10">
        <v>44.937021856999991</v>
      </c>
      <c r="L24" s="10">
        <v>105.1336738048695</v>
      </c>
      <c r="M24" s="10">
        <v>79.8174412250778</v>
      </c>
      <c r="N24" s="10">
        <v>66.314766083523693</v>
      </c>
      <c r="O24" s="10">
        <v>95.035600823153985</v>
      </c>
      <c r="P24" s="10">
        <v>245.6644500853337</v>
      </c>
      <c r="Q24" s="10">
        <v>486.83225821708919</v>
      </c>
      <c r="R24" s="10">
        <v>0</v>
      </c>
      <c r="S24" s="10">
        <v>0</v>
      </c>
      <c r="T24" s="10">
        <v>0</v>
      </c>
      <c r="U24" s="10">
        <v>0</v>
      </c>
      <c r="V24" s="10">
        <v>0</v>
      </c>
      <c r="W24" s="10">
        <v>591.96593202195857</v>
      </c>
      <c r="X24" s="10">
        <v>55.351148292763689</v>
      </c>
      <c r="Y24" s="10">
        <v>647.31708031472226</v>
      </c>
      <c r="Z24" s="10">
        <v>0</v>
      </c>
      <c r="AA24" s="10">
        <v>0.89821662616077236</v>
      </c>
      <c r="AB24" s="10">
        <v>648.21529694088315</v>
      </c>
      <c r="AC24" s="10">
        <v>0</v>
      </c>
      <c r="AD24" s="10">
        <v>334.96118738404448</v>
      </c>
      <c r="AE24" s="10">
        <v>0</v>
      </c>
      <c r="AF24" s="10">
        <v>0</v>
      </c>
      <c r="AG24" s="10">
        <v>983.17648432492763</v>
      </c>
      <c r="AH24" s="10">
        <v>648.21529694088315</v>
      </c>
      <c r="AI24" s="10">
        <v>26.27740492949194</v>
      </c>
      <c r="AJ24" s="10">
        <v>0</v>
      </c>
      <c r="AK24" s="10">
        <v>0</v>
      </c>
      <c r="AL24" s="10">
        <v>323.62275119109461</v>
      </c>
      <c r="AM24" s="10">
        <v>998.11545306146957</v>
      </c>
      <c r="AN24" s="10">
        <v>0</v>
      </c>
      <c r="AO24" s="10">
        <v>0</v>
      </c>
      <c r="AP24" s="10">
        <v>0</v>
      </c>
      <c r="AQ24" s="10">
        <v>0</v>
      </c>
      <c r="AR24" s="10">
        <v>0</v>
      </c>
      <c r="AS24" s="10">
        <v>998.11545306146957</v>
      </c>
      <c r="AT24" s="10">
        <v>240.93260411394161</v>
      </c>
      <c r="AU24" s="10">
        <v>240.03438748778089</v>
      </c>
    </row>
    <row r="25" spans="1:47" x14ac:dyDescent="0.25">
      <c r="A25" s="8">
        <v>46022</v>
      </c>
      <c r="B25" s="7" t="s">
        <v>93</v>
      </c>
      <c r="C25" s="7" t="s">
        <v>94</v>
      </c>
      <c r="D25" s="7" t="s">
        <v>91</v>
      </c>
      <c r="E25" s="7" t="s">
        <v>87</v>
      </c>
      <c r="F25" s="9">
        <v>2.1052</v>
      </c>
      <c r="G25" s="9">
        <v>0.91</v>
      </c>
      <c r="H25" s="10">
        <v>32.499992774659241</v>
      </c>
      <c r="I25" s="10">
        <v>26.02631143488</v>
      </c>
      <c r="J25" s="10">
        <v>1.670347738330241</v>
      </c>
      <c r="K25" s="10">
        <v>44.937021856999991</v>
      </c>
      <c r="L25" s="10">
        <v>105.1336738048695</v>
      </c>
      <c r="M25" s="10">
        <v>79.8174412250778</v>
      </c>
      <c r="N25" s="10">
        <v>66.314766083523693</v>
      </c>
      <c r="O25" s="10">
        <v>95.035600823153985</v>
      </c>
      <c r="P25" s="10">
        <v>245.6644500853337</v>
      </c>
      <c r="Q25" s="10">
        <v>486.83225821708919</v>
      </c>
      <c r="R25" s="10">
        <v>0</v>
      </c>
      <c r="S25" s="10">
        <v>0</v>
      </c>
      <c r="T25" s="10">
        <v>0</v>
      </c>
      <c r="U25" s="10">
        <v>0</v>
      </c>
      <c r="V25" s="10">
        <v>0</v>
      </c>
      <c r="W25" s="10">
        <v>591.96593202195857</v>
      </c>
      <c r="X25" s="10">
        <v>55.351148292763689</v>
      </c>
      <c r="Y25" s="10">
        <v>647.31708031472226</v>
      </c>
      <c r="Z25" s="10">
        <v>0</v>
      </c>
      <c r="AA25" s="10">
        <v>0.59225469736021896</v>
      </c>
      <c r="AB25" s="10">
        <v>647.90933501208247</v>
      </c>
      <c r="AC25" s="10">
        <v>0</v>
      </c>
      <c r="AD25" s="10">
        <v>334.96118738404448</v>
      </c>
      <c r="AE25" s="10">
        <v>0</v>
      </c>
      <c r="AF25" s="10">
        <v>0</v>
      </c>
      <c r="AG25" s="10">
        <v>982.87052239612706</v>
      </c>
      <c r="AH25" s="10">
        <v>647.90933501208247</v>
      </c>
      <c r="AI25" s="10">
        <v>26.27740492949194</v>
      </c>
      <c r="AJ25" s="10">
        <v>0</v>
      </c>
      <c r="AK25" s="10">
        <v>0</v>
      </c>
      <c r="AL25" s="10">
        <v>323.62275119109461</v>
      </c>
      <c r="AM25" s="10">
        <v>997.80949113266911</v>
      </c>
      <c r="AN25" s="10">
        <v>0</v>
      </c>
      <c r="AO25" s="10">
        <v>0</v>
      </c>
      <c r="AP25" s="10">
        <v>0</v>
      </c>
      <c r="AQ25" s="10">
        <v>0</v>
      </c>
      <c r="AR25" s="10">
        <v>0</v>
      </c>
      <c r="AS25" s="10">
        <v>997.80949113266911</v>
      </c>
      <c r="AT25" s="10">
        <v>-246.91645329591171</v>
      </c>
      <c r="AU25" s="10">
        <v>-247.508707993272</v>
      </c>
    </row>
    <row r="26" spans="1:47" x14ac:dyDescent="0.25">
      <c r="A26" s="8">
        <v>46022</v>
      </c>
      <c r="B26" s="7" t="s">
        <v>93</v>
      </c>
      <c r="C26" s="7" t="s">
        <v>94</v>
      </c>
      <c r="D26" s="7" t="s">
        <v>91</v>
      </c>
      <c r="E26" s="7" t="s">
        <v>86</v>
      </c>
      <c r="F26" s="9">
        <v>0.77969999999999995</v>
      </c>
      <c r="G26" s="9">
        <v>0.85</v>
      </c>
      <c r="H26" s="10">
        <v>32.499992774659241</v>
      </c>
      <c r="I26" s="10">
        <v>26.02631143488</v>
      </c>
      <c r="J26" s="10">
        <v>1.670347738330241</v>
      </c>
      <c r="K26" s="10">
        <v>44.937021856999991</v>
      </c>
      <c r="L26" s="10">
        <v>105.1336738048695</v>
      </c>
      <c r="M26" s="10">
        <v>79.8174412250778</v>
      </c>
      <c r="N26" s="10">
        <v>66.314766083523693</v>
      </c>
      <c r="O26" s="10">
        <v>95.035600823153985</v>
      </c>
      <c r="P26" s="10">
        <v>245.6644500853337</v>
      </c>
      <c r="Q26" s="10">
        <v>486.83225821708919</v>
      </c>
      <c r="R26" s="10">
        <v>0</v>
      </c>
      <c r="S26" s="10">
        <v>0</v>
      </c>
      <c r="T26" s="10">
        <v>0</v>
      </c>
      <c r="U26" s="10">
        <v>0</v>
      </c>
      <c r="V26" s="10">
        <v>0</v>
      </c>
      <c r="W26" s="10">
        <v>591.96593202195857</v>
      </c>
      <c r="X26" s="10">
        <v>55.351148292763689</v>
      </c>
      <c r="Y26" s="10">
        <v>647.31708031472226</v>
      </c>
      <c r="Z26" s="10">
        <v>0</v>
      </c>
      <c r="AA26" s="10">
        <v>0.54501927332107014</v>
      </c>
      <c r="AB26" s="10">
        <v>647.86209958804341</v>
      </c>
      <c r="AC26" s="10">
        <v>0</v>
      </c>
      <c r="AD26" s="10">
        <v>334.96118738404448</v>
      </c>
      <c r="AE26" s="10">
        <v>0</v>
      </c>
      <c r="AF26" s="10">
        <v>0</v>
      </c>
      <c r="AG26" s="10">
        <v>982.82328697208789</v>
      </c>
      <c r="AH26" s="10">
        <v>647.86209958804341</v>
      </c>
      <c r="AI26" s="10">
        <v>26.27740492949194</v>
      </c>
      <c r="AJ26" s="10">
        <v>0</v>
      </c>
      <c r="AK26" s="10">
        <v>0</v>
      </c>
      <c r="AL26" s="10">
        <v>323.62275119109461</v>
      </c>
      <c r="AM26" s="10">
        <v>997.76225570862994</v>
      </c>
      <c r="AN26" s="10">
        <v>0</v>
      </c>
      <c r="AO26" s="10">
        <v>0</v>
      </c>
      <c r="AP26" s="10">
        <v>0</v>
      </c>
      <c r="AQ26" s="10">
        <v>0</v>
      </c>
      <c r="AR26" s="10">
        <v>0</v>
      </c>
      <c r="AS26" s="10">
        <v>997.76225570862994</v>
      </c>
      <c r="AT26" s="10">
        <v>-299.66498207180842</v>
      </c>
      <c r="AU26" s="10">
        <v>-300.2100013451294</v>
      </c>
    </row>
    <row r="27" spans="1:47" x14ac:dyDescent="0.25">
      <c r="A27" s="8">
        <v>46022</v>
      </c>
      <c r="B27" s="7" t="s">
        <v>58</v>
      </c>
      <c r="C27" s="7" t="s">
        <v>59</v>
      </c>
      <c r="D27" s="7" t="s">
        <v>60</v>
      </c>
      <c r="E27" s="7" t="s">
        <v>87</v>
      </c>
      <c r="F27" s="9">
        <v>2.6666400000000001</v>
      </c>
      <c r="G27" s="9">
        <v>0.85</v>
      </c>
      <c r="H27" s="10">
        <v>299.51320395140482</v>
      </c>
      <c r="I27" s="10">
        <v>48.408631</v>
      </c>
      <c r="J27" s="10">
        <v>147.385461743538</v>
      </c>
      <c r="K27" s="10">
        <v>112.9604505990843</v>
      </c>
      <c r="L27" s="10">
        <v>608.26774729402712</v>
      </c>
      <c r="M27" s="10">
        <v>211.688546218564</v>
      </c>
      <c r="N27" s="10">
        <v>20.465658650010411</v>
      </c>
      <c r="O27" s="10">
        <v>16.944663898064519</v>
      </c>
      <c r="P27" s="10">
        <v>137.63389719246621</v>
      </c>
      <c r="Q27" s="10">
        <v>386.73276595910511</v>
      </c>
      <c r="R27" s="10">
        <v>0</v>
      </c>
      <c r="S27" s="10">
        <v>0</v>
      </c>
      <c r="T27" s="10">
        <v>0</v>
      </c>
      <c r="U27" s="10">
        <v>0</v>
      </c>
      <c r="V27" s="10">
        <v>0</v>
      </c>
      <c r="W27" s="10">
        <v>995.00051325313223</v>
      </c>
      <c r="X27" s="10">
        <v>12.764329836711759</v>
      </c>
      <c r="Y27" s="10">
        <v>1007.764843089844</v>
      </c>
      <c r="Z27" s="10">
        <v>0</v>
      </c>
      <c r="AA27" s="10">
        <v>1.02706558295631</v>
      </c>
      <c r="AB27" s="10">
        <v>1008.7919086728</v>
      </c>
      <c r="AC27" s="10">
        <v>28.35488436780437</v>
      </c>
      <c r="AD27" s="10">
        <v>200.98656725063481</v>
      </c>
      <c r="AE27" s="10">
        <v>0</v>
      </c>
      <c r="AF27" s="10">
        <v>0</v>
      </c>
      <c r="AG27" s="10">
        <v>1238.1333602912389</v>
      </c>
      <c r="AH27" s="10">
        <v>1008.7919086728</v>
      </c>
      <c r="AI27" s="10">
        <v>149.6445730741311</v>
      </c>
      <c r="AJ27" s="10">
        <v>28.35488436780437</v>
      </c>
      <c r="AK27" s="10">
        <v>0</v>
      </c>
      <c r="AL27" s="10">
        <v>165.88879343288241</v>
      </c>
      <c r="AM27" s="10">
        <v>1352.6801595476179</v>
      </c>
      <c r="AN27" s="10">
        <v>0</v>
      </c>
      <c r="AO27" s="10">
        <v>0</v>
      </c>
      <c r="AP27" s="10">
        <v>0</v>
      </c>
      <c r="AQ27" s="10">
        <v>0</v>
      </c>
      <c r="AR27" s="10">
        <v>0</v>
      </c>
      <c r="AS27" s="10">
        <v>1352.6801595476179</v>
      </c>
      <c r="AT27" s="10">
        <v>-633.76418308324389</v>
      </c>
      <c r="AU27" s="10">
        <v>-634.7912486662002</v>
      </c>
    </row>
    <row r="28" spans="1:47" x14ac:dyDescent="0.25">
      <c r="A28" s="8">
        <v>46022</v>
      </c>
      <c r="B28" s="7" t="s">
        <v>58</v>
      </c>
      <c r="C28" s="7" t="s">
        <v>59</v>
      </c>
      <c r="D28" s="7" t="s">
        <v>60</v>
      </c>
      <c r="E28" s="7" t="s">
        <v>86</v>
      </c>
      <c r="F28" s="9">
        <v>5.1970900000000002</v>
      </c>
      <c r="G28" s="9">
        <v>0.94099999999999995</v>
      </c>
      <c r="H28" s="10">
        <v>299.51320395140482</v>
      </c>
      <c r="I28" s="10">
        <v>48.408631</v>
      </c>
      <c r="J28" s="10">
        <v>147.385461743538</v>
      </c>
      <c r="K28" s="10">
        <v>112.9604505990843</v>
      </c>
      <c r="L28" s="10">
        <v>608.26774729402712</v>
      </c>
      <c r="M28" s="10">
        <v>211.688546218564</v>
      </c>
      <c r="N28" s="10">
        <v>20.465658650010411</v>
      </c>
      <c r="O28" s="10">
        <v>16.944663898064519</v>
      </c>
      <c r="P28" s="10">
        <v>137.63389719246621</v>
      </c>
      <c r="Q28" s="10">
        <v>386.73276595910511</v>
      </c>
      <c r="R28" s="10">
        <v>0</v>
      </c>
      <c r="S28" s="10">
        <v>0</v>
      </c>
      <c r="T28" s="10">
        <v>0</v>
      </c>
      <c r="U28" s="10">
        <v>0</v>
      </c>
      <c r="V28" s="10">
        <v>0</v>
      </c>
      <c r="W28" s="10">
        <v>995.00051325313223</v>
      </c>
      <c r="X28" s="10">
        <v>12.764329836711759</v>
      </c>
      <c r="Y28" s="10">
        <v>1007.764843089844</v>
      </c>
      <c r="Z28" s="10">
        <v>0</v>
      </c>
      <c r="AA28" s="10">
        <v>0.4949439621512936</v>
      </c>
      <c r="AB28" s="10">
        <v>1008.259787051995</v>
      </c>
      <c r="AC28" s="10">
        <v>28.35488436780437</v>
      </c>
      <c r="AD28" s="10">
        <v>200.98656725063481</v>
      </c>
      <c r="AE28" s="10">
        <v>0</v>
      </c>
      <c r="AF28" s="10">
        <v>0</v>
      </c>
      <c r="AG28" s="10">
        <v>1237.601238670434</v>
      </c>
      <c r="AH28" s="10">
        <v>1008.259787051995</v>
      </c>
      <c r="AI28" s="10">
        <v>149.6445730741311</v>
      </c>
      <c r="AJ28" s="10">
        <v>28.35488436780437</v>
      </c>
      <c r="AK28" s="10">
        <v>0</v>
      </c>
      <c r="AL28" s="10">
        <v>165.88879343288241</v>
      </c>
      <c r="AM28" s="10">
        <v>1352.148037926813</v>
      </c>
      <c r="AN28" s="10">
        <v>0</v>
      </c>
      <c r="AO28" s="10">
        <v>0</v>
      </c>
      <c r="AP28" s="10">
        <v>0</v>
      </c>
      <c r="AQ28" s="10">
        <v>0</v>
      </c>
      <c r="AR28" s="10">
        <v>0</v>
      </c>
      <c r="AS28" s="10">
        <v>1352.148037926813</v>
      </c>
      <c r="AT28" s="10">
        <v>-622.98317334773833</v>
      </c>
      <c r="AU28" s="10">
        <v>-623.47811730988963</v>
      </c>
    </row>
    <row r="29" spans="1:47" x14ac:dyDescent="0.25">
      <c r="A29" s="8">
        <v>46022</v>
      </c>
      <c r="B29" s="7" t="s">
        <v>61</v>
      </c>
      <c r="C29" s="7" t="s">
        <v>62</v>
      </c>
      <c r="D29" s="7" t="s">
        <v>63</v>
      </c>
      <c r="E29" s="7" t="s">
        <v>85</v>
      </c>
      <c r="F29" s="9">
        <v>1.20417</v>
      </c>
      <c r="G29" s="9">
        <v>0.96</v>
      </c>
      <c r="H29" s="10">
        <v>11.91987995151476</v>
      </c>
      <c r="I29" s="10">
        <v>19.807220999999998</v>
      </c>
      <c r="J29" s="10">
        <v>69.672342096817204</v>
      </c>
      <c r="K29" s="10">
        <v>118.4138942549466</v>
      </c>
      <c r="L29" s="10">
        <v>219.81333730327859</v>
      </c>
      <c r="M29" s="10">
        <v>55.319760338846571</v>
      </c>
      <c r="N29" s="10">
        <v>21.801621227373811</v>
      </c>
      <c r="O29" s="10">
        <v>29.130426656918651</v>
      </c>
      <c r="P29" s="10">
        <v>594.52590108905497</v>
      </c>
      <c r="Q29" s="10">
        <v>700.77770931219402</v>
      </c>
      <c r="R29" s="10">
        <v>0</v>
      </c>
      <c r="S29" s="10">
        <v>0</v>
      </c>
      <c r="T29" s="10">
        <v>0</v>
      </c>
      <c r="U29" s="10">
        <v>0</v>
      </c>
      <c r="V29" s="10">
        <v>0</v>
      </c>
      <c r="W29" s="10">
        <v>920.59104661547258</v>
      </c>
      <c r="X29" s="10">
        <v>12.47993213717556</v>
      </c>
      <c r="Y29" s="10">
        <v>933.0709787526481</v>
      </c>
      <c r="Z29" s="10">
        <v>0</v>
      </c>
      <c r="AA29" s="10">
        <v>6.3270785728202403</v>
      </c>
      <c r="AB29" s="10">
        <v>939.39805732546836</v>
      </c>
      <c r="AC29" s="10">
        <v>20.761252882485191</v>
      </c>
      <c r="AD29" s="10">
        <v>12.91584028168184</v>
      </c>
      <c r="AE29" s="10">
        <v>0</v>
      </c>
      <c r="AF29" s="10">
        <v>0</v>
      </c>
      <c r="AG29" s="10">
        <v>973.07515048963535</v>
      </c>
      <c r="AH29" s="10">
        <v>939.39805732546836</v>
      </c>
      <c r="AI29" s="10">
        <v>4.6029555259085484</v>
      </c>
      <c r="AJ29" s="10">
        <v>20.761252882485191</v>
      </c>
      <c r="AK29" s="10">
        <v>0</v>
      </c>
      <c r="AL29" s="10">
        <v>4.6029555259085484</v>
      </c>
      <c r="AM29" s="10">
        <v>969.36522125977058</v>
      </c>
      <c r="AN29" s="10">
        <v>0</v>
      </c>
      <c r="AO29" s="10">
        <v>0</v>
      </c>
      <c r="AP29" s="10">
        <v>0</v>
      </c>
      <c r="AQ29" s="10">
        <v>0</v>
      </c>
      <c r="AR29" s="10">
        <v>0</v>
      </c>
      <c r="AS29" s="10">
        <v>969.36522125977058</v>
      </c>
      <c r="AT29" s="10">
        <v>-35.473463451652378</v>
      </c>
      <c r="AU29" s="10">
        <v>-41.80054202447262</v>
      </c>
    </row>
    <row r="30" spans="1:47" x14ac:dyDescent="0.25">
      <c r="A30" s="8">
        <v>46022</v>
      </c>
      <c r="B30" s="7" t="s">
        <v>61</v>
      </c>
      <c r="C30" s="7" t="s">
        <v>62</v>
      </c>
      <c r="D30" s="7" t="s">
        <v>63</v>
      </c>
      <c r="E30" s="7" t="s">
        <v>88</v>
      </c>
      <c r="F30" s="9">
        <v>1.9266700000000001</v>
      </c>
      <c r="G30" s="9">
        <v>0.96</v>
      </c>
      <c r="H30" s="10">
        <v>11.91987995151476</v>
      </c>
      <c r="I30" s="10">
        <v>19.807220999999998</v>
      </c>
      <c r="J30" s="10">
        <v>69.672342096817204</v>
      </c>
      <c r="K30" s="10">
        <v>118.4138942549466</v>
      </c>
      <c r="L30" s="10">
        <v>219.81333730327859</v>
      </c>
      <c r="M30" s="10">
        <v>55.319760338846571</v>
      </c>
      <c r="N30" s="10">
        <v>21.801621227373811</v>
      </c>
      <c r="O30" s="10">
        <v>29.130426656918651</v>
      </c>
      <c r="P30" s="10">
        <v>594.52590108905497</v>
      </c>
      <c r="Q30" s="10">
        <v>700.77770931219402</v>
      </c>
      <c r="R30" s="10">
        <v>0</v>
      </c>
      <c r="S30" s="10">
        <v>0</v>
      </c>
      <c r="T30" s="10">
        <v>0</v>
      </c>
      <c r="U30" s="10">
        <v>0</v>
      </c>
      <c r="V30" s="10">
        <v>0</v>
      </c>
      <c r="W30" s="10">
        <v>920.59104661547258</v>
      </c>
      <c r="X30" s="10">
        <v>12.47993213717556</v>
      </c>
      <c r="Y30" s="10">
        <v>933.0709787526481</v>
      </c>
      <c r="Z30" s="10">
        <v>0</v>
      </c>
      <c r="AA30" s="10">
        <v>5.8024715669330771</v>
      </c>
      <c r="AB30" s="10">
        <v>938.87345031958125</v>
      </c>
      <c r="AC30" s="10">
        <v>20.761252882485191</v>
      </c>
      <c r="AD30" s="10">
        <v>12.91584028168184</v>
      </c>
      <c r="AE30" s="10">
        <v>0</v>
      </c>
      <c r="AF30" s="10">
        <v>0</v>
      </c>
      <c r="AG30" s="10">
        <v>972.55054348374824</v>
      </c>
      <c r="AH30" s="10">
        <v>938.87345031958125</v>
      </c>
      <c r="AI30" s="10">
        <v>4.6029555259085484</v>
      </c>
      <c r="AJ30" s="10">
        <v>20.761252882485191</v>
      </c>
      <c r="AK30" s="10">
        <v>0</v>
      </c>
      <c r="AL30" s="10">
        <v>4.6029555259085484</v>
      </c>
      <c r="AM30" s="10">
        <v>968.84061425388347</v>
      </c>
      <c r="AN30" s="10">
        <v>0</v>
      </c>
      <c r="AO30" s="10">
        <v>0</v>
      </c>
      <c r="AP30" s="10">
        <v>0</v>
      </c>
      <c r="AQ30" s="10">
        <v>0</v>
      </c>
      <c r="AR30" s="10">
        <v>0</v>
      </c>
      <c r="AS30" s="10">
        <v>968.84061425388347</v>
      </c>
      <c r="AT30" s="10">
        <v>-358.99197196892288</v>
      </c>
      <c r="AU30" s="10">
        <v>-364.79444353585592</v>
      </c>
    </row>
    <row r="31" spans="1:47" x14ac:dyDescent="0.25">
      <c r="A31" s="8">
        <v>46022</v>
      </c>
      <c r="B31" s="7" t="s">
        <v>61</v>
      </c>
      <c r="C31" s="7" t="s">
        <v>62</v>
      </c>
      <c r="D31" s="7" t="s">
        <v>63</v>
      </c>
      <c r="E31" s="7" t="s">
        <v>87</v>
      </c>
      <c r="F31" s="9">
        <v>1.6858299999999999</v>
      </c>
      <c r="G31" s="9">
        <v>0.96</v>
      </c>
      <c r="H31" s="10">
        <v>11.91987995151476</v>
      </c>
      <c r="I31" s="10">
        <v>19.807220999999998</v>
      </c>
      <c r="J31" s="10">
        <v>69.672342096817204</v>
      </c>
      <c r="K31" s="10">
        <v>118.4138942549466</v>
      </c>
      <c r="L31" s="10">
        <v>219.81333730327859</v>
      </c>
      <c r="M31" s="10">
        <v>55.319760338846571</v>
      </c>
      <c r="N31" s="10">
        <v>21.801621227373811</v>
      </c>
      <c r="O31" s="10">
        <v>29.130426656918651</v>
      </c>
      <c r="P31" s="10">
        <v>594.52590108905497</v>
      </c>
      <c r="Q31" s="10">
        <v>700.77770931219402</v>
      </c>
      <c r="R31" s="10">
        <v>0</v>
      </c>
      <c r="S31" s="10">
        <v>0</v>
      </c>
      <c r="T31" s="10">
        <v>0</v>
      </c>
      <c r="U31" s="10">
        <v>0</v>
      </c>
      <c r="V31" s="10">
        <v>0</v>
      </c>
      <c r="W31" s="10">
        <v>920.59104661547258</v>
      </c>
      <c r="X31" s="10">
        <v>12.47993213717556</v>
      </c>
      <c r="Y31" s="10">
        <v>933.0709787526481</v>
      </c>
      <c r="Z31" s="10">
        <v>0</v>
      </c>
      <c r="AA31" s="10">
        <v>4.4406129522400404</v>
      </c>
      <c r="AB31" s="10">
        <v>937.51159170488825</v>
      </c>
      <c r="AC31" s="10">
        <v>20.761252882485191</v>
      </c>
      <c r="AD31" s="10">
        <v>12.91584028168184</v>
      </c>
      <c r="AE31" s="10">
        <v>0</v>
      </c>
      <c r="AF31" s="10">
        <v>0</v>
      </c>
      <c r="AG31" s="10">
        <v>971.18868486905524</v>
      </c>
      <c r="AH31" s="10">
        <v>937.51159170488825</v>
      </c>
      <c r="AI31" s="10">
        <v>4.6029555259085484</v>
      </c>
      <c r="AJ31" s="10">
        <v>20.761252882485191</v>
      </c>
      <c r="AK31" s="10">
        <v>0</v>
      </c>
      <c r="AL31" s="10">
        <v>4.6029555259085484</v>
      </c>
      <c r="AM31" s="10">
        <v>967.47875563919035</v>
      </c>
      <c r="AN31" s="10">
        <v>0</v>
      </c>
      <c r="AO31" s="10">
        <v>0</v>
      </c>
      <c r="AP31" s="10">
        <v>0</v>
      </c>
      <c r="AQ31" s="10">
        <v>0</v>
      </c>
      <c r="AR31" s="10">
        <v>0</v>
      </c>
      <c r="AS31" s="10">
        <v>967.47875563919035</v>
      </c>
      <c r="AT31" s="10">
        <v>-510.67014355574207</v>
      </c>
      <c r="AU31" s="10">
        <v>-515.11075650798216</v>
      </c>
    </row>
    <row r="32" spans="1:47" x14ac:dyDescent="0.25">
      <c r="A32" s="8">
        <v>46022</v>
      </c>
      <c r="B32" s="7" t="s">
        <v>64</v>
      </c>
      <c r="C32" s="7" t="s">
        <v>65</v>
      </c>
      <c r="D32" s="7" t="s">
        <v>48</v>
      </c>
      <c r="E32" s="7" t="s">
        <v>87</v>
      </c>
      <c r="F32" s="9">
        <v>189.47368</v>
      </c>
      <c r="G32" s="9">
        <v>0.95</v>
      </c>
      <c r="H32" s="10">
        <v>19.749687374508429</v>
      </c>
      <c r="I32" s="10">
        <v>23.673822000000001</v>
      </c>
      <c r="J32" s="10">
        <v>4.0658792438202243</v>
      </c>
      <c r="K32" s="10">
        <v>41.048726271910112</v>
      </c>
      <c r="L32" s="10">
        <v>88.538114890238759</v>
      </c>
      <c r="M32" s="10">
        <v>22.483146383988771</v>
      </c>
      <c r="N32" s="10">
        <v>9.2359558127808992</v>
      </c>
      <c r="O32" s="10">
        <v>43.820224265870792</v>
      </c>
      <c r="P32" s="10">
        <v>38.352731368047749</v>
      </c>
      <c r="Q32" s="10">
        <v>113.8920578306882</v>
      </c>
      <c r="R32" s="10">
        <v>0</v>
      </c>
      <c r="S32" s="10">
        <v>0</v>
      </c>
      <c r="T32" s="10">
        <v>0</v>
      </c>
      <c r="U32" s="10">
        <v>0</v>
      </c>
      <c r="V32" s="10">
        <v>0</v>
      </c>
      <c r="W32" s="10">
        <v>202.430172720927</v>
      </c>
      <c r="X32" s="10">
        <v>0</v>
      </c>
      <c r="Y32" s="10">
        <v>202.430172720927</v>
      </c>
      <c r="Z32" s="10">
        <v>0</v>
      </c>
      <c r="AA32" s="10">
        <v>23.28531341223448</v>
      </c>
      <c r="AB32" s="10">
        <v>225.71548613316139</v>
      </c>
      <c r="AC32" s="10">
        <v>0</v>
      </c>
      <c r="AD32" s="10">
        <v>31.5151431747191</v>
      </c>
      <c r="AE32" s="10">
        <v>0</v>
      </c>
      <c r="AF32" s="10">
        <v>0</v>
      </c>
      <c r="AG32" s="10">
        <v>257.23062930788058</v>
      </c>
      <c r="AH32" s="10">
        <v>225.71548613316139</v>
      </c>
      <c r="AI32" s="10">
        <v>60.727555577528094</v>
      </c>
      <c r="AJ32" s="10">
        <v>0</v>
      </c>
      <c r="AK32" s="10">
        <v>0</v>
      </c>
      <c r="AL32" s="10">
        <v>12.145510715589889</v>
      </c>
      <c r="AM32" s="10">
        <v>298.58855242627942</v>
      </c>
      <c r="AN32" s="10">
        <v>0</v>
      </c>
      <c r="AO32" s="10">
        <v>0</v>
      </c>
      <c r="AP32" s="10">
        <v>0</v>
      </c>
      <c r="AQ32" s="10">
        <v>0</v>
      </c>
      <c r="AR32" s="10">
        <v>0</v>
      </c>
      <c r="AS32" s="10">
        <v>298.58855242627942</v>
      </c>
      <c r="AT32" s="10">
        <v>215.56983656796211</v>
      </c>
      <c r="AU32" s="10">
        <v>192.28452315572761</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8"/>
  <sheetViews>
    <sheetView workbookViewId="0"/>
  </sheetViews>
  <sheetFormatPr defaultRowHeight="15" x14ac:dyDescent="0.25"/>
  <cols>
    <col min="1" max="1" width="48.5703125" customWidth="1"/>
    <col min="2" max="2" width="24.140625" customWidth="1"/>
    <col min="3" max="3" width="16.140625" customWidth="1"/>
    <col min="4" max="4" width="21.7109375" customWidth="1"/>
    <col min="5" max="5" width="20.5703125" customWidth="1"/>
    <col min="6" max="6" width="22.42578125" customWidth="1"/>
    <col min="7" max="7" width="21.140625" customWidth="1"/>
    <col min="8" max="8" width="27.42578125" customWidth="1"/>
    <col min="9" max="16" width="21.140625" customWidth="1"/>
    <col min="17" max="21" width="16.140625" customWidth="1"/>
    <col min="22" max="24" width="21.140625" customWidth="1"/>
    <col min="25" max="25" width="16.140625" customWidth="1"/>
    <col min="26" max="26" width="22.42578125" customWidth="1"/>
    <col min="27" max="29" width="21.140625" customWidth="1"/>
    <col min="30" max="31" width="16.140625" customWidth="1"/>
    <col min="32" max="35" width="21.140625" customWidth="1"/>
    <col min="36" max="36" width="16.140625" customWidth="1"/>
    <col min="37" max="38" width="21.140625" customWidth="1"/>
    <col min="39" max="43" width="16.140625" customWidth="1"/>
    <col min="44" max="44" width="21.140625" customWidth="1"/>
    <col min="45" max="46" width="22" customWidth="1"/>
  </cols>
  <sheetData>
    <row r="1" spans="1:46" ht="39.950000000000003" customHeight="1" x14ac:dyDescent="0.25">
      <c r="A1" s="3"/>
      <c r="B1" s="3"/>
      <c r="C1" s="3"/>
      <c r="D1" s="3"/>
    </row>
    <row r="2" spans="1:46" ht="30" customHeight="1" x14ac:dyDescent="0.3">
      <c r="A2" s="4" t="s">
        <v>96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25">
      <c r="A3" s="6" t="s">
        <v>0</v>
      </c>
    </row>
    <row r="4" spans="1:46" x14ac:dyDescent="0.25">
      <c r="A4" s="6" t="s">
        <v>1</v>
      </c>
    </row>
    <row r="5" spans="1:46" x14ac:dyDescent="0.25">
      <c r="A5" s="7"/>
    </row>
    <row r="6" spans="1:46" x14ac:dyDescent="0.25">
      <c r="A6" s="2" t="s">
        <v>3</v>
      </c>
      <c r="B6" s="2" t="s">
        <v>4</v>
      </c>
      <c r="C6" s="2" t="s">
        <v>5</v>
      </c>
      <c r="D6" s="2" t="s">
        <v>6</v>
      </c>
      <c r="E6" s="1" t="s">
        <v>68</v>
      </c>
      <c r="F6" s="1" t="s">
        <v>69</v>
      </c>
      <c r="G6" s="1" t="s">
        <v>19</v>
      </c>
      <c r="H6" s="1" t="s">
        <v>20</v>
      </c>
      <c r="I6" s="1" t="s">
        <v>21</v>
      </c>
      <c r="J6" s="1" t="s">
        <v>22</v>
      </c>
      <c r="K6" s="1" t="s">
        <v>23</v>
      </c>
      <c r="L6" s="1" t="s">
        <v>24</v>
      </c>
      <c r="M6" s="1" t="s">
        <v>25</v>
      </c>
      <c r="N6" s="1" t="s">
        <v>26</v>
      </c>
      <c r="O6" s="1" t="s">
        <v>27</v>
      </c>
      <c r="P6" s="1" t="s">
        <v>28</v>
      </c>
      <c r="Q6" s="1" t="s">
        <v>29</v>
      </c>
      <c r="R6" s="1" t="s">
        <v>30</v>
      </c>
      <c r="S6" s="1" t="s">
        <v>31</v>
      </c>
      <c r="T6" s="1" t="s">
        <v>32</v>
      </c>
      <c r="U6" s="1" t="s">
        <v>33</v>
      </c>
      <c r="V6" s="1" t="s">
        <v>34</v>
      </c>
      <c r="W6" s="1" t="s">
        <v>35</v>
      </c>
      <c r="X6" s="1" t="s">
        <v>36</v>
      </c>
      <c r="Y6" s="1" t="s">
        <v>37</v>
      </c>
      <c r="Z6" s="1" t="s">
        <v>38</v>
      </c>
      <c r="AA6" s="1" t="s">
        <v>39</v>
      </c>
      <c r="AB6" s="1" t="s">
        <v>70</v>
      </c>
      <c r="AC6" s="1" t="s">
        <v>71</v>
      </c>
      <c r="AD6" s="1" t="s">
        <v>72</v>
      </c>
      <c r="AE6" s="1" t="s">
        <v>73</v>
      </c>
      <c r="AF6" s="1" t="s">
        <v>74</v>
      </c>
      <c r="AG6" s="1" t="s">
        <v>39</v>
      </c>
      <c r="AH6" s="1" t="s">
        <v>75</v>
      </c>
      <c r="AI6" s="1" t="s">
        <v>70</v>
      </c>
      <c r="AJ6" s="1" t="s">
        <v>76</v>
      </c>
      <c r="AK6" s="1" t="s">
        <v>77</v>
      </c>
      <c r="AL6" s="1" t="s">
        <v>78</v>
      </c>
      <c r="AM6" s="1" t="s">
        <v>79</v>
      </c>
      <c r="AN6" s="1" t="s">
        <v>80</v>
      </c>
      <c r="AO6" s="1" t="s">
        <v>81</v>
      </c>
      <c r="AP6" s="1" t="s">
        <v>82</v>
      </c>
      <c r="AQ6" s="1" t="s">
        <v>83</v>
      </c>
      <c r="AR6" s="1" t="s">
        <v>84</v>
      </c>
      <c r="AS6" s="1" t="s">
        <v>41</v>
      </c>
      <c r="AT6" s="1" t="s">
        <v>42</v>
      </c>
    </row>
    <row r="7" spans="1:46" x14ac:dyDescent="0.25">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x14ac:dyDescent="0.25">
      <c r="A8" s="2"/>
      <c r="B8" s="2"/>
      <c r="C8" s="2"/>
      <c r="D8" s="2"/>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x14ac:dyDescent="0.25">
      <c r="A9" s="2"/>
      <c r="B9" s="2"/>
      <c r="C9" s="2"/>
      <c r="D9" s="2"/>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x14ac:dyDescent="0.25">
      <c r="A10" s="8">
        <v>46022</v>
      </c>
      <c r="B10" s="7" t="s">
        <v>43</v>
      </c>
      <c r="C10" s="7" t="s">
        <v>44</v>
      </c>
      <c r="D10" s="7" t="s">
        <v>45</v>
      </c>
      <c r="E10" s="9">
        <v>57.9</v>
      </c>
      <c r="F10" s="9">
        <v>0.95</v>
      </c>
      <c r="G10" s="10">
        <v>11.967998894423809</v>
      </c>
      <c r="H10" s="10">
        <v>6.9282810685999996</v>
      </c>
      <c r="I10" s="10">
        <v>10.910496768525819</v>
      </c>
      <c r="J10" s="10">
        <v>18.64361652642997</v>
      </c>
      <c r="K10" s="10">
        <v>48.450393257979613</v>
      </c>
      <c r="L10" s="10">
        <v>46.916612170898063</v>
      </c>
      <c r="M10" s="10">
        <v>8.2799975348631243</v>
      </c>
      <c r="N10" s="10">
        <v>3.2377796021784042</v>
      </c>
      <c r="O10" s="10">
        <v>102.1754319092785</v>
      </c>
      <c r="P10" s="10">
        <v>160.6098212172181</v>
      </c>
      <c r="Q10" s="10">
        <v>0</v>
      </c>
      <c r="R10" s="10">
        <v>0</v>
      </c>
      <c r="S10" s="10">
        <v>0</v>
      </c>
      <c r="T10" s="10">
        <v>0</v>
      </c>
      <c r="U10" s="10">
        <v>0</v>
      </c>
      <c r="V10" s="10">
        <v>209.06021447519771</v>
      </c>
      <c r="W10" s="10">
        <v>287.38044852499007</v>
      </c>
      <c r="X10" s="10">
        <v>496.44066300018778</v>
      </c>
      <c r="Y10" s="10">
        <v>0</v>
      </c>
      <c r="Z10" s="10">
        <v>6.5750049522378609</v>
      </c>
      <c r="AA10" s="10">
        <v>503.01566795242559</v>
      </c>
      <c r="AB10" s="10">
        <v>0</v>
      </c>
      <c r="AC10" s="10">
        <v>220.17063900920192</v>
      </c>
      <c r="AD10" s="10">
        <v>0</v>
      </c>
      <c r="AE10" s="10">
        <v>0</v>
      </c>
      <c r="AF10" s="10">
        <v>723.18630696162757</v>
      </c>
      <c r="AG10" s="10">
        <v>503.01566795242559</v>
      </c>
      <c r="AH10" s="10">
        <v>75.046101521160793</v>
      </c>
      <c r="AI10" s="10">
        <v>0</v>
      </c>
      <c r="AJ10" s="10">
        <v>0</v>
      </c>
      <c r="AK10" s="10">
        <v>117.31995036482049</v>
      </c>
      <c r="AL10" s="10">
        <v>695.38171983840709</v>
      </c>
      <c r="AM10" s="10">
        <v>0</v>
      </c>
      <c r="AN10" s="10">
        <v>0</v>
      </c>
      <c r="AO10" s="10">
        <v>0</v>
      </c>
      <c r="AP10" s="10">
        <v>0</v>
      </c>
      <c r="AQ10" s="10">
        <v>0</v>
      </c>
      <c r="AR10" s="10">
        <v>695.38171983840709</v>
      </c>
      <c r="AS10" s="10">
        <v>-37.932663000187787</v>
      </c>
      <c r="AT10" s="10">
        <v>-44.507667952425656</v>
      </c>
    </row>
    <row r="11" spans="1:46" x14ac:dyDescent="0.25">
      <c r="A11" s="8">
        <v>46022</v>
      </c>
      <c r="B11" s="7" t="s">
        <v>46</v>
      </c>
      <c r="C11" s="7" t="s">
        <v>47</v>
      </c>
      <c r="D11" s="7" t="s">
        <v>48</v>
      </c>
      <c r="E11" s="9">
        <v>51.00215</v>
      </c>
      <c r="F11" s="9">
        <v>0.93</v>
      </c>
      <c r="G11" s="10">
        <v>16.967539624648879</v>
      </c>
      <c r="H11" s="10">
        <v>13.841543</v>
      </c>
      <c r="I11" s="10">
        <v>4.2952569096910107</v>
      </c>
      <c r="J11" s="10">
        <v>36.575065955126412</v>
      </c>
      <c r="K11" s="10">
        <v>71.679405489466305</v>
      </c>
      <c r="L11" s="10">
        <v>25.030989506179765</v>
      </c>
      <c r="M11" s="10">
        <v>12.676716780617978</v>
      </c>
      <c r="N11" s="10">
        <v>50.553571424719102</v>
      </c>
      <c r="O11" s="10">
        <v>67.363911174297755</v>
      </c>
      <c r="P11" s="10">
        <v>155.62518888581459</v>
      </c>
      <c r="Q11" s="10">
        <v>0</v>
      </c>
      <c r="R11" s="10">
        <v>0</v>
      </c>
      <c r="S11" s="10">
        <v>0</v>
      </c>
      <c r="T11" s="10">
        <v>0</v>
      </c>
      <c r="U11" s="10">
        <v>0</v>
      </c>
      <c r="V11" s="10">
        <v>227.30459437528091</v>
      </c>
      <c r="W11" s="10">
        <v>0</v>
      </c>
      <c r="X11" s="10">
        <v>227.30459437528091</v>
      </c>
      <c r="Y11" s="10">
        <v>0</v>
      </c>
      <c r="Z11" s="10">
        <v>5.9818537666914038</v>
      </c>
      <c r="AA11" s="10">
        <v>233.2864481419723</v>
      </c>
      <c r="AB11" s="10">
        <v>0</v>
      </c>
      <c r="AC11" s="10">
        <v>25.843656262219096</v>
      </c>
      <c r="AD11" s="10">
        <v>0</v>
      </c>
      <c r="AE11" s="10">
        <v>0</v>
      </c>
      <c r="AF11" s="10">
        <v>259.1301044041914</v>
      </c>
      <c r="AG11" s="10">
        <v>233.2864481419723</v>
      </c>
      <c r="AH11" s="10">
        <v>68.610099579283698</v>
      </c>
      <c r="AI11" s="10">
        <v>0</v>
      </c>
      <c r="AJ11" s="10">
        <v>0</v>
      </c>
      <c r="AK11" s="10">
        <v>9.8014426542134832</v>
      </c>
      <c r="AL11" s="10">
        <v>311.69799037546949</v>
      </c>
      <c r="AM11" s="10">
        <v>0</v>
      </c>
      <c r="AN11" s="10">
        <v>0</v>
      </c>
      <c r="AO11" s="10">
        <v>0</v>
      </c>
      <c r="AP11" s="10">
        <v>0</v>
      </c>
      <c r="AQ11" s="10">
        <v>0</v>
      </c>
      <c r="AR11" s="10">
        <v>311.69799037546949</v>
      </c>
      <c r="AS11" s="10">
        <v>181.8954099382627</v>
      </c>
      <c r="AT11" s="10">
        <v>175.91355617157129</v>
      </c>
    </row>
    <row r="12" spans="1:46" x14ac:dyDescent="0.25">
      <c r="A12" s="8">
        <v>46022</v>
      </c>
      <c r="B12" s="7" t="s">
        <v>52</v>
      </c>
      <c r="C12" s="7" t="s">
        <v>53</v>
      </c>
      <c r="D12" s="7" t="s">
        <v>54</v>
      </c>
      <c r="E12" s="9">
        <v>0.51885000000000003</v>
      </c>
      <c r="F12" s="9">
        <v>0.92</v>
      </c>
      <c r="G12" s="10">
        <v>411.86461196507668</v>
      </c>
      <c r="H12" s="10">
        <v>22.376449999999998</v>
      </c>
      <c r="I12" s="10">
        <v>119.49723260317968</v>
      </c>
      <c r="J12" s="10">
        <v>157.54582800889219</v>
      </c>
      <c r="K12" s="10">
        <v>711.28412257714865</v>
      </c>
      <c r="L12" s="10">
        <v>202.61485260763078</v>
      </c>
      <c r="M12" s="10">
        <v>1.6443660093055998</v>
      </c>
      <c r="N12" s="10">
        <v>9.1311317801506302</v>
      </c>
      <c r="O12" s="10">
        <v>89.298074015401269</v>
      </c>
      <c r="P12" s="10">
        <v>302.6884244124883</v>
      </c>
      <c r="Q12" s="10">
        <v>0</v>
      </c>
      <c r="R12" s="10">
        <v>0</v>
      </c>
      <c r="S12" s="10">
        <v>0</v>
      </c>
      <c r="T12" s="10">
        <v>0</v>
      </c>
      <c r="U12" s="10">
        <v>0</v>
      </c>
      <c r="V12" s="10">
        <v>1013.972546989637</v>
      </c>
      <c r="W12" s="10">
        <v>15.057200061966331</v>
      </c>
      <c r="X12" s="10">
        <v>1029.029747051603</v>
      </c>
      <c r="Y12" s="10">
        <v>0</v>
      </c>
      <c r="Z12" s="10">
        <v>0.41015242098942123</v>
      </c>
      <c r="AA12" s="10">
        <v>1029.4398994725925</v>
      </c>
      <c r="AB12" s="10">
        <v>0</v>
      </c>
      <c r="AC12" s="10">
        <v>50.549922891720023</v>
      </c>
      <c r="AD12" s="10">
        <v>0</v>
      </c>
      <c r="AE12" s="10">
        <v>0</v>
      </c>
      <c r="AF12" s="10">
        <v>1079.9898223643124</v>
      </c>
      <c r="AG12" s="10">
        <v>1029.4398994725925</v>
      </c>
      <c r="AH12" s="10">
        <v>42.285835464354811</v>
      </c>
      <c r="AI12" s="10">
        <v>0</v>
      </c>
      <c r="AJ12" s="10">
        <v>0</v>
      </c>
      <c r="AK12" s="10">
        <v>50.549922891720023</v>
      </c>
      <c r="AL12" s="10">
        <v>1122.2756578286676</v>
      </c>
      <c r="AM12" s="10">
        <v>0</v>
      </c>
      <c r="AN12" s="10">
        <v>0</v>
      </c>
      <c r="AO12" s="10">
        <v>0</v>
      </c>
      <c r="AP12" s="10">
        <v>0</v>
      </c>
      <c r="AQ12" s="10">
        <v>0</v>
      </c>
      <c r="AR12" s="10">
        <v>1122.2756578286676</v>
      </c>
      <c r="AS12" s="10">
        <v>-416.86431195475444</v>
      </c>
      <c r="AT12" s="10">
        <v>-417.27446437574389</v>
      </c>
    </row>
    <row r="13" spans="1:46" x14ac:dyDescent="0.25">
      <c r="A13" s="8">
        <v>46022</v>
      </c>
      <c r="B13" s="7" t="s">
        <v>55</v>
      </c>
      <c r="C13" s="7" t="s">
        <v>56</v>
      </c>
      <c r="D13" s="7" t="s">
        <v>57</v>
      </c>
      <c r="E13" s="9">
        <v>7.82</v>
      </c>
      <c r="F13" s="9">
        <v>0.81200000000000006</v>
      </c>
      <c r="G13" s="10">
        <v>207.37043999999997</v>
      </c>
      <c r="H13" s="10">
        <v>168.98089300000001</v>
      </c>
      <c r="I13" s="10">
        <v>9.0398899999999998</v>
      </c>
      <c r="J13" s="10">
        <v>224.779549</v>
      </c>
      <c r="K13" s="10">
        <v>610.17077199999994</v>
      </c>
      <c r="L13" s="10">
        <v>239.67715500000003</v>
      </c>
      <c r="M13" s="10">
        <v>50.554082000000008</v>
      </c>
      <c r="N13" s="10">
        <v>19.358142999999995</v>
      </c>
      <c r="O13" s="10">
        <v>138.38033499999997</v>
      </c>
      <c r="P13" s="10">
        <v>447.96971500000001</v>
      </c>
      <c r="Q13" s="10">
        <v>0</v>
      </c>
      <c r="R13" s="10">
        <v>0</v>
      </c>
      <c r="S13" s="10">
        <v>0</v>
      </c>
      <c r="T13" s="10">
        <v>0</v>
      </c>
      <c r="U13" s="10">
        <v>0</v>
      </c>
      <c r="V13" s="10">
        <v>1058.1404869999997</v>
      </c>
      <c r="W13" s="10">
        <v>49.162410000000008</v>
      </c>
      <c r="X13" s="10">
        <v>1107.3028969999998</v>
      </c>
      <c r="Y13" s="10">
        <v>0</v>
      </c>
      <c r="Z13" s="10">
        <v>1.1150179460376277</v>
      </c>
      <c r="AA13" s="10">
        <v>1108.4179149460381</v>
      </c>
      <c r="AB13" s="10">
        <v>0</v>
      </c>
      <c r="AC13" s="10">
        <v>530.11955999999998</v>
      </c>
      <c r="AD13" s="10">
        <v>0</v>
      </c>
      <c r="AE13" s="10">
        <v>0</v>
      </c>
      <c r="AF13" s="10">
        <v>1638.5374749460377</v>
      </c>
      <c r="AG13" s="10">
        <v>1108.4179149460381</v>
      </c>
      <c r="AH13" s="10">
        <v>723.36180000000024</v>
      </c>
      <c r="AI13" s="10">
        <v>0</v>
      </c>
      <c r="AJ13" s="10">
        <v>0</v>
      </c>
      <c r="AK13" s="10">
        <v>515.33576000000005</v>
      </c>
      <c r="AL13" s="10">
        <v>2347.1154749460379</v>
      </c>
      <c r="AM13" s="10">
        <v>0</v>
      </c>
      <c r="AN13" s="10">
        <v>0</v>
      </c>
      <c r="AO13" s="10">
        <v>0</v>
      </c>
      <c r="AP13" s="10">
        <v>0</v>
      </c>
      <c r="AQ13" s="10">
        <v>0</v>
      </c>
      <c r="AR13" s="10">
        <v>2347.1154749460379</v>
      </c>
      <c r="AS13" s="10">
        <v>-640.10355748593361</v>
      </c>
      <c r="AT13" s="10">
        <v>-641.21857543197109</v>
      </c>
    </row>
    <row r="14" spans="1:46" x14ac:dyDescent="0.25">
      <c r="A14" s="8">
        <v>46022</v>
      </c>
      <c r="B14" s="7" t="s">
        <v>89</v>
      </c>
      <c r="C14" s="7" t="s">
        <v>90</v>
      </c>
      <c r="D14" s="7" t="s">
        <v>91</v>
      </c>
      <c r="E14" s="9">
        <v>31.233339999999998</v>
      </c>
      <c r="F14" s="9">
        <v>0.91</v>
      </c>
      <c r="G14" s="10">
        <v>68.282958409783063</v>
      </c>
      <c r="H14" s="10">
        <v>56.286554993919999</v>
      </c>
      <c r="I14" s="10">
        <v>0.29345400000000005</v>
      </c>
      <c r="J14" s="10">
        <v>82.441376943049619</v>
      </c>
      <c r="K14" s="10">
        <v>207.30434434675274</v>
      </c>
      <c r="L14" s="10">
        <v>144.7933339026838</v>
      </c>
      <c r="M14" s="10">
        <v>58.26704436004276</v>
      </c>
      <c r="N14" s="10">
        <v>13.893298205565859</v>
      </c>
      <c r="O14" s="10">
        <v>137.8434558364215</v>
      </c>
      <c r="P14" s="10">
        <v>354.7971323047139</v>
      </c>
      <c r="Q14" s="10">
        <v>0</v>
      </c>
      <c r="R14" s="10">
        <v>0</v>
      </c>
      <c r="S14" s="10">
        <v>0</v>
      </c>
      <c r="T14" s="10">
        <v>0</v>
      </c>
      <c r="U14" s="10">
        <v>0</v>
      </c>
      <c r="V14" s="10">
        <v>562.10147665146656</v>
      </c>
      <c r="W14" s="10">
        <v>0</v>
      </c>
      <c r="X14" s="10">
        <v>562.10147665146656</v>
      </c>
      <c r="Y14" s="10">
        <v>0</v>
      </c>
      <c r="Z14" s="10">
        <v>2.8669786084698479</v>
      </c>
      <c r="AA14" s="10">
        <v>564.96845525993649</v>
      </c>
      <c r="AB14" s="10">
        <v>0</v>
      </c>
      <c r="AC14" s="10">
        <v>232.41896324126159</v>
      </c>
      <c r="AD14" s="10">
        <v>0</v>
      </c>
      <c r="AE14" s="10">
        <v>0</v>
      </c>
      <c r="AF14" s="10">
        <v>797.387418501198</v>
      </c>
      <c r="AG14" s="10">
        <v>564.96845525993649</v>
      </c>
      <c r="AH14" s="10">
        <v>22.298386055139719</v>
      </c>
      <c r="AI14" s="10">
        <v>0</v>
      </c>
      <c r="AJ14" s="10">
        <v>0</v>
      </c>
      <c r="AK14" s="10">
        <v>224.55158133554491</v>
      </c>
      <c r="AL14" s="10">
        <v>811.81842265062107</v>
      </c>
      <c r="AM14" s="10">
        <v>0</v>
      </c>
      <c r="AN14" s="10">
        <v>0</v>
      </c>
      <c r="AO14" s="10">
        <v>0</v>
      </c>
      <c r="AP14" s="10">
        <v>0</v>
      </c>
      <c r="AQ14" s="10">
        <v>0</v>
      </c>
      <c r="AR14" s="10">
        <v>811.81842265062107</v>
      </c>
      <c r="AS14" s="10">
        <v>140.10916668670987</v>
      </c>
      <c r="AT14" s="10">
        <v>137.24218807823999</v>
      </c>
    </row>
    <row r="15" spans="1:46" x14ac:dyDescent="0.25">
      <c r="A15" s="8">
        <v>46022</v>
      </c>
      <c r="B15" s="7" t="s">
        <v>93</v>
      </c>
      <c r="C15" s="7" t="s">
        <v>94</v>
      </c>
      <c r="D15" s="7" t="s">
        <v>91</v>
      </c>
      <c r="E15" s="9">
        <v>7.79704</v>
      </c>
      <c r="F15" s="9">
        <v>0.92170005540564115</v>
      </c>
      <c r="G15" s="10">
        <v>32.499992774659241</v>
      </c>
      <c r="H15" s="10">
        <v>26.026311434879997</v>
      </c>
      <c r="I15" s="10">
        <v>1.6703477383302407</v>
      </c>
      <c r="J15" s="10">
        <v>44.937021856999991</v>
      </c>
      <c r="K15" s="10">
        <v>105.13367380486949</v>
      </c>
      <c r="L15" s="10">
        <v>79.8174412250778</v>
      </c>
      <c r="M15" s="10">
        <v>66.314766083523693</v>
      </c>
      <c r="N15" s="10">
        <v>95.03560082315397</v>
      </c>
      <c r="O15" s="10">
        <v>245.6644500853337</v>
      </c>
      <c r="P15" s="10">
        <v>486.83225821708919</v>
      </c>
      <c r="Q15" s="10">
        <v>0</v>
      </c>
      <c r="R15" s="10">
        <v>0</v>
      </c>
      <c r="S15" s="10">
        <v>0</v>
      </c>
      <c r="T15" s="10">
        <v>0</v>
      </c>
      <c r="U15" s="10">
        <v>0</v>
      </c>
      <c r="V15" s="10">
        <v>591.96593202195857</v>
      </c>
      <c r="W15" s="10">
        <v>55.351148292763689</v>
      </c>
      <c r="X15" s="10">
        <v>647.31708031472226</v>
      </c>
      <c r="Y15" s="10">
        <v>0</v>
      </c>
      <c r="Z15" s="10">
        <v>0.89210509066789168</v>
      </c>
      <c r="AA15" s="10">
        <v>648.20918540539026</v>
      </c>
      <c r="AB15" s="10">
        <v>0</v>
      </c>
      <c r="AC15" s="10">
        <v>334.96118738404448</v>
      </c>
      <c r="AD15" s="10">
        <v>0</v>
      </c>
      <c r="AE15" s="10">
        <v>0</v>
      </c>
      <c r="AF15" s="10">
        <v>983.17037278943474</v>
      </c>
      <c r="AG15" s="10">
        <v>648.20918540539026</v>
      </c>
      <c r="AH15" s="10">
        <v>26.277404929491937</v>
      </c>
      <c r="AI15" s="10">
        <v>0</v>
      </c>
      <c r="AJ15" s="10">
        <v>0</v>
      </c>
      <c r="AK15" s="10">
        <v>323.62275119109455</v>
      </c>
      <c r="AL15" s="10">
        <v>998.10934152597679</v>
      </c>
      <c r="AM15" s="10">
        <v>0</v>
      </c>
      <c r="AN15" s="10">
        <v>0</v>
      </c>
      <c r="AO15" s="10">
        <v>0</v>
      </c>
      <c r="AP15" s="10">
        <v>0</v>
      </c>
      <c r="AQ15" s="10">
        <v>0</v>
      </c>
      <c r="AR15" s="10">
        <v>998.10934152597679</v>
      </c>
      <c r="AS15" s="10">
        <v>96.671917817902326</v>
      </c>
      <c r="AT15" s="10">
        <v>95.779812727234471</v>
      </c>
    </row>
    <row r="16" spans="1:46" x14ac:dyDescent="0.25">
      <c r="A16" s="8">
        <v>46022</v>
      </c>
      <c r="B16" s="7" t="s">
        <v>58</v>
      </c>
      <c r="C16" s="7" t="s">
        <v>59</v>
      </c>
      <c r="D16" s="7" t="s">
        <v>60</v>
      </c>
      <c r="E16" s="9">
        <v>7.8637300000000003</v>
      </c>
      <c r="F16" s="9">
        <v>0.91014133114946716</v>
      </c>
      <c r="G16" s="10">
        <v>299.51320395140482</v>
      </c>
      <c r="H16" s="10">
        <v>48.408631000000007</v>
      </c>
      <c r="I16" s="10">
        <v>147.385461743538</v>
      </c>
      <c r="J16" s="10">
        <v>112.9604505990843</v>
      </c>
      <c r="K16" s="10">
        <v>608.267747294027</v>
      </c>
      <c r="L16" s="10">
        <v>211.688546218564</v>
      </c>
      <c r="M16" s="10">
        <v>20.465658650010411</v>
      </c>
      <c r="N16" s="10">
        <v>16.944663898064519</v>
      </c>
      <c r="O16" s="10">
        <v>137.63389719246618</v>
      </c>
      <c r="P16" s="10">
        <v>386.73276595910511</v>
      </c>
      <c r="Q16" s="10">
        <v>0</v>
      </c>
      <c r="R16" s="10">
        <v>0</v>
      </c>
      <c r="S16" s="10">
        <v>0</v>
      </c>
      <c r="T16" s="10">
        <v>0</v>
      </c>
      <c r="U16" s="10">
        <v>0</v>
      </c>
      <c r="V16" s="10">
        <v>995.00051325313234</v>
      </c>
      <c r="W16" s="10">
        <v>12.764329836711761</v>
      </c>
      <c r="X16" s="10">
        <v>1007.7648430898441</v>
      </c>
      <c r="Y16" s="10">
        <v>0</v>
      </c>
      <c r="Z16" s="10">
        <v>0.67538973011426906</v>
      </c>
      <c r="AA16" s="10">
        <v>1008.4402328199581</v>
      </c>
      <c r="AB16" s="10">
        <v>28.354884367804374</v>
      </c>
      <c r="AC16" s="10">
        <v>200.98656725063483</v>
      </c>
      <c r="AD16" s="10">
        <v>0</v>
      </c>
      <c r="AE16" s="10">
        <v>0</v>
      </c>
      <c r="AF16" s="10">
        <v>1237.781684438397</v>
      </c>
      <c r="AG16" s="10">
        <v>1008.4402328199581</v>
      </c>
      <c r="AH16" s="10">
        <v>149.64457307413113</v>
      </c>
      <c r="AI16" s="10">
        <v>28.354884367804374</v>
      </c>
      <c r="AJ16" s="10">
        <v>0</v>
      </c>
      <c r="AK16" s="10">
        <v>165.88879343288241</v>
      </c>
      <c r="AL16" s="10">
        <v>1352.328483694776</v>
      </c>
      <c r="AM16" s="10">
        <v>0</v>
      </c>
      <c r="AN16" s="10">
        <v>0</v>
      </c>
      <c r="AO16" s="10">
        <v>0</v>
      </c>
      <c r="AP16" s="10">
        <v>0</v>
      </c>
      <c r="AQ16" s="10">
        <v>0</v>
      </c>
      <c r="AR16" s="10">
        <v>1352.328483694776</v>
      </c>
      <c r="AS16" s="10">
        <v>-626.63908114226956</v>
      </c>
      <c r="AT16" s="10">
        <v>-627.31447087238371</v>
      </c>
    </row>
    <row r="17" spans="1:46" x14ac:dyDescent="0.25">
      <c r="A17" s="8">
        <v>46022</v>
      </c>
      <c r="B17" s="7" t="s">
        <v>61</v>
      </c>
      <c r="C17" s="7" t="s">
        <v>62</v>
      </c>
      <c r="D17" s="7" t="s">
        <v>63</v>
      </c>
      <c r="E17" s="9">
        <v>4.8166700000000002</v>
      </c>
      <c r="F17" s="9">
        <v>0.95999999999999985</v>
      </c>
      <c r="G17" s="10">
        <v>11.919879951514758</v>
      </c>
      <c r="H17" s="10">
        <v>19.807220999999995</v>
      </c>
      <c r="I17" s="10">
        <v>69.672342096817204</v>
      </c>
      <c r="J17" s="10">
        <v>118.41389425494658</v>
      </c>
      <c r="K17" s="10">
        <v>219.81333730327856</v>
      </c>
      <c r="L17" s="10">
        <v>55.319760338846571</v>
      </c>
      <c r="M17" s="10">
        <v>21.801621227373811</v>
      </c>
      <c r="N17" s="10">
        <v>29.130426656918651</v>
      </c>
      <c r="O17" s="10">
        <v>594.52590108905497</v>
      </c>
      <c r="P17" s="10">
        <v>700.77770931219402</v>
      </c>
      <c r="Q17" s="10">
        <v>0</v>
      </c>
      <c r="R17" s="10">
        <v>0</v>
      </c>
      <c r="S17" s="10">
        <v>0</v>
      </c>
      <c r="T17" s="10">
        <v>0</v>
      </c>
      <c r="U17" s="10">
        <v>0</v>
      </c>
      <c r="V17" s="10">
        <v>920.59104661547246</v>
      </c>
      <c r="W17" s="10">
        <v>12.479932137175558</v>
      </c>
      <c r="X17" s="10">
        <v>933.0709787526481</v>
      </c>
      <c r="Y17" s="10">
        <v>0</v>
      </c>
      <c r="Z17" s="10">
        <v>5.4569743478732669</v>
      </c>
      <c r="AA17" s="10">
        <v>938.52795310052147</v>
      </c>
      <c r="AB17" s="10">
        <v>20.761252882485191</v>
      </c>
      <c r="AC17" s="10">
        <v>12.915840281681838</v>
      </c>
      <c r="AD17" s="10">
        <v>0</v>
      </c>
      <c r="AE17" s="10">
        <v>0</v>
      </c>
      <c r="AF17" s="10">
        <v>972.20504626468835</v>
      </c>
      <c r="AG17" s="10">
        <v>938.52795310052147</v>
      </c>
      <c r="AH17" s="10">
        <v>4.6029555259085484</v>
      </c>
      <c r="AI17" s="10">
        <v>20.761252882485191</v>
      </c>
      <c r="AJ17" s="10">
        <v>0</v>
      </c>
      <c r="AK17" s="10">
        <v>4.6029555259085484</v>
      </c>
      <c r="AL17" s="10">
        <v>968.49511703482347</v>
      </c>
      <c r="AM17" s="10">
        <v>0</v>
      </c>
      <c r="AN17" s="10">
        <v>0</v>
      </c>
      <c r="AO17" s="10">
        <v>0</v>
      </c>
      <c r="AP17" s="10">
        <v>0</v>
      </c>
      <c r="AQ17" s="10">
        <v>0</v>
      </c>
      <c r="AR17" s="10">
        <v>968.49511703482347</v>
      </c>
      <c r="AS17" s="10">
        <v>-331.19939527277506</v>
      </c>
      <c r="AT17" s="10">
        <v>-336.65636962064832</v>
      </c>
    </row>
    <row r="18" spans="1:46" x14ac:dyDescent="0.25">
      <c r="A18" s="8">
        <v>46022</v>
      </c>
      <c r="B18" s="7" t="s">
        <v>64</v>
      </c>
      <c r="C18" s="7" t="s">
        <v>65</v>
      </c>
      <c r="D18" s="7" t="s">
        <v>48</v>
      </c>
      <c r="E18" s="9">
        <v>189.47368</v>
      </c>
      <c r="F18" s="9">
        <v>0.94999999999999984</v>
      </c>
      <c r="G18" s="10">
        <v>19.749687374508429</v>
      </c>
      <c r="H18" s="10">
        <v>23.673822000000001</v>
      </c>
      <c r="I18" s="10">
        <v>4.0658792438202243</v>
      </c>
      <c r="J18" s="10">
        <v>41.048726271910112</v>
      </c>
      <c r="K18" s="10">
        <v>88.538114890238759</v>
      </c>
      <c r="L18" s="10">
        <v>22.483146383988771</v>
      </c>
      <c r="M18" s="10">
        <v>9.2359558127808992</v>
      </c>
      <c r="N18" s="10">
        <v>43.820224265870792</v>
      </c>
      <c r="O18" s="10">
        <v>38.352731368047749</v>
      </c>
      <c r="P18" s="10">
        <v>113.8920578306882</v>
      </c>
      <c r="Q18" s="10">
        <v>0</v>
      </c>
      <c r="R18" s="10">
        <v>0</v>
      </c>
      <c r="S18" s="10">
        <v>0</v>
      </c>
      <c r="T18" s="10">
        <v>0</v>
      </c>
      <c r="U18" s="10">
        <v>0</v>
      </c>
      <c r="V18" s="10">
        <v>202.430172720927</v>
      </c>
      <c r="W18" s="10">
        <v>0</v>
      </c>
      <c r="X18" s="10">
        <v>202.430172720927</v>
      </c>
      <c r="Y18" s="10">
        <v>0</v>
      </c>
      <c r="Z18" s="10">
        <v>23.28531341223448</v>
      </c>
      <c r="AA18" s="10">
        <v>225.71548613316136</v>
      </c>
      <c r="AB18" s="10">
        <v>0</v>
      </c>
      <c r="AC18" s="10">
        <v>31.5151431747191</v>
      </c>
      <c r="AD18" s="10">
        <v>0</v>
      </c>
      <c r="AE18" s="10">
        <v>0</v>
      </c>
      <c r="AF18" s="10">
        <v>257.23062930788058</v>
      </c>
      <c r="AG18" s="10">
        <v>225.71548613316136</v>
      </c>
      <c r="AH18" s="10">
        <v>60.727555577528101</v>
      </c>
      <c r="AI18" s="10">
        <v>0</v>
      </c>
      <c r="AJ18" s="10">
        <v>0</v>
      </c>
      <c r="AK18" s="10">
        <v>12.145510715589889</v>
      </c>
      <c r="AL18" s="10">
        <v>298.58855242627942</v>
      </c>
      <c r="AM18" s="10">
        <v>0</v>
      </c>
      <c r="AN18" s="10">
        <v>0</v>
      </c>
      <c r="AO18" s="10">
        <v>0</v>
      </c>
      <c r="AP18" s="10">
        <v>0</v>
      </c>
      <c r="AQ18" s="10">
        <v>0</v>
      </c>
      <c r="AR18" s="10">
        <v>298.58855242627942</v>
      </c>
      <c r="AS18" s="10">
        <v>215.56983656796214</v>
      </c>
      <c r="AT18" s="10">
        <v>192.28452315572761</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8"/>
  <sheetViews>
    <sheetView workbookViewId="0"/>
  </sheetViews>
  <sheetFormatPr defaultRowHeight="15" x14ac:dyDescent="0.25"/>
  <cols>
    <col min="1" max="1" width="48.5703125" customWidth="1"/>
    <col min="2" max="2" width="24.140625" customWidth="1"/>
    <col min="3" max="3" width="16.140625" customWidth="1"/>
    <col min="4" max="4" width="21.7109375" customWidth="1"/>
    <col min="5" max="6" width="17.5703125" customWidth="1"/>
    <col min="7" max="7" width="16.140625" customWidth="1"/>
    <col min="8" max="8" width="20.5703125" customWidth="1"/>
    <col min="9" max="9" width="17.5703125" customWidth="1"/>
    <col min="10" max="10" width="20.5703125" customWidth="1"/>
    <col min="11" max="11" width="16.85546875" customWidth="1"/>
    <col min="12" max="13" width="20.5703125" customWidth="1"/>
    <col min="14" max="14" width="19.5703125" customWidth="1"/>
    <col min="15" max="15" width="17.5703125" customWidth="1"/>
    <col min="16" max="16" width="19.5703125" customWidth="1"/>
    <col min="17" max="17" width="16.140625" customWidth="1"/>
    <col min="18" max="18" width="20.5703125" customWidth="1"/>
    <col min="19" max="22" width="21.5703125" customWidth="1"/>
  </cols>
  <sheetData>
    <row r="1" spans="1:22" ht="39.950000000000003" customHeight="1" x14ac:dyDescent="0.25">
      <c r="A1" s="3"/>
      <c r="B1" s="3"/>
      <c r="C1" s="3"/>
      <c r="D1" s="3"/>
    </row>
    <row r="2" spans="1:22" ht="30" customHeight="1" x14ac:dyDescent="0.3">
      <c r="A2" s="4" t="s">
        <v>115</v>
      </c>
      <c r="B2" s="5"/>
      <c r="C2" s="5"/>
      <c r="D2" s="5"/>
      <c r="E2" s="5"/>
      <c r="F2" s="5"/>
      <c r="G2" s="5"/>
      <c r="H2" s="5"/>
      <c r="I2" s="5"/>
      <c r="J2" s="5"/>
      <c r="K2" s="5"/>
      <c r="L2" s="5"/>
      <c r="M2" s="5"/>
      <c r="N2" s="5"/>
      <c r="O2" s="5"/>
      <c r="P2" s="5"/>
      <c r="Q2" s="5"/>
      <c r="R2" s="5"/>
      <c r="S2" s="5"/>
      <c r="T2" s="5"/>
      <c r="U2" s="5"/>
      <c r="V2" s="5"/>
    </row>
    <row r="3" spans="1:22" x14ac:dyDescent="0.25">
      <c r="A3" s="6" t="s">
        <v>0</v>
      </c>
    </row>
    <row r="4" spans="1:22" x14ac:dyDescent="0.25">
      <c r="A4" s="6" t="s">
        <v>1</v>
      </c>
    </row>
    <row r="5" spans="1:22" x14ac:dyDescent="0.25">
      <c r="A5" s="7"/>
    </row>
    <row r="6" spans="1:22" x14ac:dyDescent="0.25">
      <c r="A6" s="2" t="s">
        <v>3</v>
      </c>
      <c r="B6" s="2" t="s">
        <v>4</v>
      </c>
      <c r="C6" s="2" t="s">
        <v>5</v>
      </c>
      <c r="D6" s="2" t="s">
        <v>6</v>
      </c>
      <c r="E6" s="1" t="s">
        <v>97</v>
      </c>
      <c r="F6" s="1" t="s">
        <v>98</v>
      </c>
      <c r="G6" s="1" t="s">
        <v>99</v>
      </c>
      <c r="H6" s="1" t="s">
        <v>100</v>
      </c>
      <c r="I6" s="1" t="s">
        <v>101</v>
      </c>
      <c r="J6" s="1" t="s">
        <v>102</v>
      </c>
      <c r="K6" s="1" t="s">
        <v>103</v>
      </c>
      <c r="L6" s="1" t="s">
        <v>104</v>
      </c>
      <c r="M6" s="1" t="s">
        <v>105</v>
      </c>
      <c r="N6" s="1" t="s">
        <v>106</v>
      </c>
      <c r="O6" s="1" t="s">
        <v>107</v>
      </c>
      <c r="P6" s="1" t="s">
        <v>108</v>
      </c>
      <c r="Q6" s="1" t="s">
        <v>109</v>
      </c>
      <c r="R6" s="1" t="s">
        <v>110</v>
      </c>
      <c r="S6" s="1" t="s">
        <v>111</v>
      </c>
      <c r="T6" s="1" t="s">
        <v>112</v>
      </c>
      <c r="U6" s="1" t="s">
        <v>113</v>
      </c>
      <c r="V6" s="1" t="s">
        <v>114</v>
      </c>
    </row>
    <row r="7" spans="1:22" x14ac:dyDescent="0.25">
      <c r="A7" s="2"/>
      <c r="B7" s="2"/>
      <c r="C7" s="2"/>
      <c r="D7" s="2"/>
      <c r="E7" s="1"/>
      <c r="F7" s="1"/>
      <c r="G7" s="1"/>
      <c r="H7" s="1"/>
      <c r="I7" s="1"/>
      <c r="J7" s="1"/>
      <c r="K7" s="1"/>
      <c r="L7" s="1"/>
      <c r="M7" s="1"/>
      <c r="N7" s="1"/>
      <c r="O7" s="1"/>
      <c r="P7" s="1"/>
      <c r="Q7" s="1"/>
      <c r="R7" s="1"/>
      <c r="S7" s="1"/>
      <c r="T7" s="1"/>
      <c r="U7" s="1"/>
      <c r="V7" s="1"/>
    </row>
    <row r="8" spans="1:22" x14ac:dyDescent="0.25">
      <c r="A8" s="2"/>
      <c r="B8" s="2"/>
      <c r="C8" s="2"/>
      <c r="D8" s="2"/>
      <c r="E8" s="1"/>
      <c r="F8" s="1"/>
      <c r="G8" s="1"/>
      <c r="H8" s="1"/>
      <c r="I8" s="1"/>
      <c r="J8" s="1"/>
      <c r="K8" s="1"/>
      <c r="L8" s="1"/>
      <c r="M8" s="1"/>
      <c r="N8" s="1"/>
      <c r="O8" s="1"/>
      <c r="P8" s="1"/>
      <c r="Q8" s="1"/>
      <c r="R8" s="1"/>
      <c r="S8" s="1"/>
      <c r="T8" s="1"/>
      <c r="U8" s="1"/>
      <c r="V8" s="1"/>
    </row>
    <row r="9" spans="1:22" x14ac:dyDescent="0.25">
      <c r="A9" s="2"/>
      <c r="B9" s="2"/>
      <c r="C9" s="2"/>
      <c r="D9" s="2"/>
      <c r="E9" s="1"/>
      <c r="F9" s="1"/>
      <c r="G9" s="1"/>
      <c r="H9" s="1"/>
      <c r="I9" s="1"/>
      <c r="J9" s="1"/>
      <c r="K9" s="1"/>
      <c r="L9" s="1"/>
      <c r="M9" s="1"/>
      <c r="N9" s="1"/>
      <c r="O9" s="1"/>
      <c r="P9" s="1"/>
      <c r="Q9" s="1"/>
      <c r="R9" s="1"/>
      <c r="S9" s="1"/>
      <c r="T9" s="1"/>
      <c r="U9" s="1"/>
      <c r="V9" s="1"/>
    </row>
    <row r="10" spans="1:22" x14ac:dyDescent="0.25">
      <c r="A10" s="8">
        <v>46022</v>
      </c>
      <c r="B10" s="7" t="s">
        <v>43</v>
      </c>
      <c r="C10" s="7" t="s">
        <v>44</v>
      </c>
      <c r="D10" s="7" t="s">
        <v>45</v>
      </c>
      <c r="E10" s="9">
        <v>26.547612999999998</v>
      </c>
      <c r="F10" s="9">
        <v>16.639327999999999</v>
      </c>
      <c r="G10" s="9">
        <v>0</v>
      </c>
      <c r="H10" s="9">
        <v>0.95500399999999996</v>
      </c>
      <c r="I10" s="9">
        <v>12.104587</v>
      </c>
      <c r="J10" s="9">
        <v>4.3451690000000003</v>
      </c>
      <c r="K10" s="9">
        <v>-3.767398</v>
      </c>
      <c r="L10" s="9">
        <v>6.7928249999999997</v>
      </c>
      <c r="M10" s="9">
        <v>0</v>
      </c>
      <c r="N10" s="9">
        <v>29.527688000000001</v>
      </c>
      <c r="O10" s="9">
        <v>0</v>
      </c>
      <c r="P10" s="9">
        <v>29.527688000000001</v>
      </c>
      <c r="Q10" s="10">
        <v>32</v>
      </c>
      <c r="R10" s="9">
        <v>12.74788</v>
      </c>
      <c r="S10" s="9">
        <v>-8.2626089999999994</v>
      </c>
      <c r="T10" s="9">
        <v>-2.757177</v>
      </c>
      <c r="U10" s="9">
        <v>1.3507130000000001</v>
      </c>
      <c r="V10" s="9">
        <v>4.4595019999999996</v>
      </c>
    </row>
    <row r="11" spans="1:22" x14ac:dyDescent="0.25">
      <c r="A11" s="8">
        <v>46022</v>
      </c>
      <c r="B11" s="7" t="s">
        <v>46</v>
      </c>
      <c r="C11" s="7" t="s">
        <v>47</v>
      </c>
      <c r="D11" s="7" t="s">
        <v>48</v>
      </c>
      <c r="E11" s="9">
        <v>21.427641000000001</v>
      </c>
      <c r="F11" s="9">
        <v>0</v>
      </c>
      <c r="G11" s="9">
        <v>0</v>
      </c>
      <c r="H11" s="9">
        <v>0.51552600000000004</v>
      </c>
      <c r="I11" s="9">
        <v>11.593023000000001</v>
      </c>
      <c r="J11" s="9">
        <v>3.499263</v>
      </c>
      <c r="K11" s="9">
        <v>-0.10004</v>
      </c>
      <c r="L11" s="9">
        <v>0.49989499999999998</v>
      </c>
      <c r="M11" s="9">
        <v>0</v>
      </c>
      <c r="N11" s="9">
        <v>20.199997</v>
      </c>
      <c r="O11" s="9">
        <v>4.8204419999999999</v>
      </c>
      <c r="P11" s="9">
        <v>15.379554000000001</v>
      </c>
      <c r="Q11" s="10">
        <v>25</v>
      </c>
      <c r="R11" s="9">
        <v>1.318082</v>
      </c>
      <c r="S11" s="9">
        <v>149.96619000000001</v>
      </c>
      <c r="T11" s="9">
        <v>130.07501600000001</v>
      </c>
      <c r="U11" s="9">
        <v>114.149715</v>
      </c>
      <c r="V11" s="9">
        <v>101.237489</v>
      </c>
    </row>
    <row r="12" spans="1:22" x14ac:dyDescent="0.25">
      <c r="A12" s="8">
        <v>46022</v>
      </c>
      <c r="B12" s="7" t="s">
        <v>52</v>
      </c>
      <c r="C12" s="7" t="s">
        <v>53</v>
      </c>
      <c r="D12" s="7" t="s">
        <v>54</v>
      </c>
      <c r="E12" s="9">
        <v>0.31762200000000002</v>
      </c>
      <c r="F12" s="9">
        <v>7.8120000000000004E-3</v>
      </c>
      <c r="G12" s="9">
        <v>0</v>
      </c>
      <c r="H12" s="9">
        <v>9.826E-2</v>
      </c>
      <c r="I12" s="9">
        <v>0.52609799999999995</v>
      </c>
      <c r="J12" s="9">
        <v>2.1940000000000001E-2</v>
      </c>
      <c r="K12" s="9">
        <v>-1.9389810000000001</v>
      </c>
      <c r="L12" s="9">
        <v>2.6228000000000001E-2</v>
      </c>
      <c r="M12" s="9">
        <v>0</v>
      </c>
      <c r="N12" s="9">
        <v>147.91539</v>
      </c>
      <c r="O12" s="9">
        <v>43.792923000000002</v>
      </c>
      <c r="P12" s="9">
        <v>104.122468</v>
      </c>
      <c r="Q12" s="10">
        <v>30</v>
      </c>
      <c r="R12" s="9">
        <v>2.6228000000000001E-2</v>
      </c>
      <c r="S12" s="9">
        <v>524.30381199999999</v>
      </c>
      <c r="T12" s="9">
        <v>492.537913</v>
      </c>
      <c r="U12" s="9">
        <v>463.66333200000003</v>
      </c>
      <c r="V12" s="9">
        <v>437.352711</v>
      </c>
    </row>
    <row r="13" spans="1:22" x14ac:dyDescent="0.25">
      <c r="A13" s="8">
        <v>46022</v>
      </c>
      <c r="B13" s="7" t="s">
        <v>55</v>
      </c>
      <c r="C13" s="7" t="s">
        <v>56</v>
      </c>
      <c r="D13" s="7" t="s">
        <v>57</v>
      </c>
      <c r="E13" s="9">
        <v>3.6534990000000001</v>
      </c>
      <c r="F13" s="9">
        <v>0.38445000000000001</v>
      </c>
      <c r="G13" s="9">
        <v>0</v>
      </c>
      <c r="H13" s="9">
        <v>0.14185500000000001</v>
      </c>
      <c r="I13" s="9">
        <v>8.2746589999999998</v>
      </c>
      <c r="J13" s="9">
        <v>5.6566890000000001</v>
      </c>
      <c r="K13" s="9">
        <v>-2.5433490000000001</v>
      </c>
      <c r="L13" s="9">
        <v>4.0299259999999997</v>
      </c>
      <c r="M13" s="9">
        <v>4.5437960000000004</v>
      </c>
      <c r="N13" s="9">
        <v>38.950265000000002</v>
      </c>
      <c r="O13" s="9">
        <v>10.821301999999999</v>
      </c>
      <c r="P13" s="9">
        <v>28.128962999999999</v>
      </c>
      <c r="Q13" s="10">
        <v>26.5</v>
      </c>
      <c r="R13" s="9">
        <v>4.1455349999999997</v>
      </c>
      <c r="S13" s="9">
        <v>153.92888199999999</v>
      </c>
      <c r="T13" s="9">
        <v>142.200377</v>
      </c>
      <c r="U13" s="9">
        <v>131.835534</v>
      </c>
      <c r="V13" s="9">
        <v>122.63904599999999</v>
      </c>
    </row>
    <row r="14" spans="1:22" x14ac:dyDescent="0.25">
      <c r="A14" s="8">
        <v>46022</v>
      </c>
      <c r="B14" s="7" t="s">
        <v>89</v>
      </c>
      <c r="C14" s="7" t="s">
        <v>90</v>
      </c>
      <c r="D14" s="7" t="s">
        <v>91</v>
      </c>
      <c r="E14" s="9">
        <v>21.932383999999999</v>
      </c>
      <c r="F14" s="9">
        <v>0</v>
      </c>
      <c r="G14" s="9">
        <v>0</v>
      </c>
      <c r="H14" s="9">
        <v>0.74960000000000004</v>
      </c>
      <c r="I14" s="9">
        <v>17.556307</v>
      </c>
      <c r="J14" s="9">
        <v>0.69645299999999999</v>
      </c>
      <c r="K14" s="9">
        <v>1.247757</v>
      </c>
      <c r="L14" s="9">
        <v>7.013496</v>
      </c>
      <c r="M14" s="9">
        <v>0</v>
      </c>
      <c r="N14" s="9">
        <v>156.336386</v>
      </c>
      <c r="O14" s="9">
        <v>23.600763000000001</v>
      </c>
      <c r="P14" s="9">
        <v>132.735623</v>
      </c>
      <c r="Q14" s="10">
        <v>15</v>
      </c>
      <c r="R14" s="9">
        <v>7.2592210000000001</v>
      </c>
      <c r="S14" s="9">
        <v>955.62872700000003</v>
      </c>
      <c r="T14" s="9">
        <v>869.34879100000001</v>
      </c>
      <c r="U14" s="9">
        <v>794.66714100000002</v>
      </c>
      <c r="V14" s="9">
        <v>729.68789400000003</v>
      </c>
    </row>
    <row r="15" spans="1:22" x14ac:dyDescent="0.25">
      <c r="A15" s="8">
        <v>46022</v>
      </c>
      <c r="B15" s="7" t="s">
        <v>93</v>
      </c>
      <c r="C15" s="7" t="s">
        <v>94</v>
      </c>
      <c r="D15" s="7" t="s">
        <v>91</v>
      </c>
      <c r="E15" s="9">
        <v>5.8009120000000003</v>
      </c>
      <c r="F15" s="9">
        <v>0.43157600000000002</v>
      </c>
      <c r="G15" s="9">
        <v>0</v>
      </c>
      <c r="H15" s="9">
        <v>0.21831700000000001</v>
      </c>
      <c r="I15" s="9">
        <v>4.6155879999999998</v>
      </c>
      <c r="J15" s="9">
        <v>0.20488600000000001</v>
      </c>
      <c r="K15" s="9">
        <v>-2.1546910000000001</v>
      </c>
      <c r="L15" s="9">
        <v>2.5233029999999999</v>
      </c>
      <c r="M15" s="9">
        <v>0</v>
      </c>
      <c r="N15" s="9">
        <v>176.231021</v>
      </c>
      <c r="O15" s="9">
        <v>26.098189000000001</v>
      </c>
      <c r="P15" s="9">
        <v>150.13283200000001</v>
      </c>
      <c r="Q15" s="10">
        <v>15</v>
      </c>
      <c r="R15" s="9">
        <v>2.6117089999999998</v>
      </c>
      <c r="S15" s="9">
        <v>1175.999603</v>
      </c>
      <c r="T15" s="9">
        <v>1068.5972589999999</v>
      </c>
      <c r="U15" s="9">
        <v>975.66832899999997</v>
      </c>
      <c r="V15" s="9">
        <v>894.84531500000003</v>
      </c>
    </row>
    <row r="16" spans="1:22" x14ac:dyDescent="0.25">
      <c r="A16" s="8">
        <v>46022</v>
      </c>
      <c r="B16" s="7" t="s">
        <v>58</v>
      </c>
      <c r="C16" s="7" t="s">
        <v>59</v>
      </c>
      <c r="D16" s="7" t="s">
        <v>60</v>
      </c>
      <c r="E16" s="9">
        <v>2.9970699999999999</v>
      </c>
      <c r="F16" s="9">
        <v>0.10037500000000001</v>
      </c>
      <c r="G16" s="9">
        <v>0</v>
      </c>
      <c r="H16" s="9">
        <v>0.37639499999999998</v>
      </c>
      <c r="I16" s="9">
        <v>7.8244220000000002</v>
      </c>
      <c r="J16" s="9">
        <v>1.37618</v>
      </c>
      <c r="K16" s="9">
        <v>-1.5250060000000001</v>
      </c>
      <c r="L16" s="9">
        <v>1.3045059999999999</v>
      </c>
      <c r="M16" s="9">
        <v>0</v>
      </c>
      <c r="N16" s="9">
        <v>202.944222</v>
      </c>
      <c r="O16" s="9">
        <v>44.251508000000001</v>
      </c>
      <c r="P16" s="9">
        <v>158.692714</v>
      </c>
      <c r="Q16" s="10">
        <v>22</v>
      </c>
      <c r="R16" s="9">
        <v>1.580505</v>
      </c>
      <c r="S16" s="9">
        <v>1761.746699</v>
      </c>
      <c r="T16" s="9">
        <v>1594.5610019999999</v>
      </c>
      <c r="U16" s="9">
        <v>1450.1246980000001</v>
      </c>
      <c r="V16" s="9">
        <v>1324.701836</v>
      </c>
    </row>
    <row r="17" spans="1:22" x14ac:dyDescent="0.25">
      <c r="A17" s="8">
        <v>46022</v>
      </c>
      <c r="B17" s="7" t="s">
        <v>61</v>
      </c>
      <c r="C17" s="7" t="s">
        <v>62</v>
      </c>
      <c r="D17" s="7" t="s">
        <v>63</v>
      </c>
      <c r="E17" s="9">
        <v>2.8990170000000002</v>
      </c>
      <c r="F17" s="9">
        <v>6.0111999999999999E-2</v>
      </c>
      <c r="G17" s="9">
        <v>0</v>
      </c>
      <c r="H17" s="9">
        <v>0.21327399999999999</v>
      </c>
      <c r="I17" s="9">
        <v>3.4129480000000001</v>
      </c>
      <c r="J17" s="9">
        <v>0.117065</v>
      </c>
      <c r="K17" s="9">
        <v>0.384799</v>
      </c>
      <c r="L17" s="9">
        <v>1.7065E-2</v>
      </c>
      <c r="M17" s="9">
        <v>0</v>
      </c>
      <c r="N17" s="9">
        <v>19.31758</v>
      </c>
      <c r="O17" s="9">
        <v>3.9324680000000001</v>
      </c>
      <c r="P17" s="9">
        <v>15.385113</v>
      </c>
      <c r="Q17" s="10">
        <v>20</v>
      </c>
      <c r="R17" s="9">
        <v>5.7105000000000003E-2</v>
      </c>
      <c r="S17" s="9">
        <v>50.269503</v>
      </c>
      <c r="T17" s="9">
        <v>47.554383999999999</v>
      </c>
      <c r="U17" s="9">
        <v>45.100571000000002</v>
      </c>
      <c r="V17" s="9">
        <v>42.873824999999997</v>
      </c>
    </row>
    <row r="18" spans="1:22" x14ac:dyDescent="0.25">
      <c r="A18" s="8">
        <v>46022</v>
      </c>
      <c r="B18" s="7" t="s">
        <v>64</v>
      </c>
      <c r="C18" s="7" t="s">
        <v>65</v>
      </c>
      <c r="D18" s="7" t="s">
        <v>48</v>
      </c>
      <c r="E18" s="9">
        <v>125.277123</v>
      </c>
      <c r="F18" s="9">
        <v>0</v>
      </c>
      <c r="G18" s="9">
        <v>0</v>
      </c>
      <c r="H18" s="9">
        <v>1.9643619999999999</v>
      </c>
      <c r="I18" s="9">
        <v>38.355189000000003</v>
      </c>
      <c r="J18" s="9">
        <v>11.506273</v>
      </c>
      <c r="K18" s="9">
        <v>5.8699999999999996E-4</v>
      </c>
      <c r="L18" s="9">
        <v>2.3012549999999998</v>
      </c>
      <c r="M18" s="9">
        <v>0</v>
      </c>
      <c r="N18" s="9">
        <v>1.6502730000000001</v>
      </c>
      <c r="O18" s="9">
        <v>0</v>
      </c>
      <c r="P18" s="9">
        <v>1.6502730000000001</v>
      </c>
      <c r="Q18" s="10">
        <v>25</v>
      </c>
      <c r="R18" s="9">
        <v>5.9712909999999999</v>
      </c>
      <c r="S18" s="9">
        <v>-378.89406000000002</v>
      </c>
      <c r="T18" s="9">
        <v>-316.417079</v>
      </c>
      <c r="U18" s="9">
        <v>-268.37284699999998</v>
      </c>
      <c r="V18" s="9">
        <v>-230.726775</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0"/>
  <sheetViews>
    <sheetView topLeftCell="A15" zoomScale="90" zoomScaleNormal="90" workbookViewId="0">
      <selection activeCell="A2" sqref="A2:S20"/>
    </sheetView>
  </sheetViews>
  <sheetFormatPr defaultRowHeight="15" x14ac:dyDescent="0.25"/>
  <cols>
    <col min="1" max="1" width="48.5703125" customWidth="1"/>
    <col min="2" max="2" width="24.140625" customWidth="1"/>
    <col min="3" max="3" width="16.140625" customWidth="1"/>
    <col min="4" max="4" width="28.42578125" customWidth="1"/>
    <col min="5" max="5" width="18.5703125" customWidth="1"/>
    <col min="6" max="6" width="16.140625" customWidth="1"/>
    <col min="7" max="7" width="13.85546875" style="15" customWidth="1"/>
    <col min="8" max="8" width="11.7109375" customWidth="1"/>
    <col min="9" max="9" width="11.28515625" customWidth="1"/>
    <col min="10" max="10" width="12.42578125" customWidth="1"/>
  </cols>
  <sheetData>
    <row r="1" spans="1:19" ht="39.950000000000003" customHeight="1" x14ac:dyDescent="0.25">
      <c r="A1" s="3"/>
      <c r="B1" s="3"/>
      <c r="C1" s="3"/>
      <c r="D1" s="3"/>
    </row>
    <row r="2" spans="1:19" ht="30" customHeight="1" x14ac:dyDescent="0.3">
      <c r="A2" s="4" t="s">
        <v>128</v>
      </c>
      <c r="B2" s="5"/>
      <c r="C2" s="5"/>
      <c r="D2" s="5"/>
      <c r="E2" s="5"/>
      <c r="F2" s="5"/>
      <c r="G2" s="16"/>
      <c r="H2" s="5"/>
      <c r="I2" s="5"/>
      <c r="J2" s="5"/>
      <c r="K2" s="5"/>
      <c r="L2" s="5"/>
    </row>
    <row r="3" spans="1:19" x14ac:dyDescent="0.25">
      <c r="A3" s="6" t="s">
        <v>0</v>
      </c>
    </row>
    <row r="4" spans="1:19" x14ac:dyDescent="0.25">
      <c r="A4" s="6" t="s">
        <v>1</v>
      </c>
    </row>
    <row r="5" spans="1:19" x14ac:dyDescent="0.25">
      <c r="A5" s="7"/>
    </row>
    <row r="6" spans="1:19" x14ac:dyDescent="0.25">
      <c r="A6" s="2" t="s">
        <v>3</v>
      </c>
      <c r="B6" s="2" t="s">
        <v>4</v>
      </c>
      <c r="C6" s="2" t="s">
        <v>5</v>
      </c>
      <c r="D6" s="2" t="s">
        <v>116</v>
      </c>
      <c r="E6" s="1" t="s">
        <v>117</v>
      </c>
      <c r="F6" s="1" t="s">
        <v>118</v>
      </c>
      <c r="G6" s="2" t="s">
        <v>129</v>
      </c>
      <c r="H6" s="2" t="s">
        <v>130</v>
      </c>
      <c r="I6" s="2" t="s">
        <v>131</v>
      </c>
      <c r="J6" s="2" t="s">
        <v>132</v>
      </c>
      <c r="K6" s="2" t="s">
        <v>133</v>
      </c>
      <c r="L6" s="2" t="s">
        <v>134</v>
      </c>
      <c r="M6" s="2" t="s">
        <v>135</v>
      </c>
      <c r="N6" s="2" t="s">
        <v>136</v>
      </c>
      <c r="O6" s="2" t="s">
        <v>137</v>
      </c>
      <c r="P6" s="2" t="s">
        <v>138</v>
      </c>
      <c r="Q6" s="2" t="s">
        <v>139</v>
      </c>
      <c r="R6" s="2" t="s">
        <v>140</v>
      </c>
      <c r="S6" s="2" t="s">
        <v>141</v>
      </c>
    </row>
    <row r="7" spans="1:19" x14ac:dyDescent="0.25">
      <c r="A7" s="2"/>
      <c r="B7" s="2"/>
      <c r="C7" s="2"/>
      <c r="D7" s="2"/>
      <c r="E7" s="1"/>
      <c r="F7" s="1"/>
      <c r="G7" s="12"/>
      <c r="H7" s="2"/>
      <c r="I7" s="2"/>
      <c r="J7" s="2"/>
      <c r="K7" s="2"/>
      <c r="L7" s="2"/>
      <c r="M7" s="2"/>
      <c r="N7" s="2"/>
      <c r="O7" s="2"/>
      <c r="P7" s="2"/>
      <c r="Q7" s="2"/>
      <c r="R7" s="2"/>
      <c r="S7" s="2"/>
    </row>
    <row r="8" spans="1:19" x14ac:dyDescent="0.25">
      <c r="A8" s="2"/>
      <c r="B8" s="2"/>
      <c r="C8" s="2"/>
      <c r="D8" s="2"/>
      <c r="E8" s="1"/>
      <c r="F8" s="1"/>
      <c r="G8" s="12"/>
      <c r="H8" s="2"/>
      <c r="I8" s="2"/>
      <c r="J8" s="2"/>
      <c r="K8" s="2"/>
      <c r="L8" s="2"/>
      <c r="M8" s="2"/>
      <c r="N8" s="2"/>
      <c r="O8" s="2"/>
      <c r="P8" s="2"/>
      <c r="Q8" s="2"/>
      <c r="R8" s="2"/>
      <c r="S8" s="2"/>
    </row>
    <row r="9" spans="1:19" x14ac:dyDescent="0.25">
      <c r="A9" s="2"/>
      <c r="B9" s="2"/>
      <c r="C9" s="2"/>
      <c r="D9" s="2"/>
      <c r="E9" s="1"/>
      <c r="F9" s="1"/>
      <c r="G9" s="12"/>
      <c r="H9" s="2"/>
      <c r="I9" s="2"/>
      <c r="J9" s="2"/>
      <c r="K9" s="2"/>
      <c r="L9" s="2"/>
      <c r="M9" s="2"/>
      <c r="N9" s="2"/>
      <c r="O9" s="2"/>
      <c r="P9" s="2"/>
      <c r="Q9" s="2"/>
      <c r="R9" s="2"/>
      <c r="S9" s="2"/>
    </row>
    <row r="10" spans="1:19" ht="75" x14ac:dyDescent="0.25">
      <c r="A10" s="8">
        <v>46022</v>
      </c>
      <c r="B10" s="7" t="s">
        <v>43</v>
      </c>
      <c r="C10" s="7" t="s">
        <v>44</v>
      </c>
      <c r="D10" s="7" t="s">
        <v>45</v>
      </c>
      <c r="E10" s="11">
        <v>4350710</v>
      </c>
      <c r="F10" s="10">
        <v>5</v>
      </c>
      <c r="G10" s="13" t="str">
        <f>[1]!SNLData("243327", $C10, "OWNER_LIST")</f>
        <v>Mozambique (Carried) 5%; Syrah Resources Limited  95%</v>
      </c>
      <c r="H10" s="14">
        <f>[1]!SNLData("243327", C10, "OWNER_SNL_INSTN_KEY", "Owner 1")</f>
        <v>4354685</v>
      </c>
      <c r="I10" s="14">
        <f>[1]!SNLData("243327", C10, "OWNER_SNL_INSTN_KEY", "Owner 2")</f>
        <v>4350710</v>
      </c>
      <c r="J10" s="13" t="str">
        <f>_xll.SNL.Clients.Office.Excel.Functions.SPG(H10, "SP_ULT_PARENT_COMPANY_NAME")</f>
        <v>Australian Super Pty Ltd</v>
      </c>
      <c r="K10" s="13" t="str">
        <f>_xll.SNL.Clients.Office.Excel.Functions.SPG(H10, "SP_ULT_PARENT_COUNTRY")</f>
        <v>Australia</v>
      </c>
      <c r="L10" s="13" t="str">
        <f>_xll.SNL.Clients.Office.Excel.Functions.SPG(H10, "SP_PARENT_COMPANY_NAME")</f>
        <v>Australian Super Pty Ltd; AustralianSuper</v>
      </c>
      <c r="M10" s="13" t="str">
        <f>_xll.SNL.Clients.Office.Excel.Functions.SPG(H10, "SP_PARENT_COUNTRY")</f>
        <v>Australia; Australia</v>
      </c>
      <c r="N10" s="13" t="str">
        <f>_xll.SNL.Clients.Office.Excel.Functions.SPG(H10, "SP_COUNTRY_NAME")</f>
        <v>Australia</v>
      </c>
      <c r="O10" s="13" t="str">
        <f>_xll.SNL.Clients.Office.Excel.Functions.SPG(I10, "SP_ULT_PARENT_COMPANY_NAME")</f>
        <v/>
      </c>
      <c r="P10" s="13" t="str">
        <f>_xll.SNL.Clients.Office.Excel.Functions.SPG(I10, "SP_ULT_PARENT_COUNTRY")</f>
        <v/>
      </c>
      <c r="Q10" s="13" t="str">
        <f>_xll.SNL.Clients.Office.Excel.Functions.SPG(I10, "SP_PARENT_COMPANY_NAME")</f>
        <v/>
      </c>
      <c r="R10" s="13" t="str">
        <f>_xll.SNL.Clients.Office.Excel.Functions.SPG(I10, "SP_PARENT_COUNTRY")</f>
        <v/>
      </c>
      <c r="S10" s="13" t="str">
        <f>_xll.SNL.Clients.Office.Excel.Functions.SPG(I10, "SP_COUNTRY_NAME")</f>
        <v>Mozambique</v>
      </c>
    </row>
    <row r="11" spans="1:19" ht="75" x14ac:dyDescent="0.25">
      <c r="A11" s="8">
        <v>46022</v>
      </c>
      <c r="B11" s="7" t="s">
        <v>43</v>
      </c>
      <c r="C11" s="7" t="s">
        <v>44</v>
      </c>
      <c r="D11" s="7" t="s">
        <v>119</v>
      </c>
      <c r="E11" s="11">
        <v>4354685</v>
      </c>
      <c r="F11" s="10">
        <v>95</v>
      </c>
      <c r="G11" s="13" t="str">
        <f>[1]!SNLData("243327", $C11, "OWNER_LIST")</f>
        <v>Mozambique (Carried) 5%; Syrah Resources Limited  95%</v>
      </c>
      <c r="H11" s="14">
        <f>[1]!SNLData("243327", C11, "OWNER_SNL_INSTN_KEY", "Owner 1")</f>
        <v>4354685</v>
      </c>
      <c r="I11" s="14">
        <f>[1]!SNLData("243327", C11, "OWNER_SNL_INSTN_KEY", "Owner 2")</f>
        <v>4350710</v>
      </c>
      <c r="J11" s="13" t="str">
        <f>_xll.SNL.Clients.Office.Excel.Functions.SPG(H11, "SP_ULT_PARENT_COMPANY_NAME")</f>
        <v>Australian Super Pty Ltd</v>
      </c>
      <c r="K11" s="13" t="str">
        <f>_xll.SNL.Clients.Office.Excel.Functions.SPG(H11, "SP_ULT_PARENT_COUNTRY")</f>
        <v>Australia</v>
      </c>
      <c r="L11" s="13" t="str">
        <f>_xll.SNL.Clients.Office.Excel.Functions.SPG(H11, "SP_PARENT_COMPANY_NAME")</f>
        <v>Australian Super Pty Ltd; AustralianSuper</v>
      </c>
      <c r="M11" s="13" t="str">
        <f>_xll.SNL.Clients.Office.Excel.Functions.SPG(H11, "SP_PARENT_COUNTRY")</f>
        <v>Australia; Australia</v>
      </c>
      <c r="N11" s="13" t="str">
        <f>_xll.SNL.Clients.Office.Excel.Functions.SPG(H11, "SP_COUNTRY_NAME")</f>
        <v>Australia</v>
      </c>
      <c r="O11" s="13" t="str">
        <f>_xll.SNL.Clients.Office.Excel.Functions.SPG(I11, "SP_ULT_PARENT_COMPANY_NAME")</f>
        <v/>
      </c>
      <c r="P11" s="13" t="str">
        <f>_xll.SNL.Clients.Office.Excel.Functions.SPG(I11, "SP_ULT_PARENT_COUNTRY")</f>
        <v/>
      </c>
      <c r="Q11" s="13" t="str">
        <f>_xll.SNL.Clients.Office.Excel.Functions.SPG(I11, "SP_PARENT_COMPANY_NAME")</f>
        <v/>
      </c>
      <c r="R11" s="13" t="str">
        <f>_xll.SNL.Clients.Office.Excel.Functions.SPG(I11, "SP_PARENT_COUNTRY")</f>
        <v/>
      </c>
      <c r="S11" s="13" t="str">
        <f>_xll.SNL.Clients.Office.Excel.Functions.SPG(I11, "SP_COUNTRY_NAME")</f>
        <v>Mozambique</v>
      </c>
    </row>
    <row r="12" spans="1:19" ht="75" x14ac:dyDescent="0.25">
      <c r="A12" s="8">
        <v>46022</v>
      </c>
      <c r="B12" s="7" t="s">
        <v>46</v>
      </c>
      <c r="C12" s="7" t="s">
        <v>47</v>
      </c>
      <c r="D12" s="7" t="s">
        <v>120</v>
      </c>
      <c r="E12" s="11">
        <v>106407935</v>
      </c>
      <c r="F12" s="10">
        <v>100</v>
      </c>
      <c r="G12" s="13" t="str">
        <f>[1]!SNLData("243327", $C12, "OWNER_LIST")</f>
        <v>China Graphite Group Limited  100%</v>
      </c>
      <c r="H12" s="14">
        <f>[1]!SNLData("243327", C12, "OWNER_SNL_INSTN_KEY", "Owner 1")</f>
        <v>106407935</v>
      </c>
      <c r="I12" s="14" t="str">
        <f>[1]!SNLData("243327", C12, "OWNER_SNL_INSTN_KEY", "Owner 2")</f>
        <v>NA</v>
      </c>
      <c r="J12" s="13" t="str">
        <f>_xll.SNL.Clients.Office.Excel.Functions.SPG(H12, "SP_ULT_PARENT_COMPANY_NAME")</f>
        <v>Sandy Mining Limited</v>
      </c>
      <c r="K12" s="13" t="str">
        <f>_xll.SNL.Clients.Office.Excel.Functions.SPG(H12, "SP_ULT_PARENT_COUNTRY")</f>
        <v>BVI</v>
      </c>
      <c r="L12" s="13" t="str">
        <f>_xll.SNL.Clients.Office.Excel.Functions.SPG(H12, "SP_PARENT_COMPANY_NAME")</f>
        <v>Sandy Mining Limited</v>
      </c>
      <c r="M12" s="13" t="str">
        <f>_xll.SNL.Clients.Office.Excel.Functions.SPG(H12, "SP_PARENT_COUNTRY")</f>
        <v>BVI</v>
      </c>
      <c r="N12" s="13" t="str">
        <f>_xll.SNL.Clients.Office.Excel.Functions.SPG(H12, "SP_COUNTRY_NAME")</f>
        <v>China</v>
      </c>
      <c r="O12" s="13" t="str">
        <f>_xll.SNL.Clients.Office.Excel.Functions.SPG(I12, "SP_ULT_PARENT_COMPANY_NAME")</f>
        <v/>
      </c>
      <c r="P12" s="13" t="str">
        <f>_xll.SNL.Clients.Office.Excel.Functions.SPG(I12, "SP_ULT_PARENT_COUNTRY")</f>
        <v/>
      </c>
      <c r="Q12" s="13" t="str">
        <f>_xll.SNL.Clients.Office.Excel.Functions.SPG(I12, "SP_PARENT_COMPANY_NAME")</f>
        <v/>
      </c>
      <c r="R12" s="13" t="str">
        <f>_xll.SNL.Clients.Office.Excel.Functions.SPG(I12, "SP_PARENT_COUNTRY")</f>
        <v/>
      </c>
      <c r="S12" s="13" t="str">
        <f>_xll.SNL.Clients.Office.Excel.Functions.SPG(I12, "SP_COUNTRY_NAME")</f>
        <v>China</v>
      </c>
    </row>
    <row r="13" spans="1:19" ht="75" x14ac:dyDescent="0.25">
      <c r="A13" s="8">
        <v>46022</v>
      </c>
      <c r="B13" s="7" t="s">
        <v>52</v>
      </c>
      <c r="C13" s="7" t="s">
        <v>53</v>
      </c>
      <c r="D13" s="7" t="s">
        <v>121</v>
      </c>
      <c r="E13" s="11">
        <v>4348016</v>
      </c>
      <c r="F13" s="10">
        <v>100</v>
      </c>
      <c r="G13" s="13" t="str">
        <f>[1]!SNLData("243327", $C13, "OWNER_LIST")</f>
        <v>AMG Critical Materials N.V.  100%</v>
      </c>
      <c r="H13" s="14">
        <f>[1]!SNLData("243327", C13, "OWNER_SNL_INSTN_KEY", "Owner 1")</f>
        <v>4348016</v>
      </c>
      <c r="I13" s="14" t="str">
        <f>[1]!SNLData("243327", C13, "OWNER_SNL_INSTN_KEY", "Owner 2")</f>
        <v>NA</v>
      </c>
      <c r="J13" s="13" t="str">
        <f>_xll.SNL.Clients.Office.Excel.Functions.SPG(H13, "SP_ULT_PARENT_COMPANY_NAME")</f>
        <v/>
      </c>
      <c r="K13" s="13" t="str">
        <f>_xll.SNL.Clients.Office.Excel.Functions.SPG(H13, "SP_ULT_PARENT_COUNTRY")</f>
        <v/>
      </c>
      <c r="L13" s="13" t="str">
        <f>_xll.SNL.Clients.Office.Excel.Functions.SPG(H13, "SP_PARENT_COMPANY_NAME")</f>
        <v/>
      </c>
      <c r="M13" s="13" t="str">
        <f>_xll.SNL.Clients.Office.Excel.Functions.SPG(H13, "SP_PARENT_COUNTRY")</f>
        <v/>
      </c>
      <c r="N13" s="13" t="str">
        <f>_xll.SNL.Clients.Office.Excel.Functions.SPG(H13, "SP_COUNTRY_NAME")</f>
        <v>Netherlands</v>
      </c>
      <c r="O13" s="13" t="str">
        <f>_xll.SNL.Clients.Office.Excel.Functions.SPG(I13, "SP_ULT_PARENT_COMPANY_NAME")</f>
        <v/>
      </c>
      <c r="P13" s="13" t="str">
        <f>_xll.SNL.Clients.Office.Excel.Functions.SPG(I13, "SP_ULT_PARENT_COUNTRY")</f>
        <v/>
      </c>
      <c r="Q13" s="13" t="str">
        <f>_xll.SNL.Clients.Office.Excel.Functions.SPG(I13, "SP_PARENT_COMPANY_NAME")</f>
        <v/>
      </c>
      <c r="R13" s="13" t="str">
        <f>_xll.SNL.Clients.Office.Excel.Functions.SPG(I13, "SP_PARENT_COUNTRY")</f>
        <v/>
      </c>
      <c r="S13" s="13" t="str">
        <f>_xll.SNL.Clients.Office.Excel.Functions.SPG(I13, "SP_COUNTRY_NAME")</f>
        <v>China</v>
      </c>
    </row>
    <row r="14" spans="1:19" ht="75" x14ac:dyDescent="0.25">
      <c r="A14" s="8">
        <v>46022</v>
      </c>
      <c r="B14" s="7" t="s">
        <v>55</v>
      </c>
      <c r="C14" s="7" t="s">
        <v>56</v>
      </c>
      <c r="D14" s="7" t="s">
        <v>122</v>
      </c>
      <c r="E14" s="11">
        <v>4363836</v>
      </c>
      <c r="F14" s="10">
        <v>100</v>
      </c>
      <c r="G14" s="13" t="str">
        <f>[1]!SNLData("243327", $C14, "OWNER_LIST")</f>
        <v>Northern Graphite Corporation  100%</v>
      </c>
      <c r="H14" s="14">
        <f>[1]!SNLData("243327", C14, "OWNER_SNL_INSTN_KEY", "Owner 1")</f>
        <v>4363836</v>
      </c>
      <c r="I14" s="14" t="str">
        <f>[1]!SNLData("243327", C14, "OWNER_SNL_INSTN_KEY", "Owner 2")</f>
        <v>NA</v>
      </c>
      <c r="J14" s="13" t="str">
        <f>_xll.SNL.Clients.Office.Excel.Functions.SPG(H14, "SP_ULT_PARENT_COMPANY_NAME")</f>
        <v/>
      </c>
      <c r="K14" s="13" t="str">
        <f>_xll.SNL.Clients.Office.Excel.Functions.SPG(H14, "SP_ULT_PARENT_COUNTRY")</f>
        <v/>
      </c>
      <c r="L14" s="13" t="str">
        <f>_xll.SNL.Clients.Office.Excel.Functions.SPG(H14, "SP_PARENT_COMPANY_NAME")</f>
        <v/>
      </c>
      <c r="M14" s="13" t="str">
        <f>_xll.SNL.Clients.Office.Excel.Functions.SPG(H14, "SP_PARENT_COUNTRY")</f>
        <v/>
      </c>
      <c r="N14" s="13" t="str">
        <f>_xll.SNL.Clients.Office.Excel.Functions.SPG(H14, "SP_COUNTRY_NAME")</f>
        <v>Canada</v>
      </c>
      <c r="O14" s="13" t="str">
        <f>_xll.SNL.Clients.Office.Excel.Functions.SPG(I14, "SP_ULT_PARENT_COMPANY_NAME")</f>
        <v/>
      </c>
      <c r="P14" s="13" t="str">
        <f>_xll.SNL.Clients.Office.Excel.Functions.SPG(I14, "SP_ULT_PARENT_COUNTRY")</f>
        <v/>
      </c>
      <c r="Q14" s="13" t="str">
        <f>_xll.SNL.Clients.Office.Excel.Functions.SPG(I14, "SP_PARENT_COMPANY_NAME")</f>
        <v/>
      </c>
      <c r="R14" s="13" t="str">
        <f>_xll.SNL.Clients.Office.Excel.Functions.SPG(I14, "SP_PARENT_COUNTRY")</f>
        <v/>
      </c>
      <c r="S14" s="13" t="str">
        <f>_xll.SNL.Clients.Office.Excel.Functions.SPG(I14, "SP_COUNTRY_NAME")</f>
        <v>China</v>
      </c>
    </row>
    <row r="15" spans="1:19" ht="75" x14ac:dyDescent="0.25">
      <c r="A15" s="8">
        <v>46022</v>
      </c>
      <c r="B15" s="7" t="s">
        <v>89</v>
      </c>
      <c r="C15" s="7" t="s">
        <v>90</v>
      </c>
      <c r="D15" s="7" t="s">
        <v>123</v>
      </c>
      <c r="E15" s="11">
        <v>4457925</v>
      </c>
      <c r="F15" s="10">
        <v>100</v>
      </c>
      <c r="G15" s="13" t="str">
        <f>[1]!SNLData("243327", $C15, "OWNER_LIST")</f>
        <v>Nacional de Grafite Ltda.  100%</v>
      </c>
      <c r="H15" s="14">
        <f>[1]!SNLData("243327", C15, "OWNER_SNL_INSTN_KEY", "Owner 1")</f>
        <v>4457925</v>
      </c>
      <c r="I15" s="14" t="str">
        <f>[1]!SNLData("243327", C15, "OWNER_SNL_INSTN_KEY", "Owner 2")</f>
        <v>NA</v>
      </c>
      <c r="J15" s="13" t="str">
        <f>_xll.SNL.Clients.Office.Excel.Functions.SPG(H15, "SP_ULT_PARENT_COMPANY_NAME")</f>
        <v/>
      </c>
      <c r="K15" s="13" t="str">
        <f>_xll.SNL.Clients.Office.Excel.Functions.SPG(H15, "SP_ULT_PARENT_COUNTRY")</f>
        <v/>
      </c>
      <c r="L15" s="13" t="str">
        <f>_xll.SNL.Clients.Office.Excel.Functions.SPG(H15, "SP_PARENT_COMPANY_NAME")</f>
        <v/>
      </c>
      <c r="M15" s="13" t="str">
        <f>_xll.SNL.Clients.Office.Excel.Functions.SPG(H15, "SP_PARENT_COUNTRY")</f>
        <v/>
      </c>
      <c r="N15" s="13" t="str">
        <f>_xll.SNL.Clients.Office.Excel.Functions.SPG(H15, "SP_COUNTRY_NAME")</f>
        <v>Brazil</v>
      </c>
      <c r="O15" s="13" t="str">
        <f>_xll.SNL.Clients.Office.Excel.Functions.SPG(I15, "SP_ULT_PARENT_COMPANY_NAME")</f>
        <v/>
      </c>
      <c r="P15" s="13" t="str">
        <f>_xll.SNL.Clients.Office.Excel.Functions.SPG(I15, "SP_ULT_PARENT_COUNTRY")</f>
        <v/>
      </c>
      <c r="Q15" s="13" t="str">
        <f>_xll.SNL.Clients.Office.Excel.Functions.SPG(I15, "SP_PARENT_COMPANY_NAME")</f>
        <v/>
      </c>
      <c r="R15" s="13" t="str">
        <f>_xll.SNL.Clients.Office.Excel.Functions.SPG(I15, "SP_PARENT_COUNTRY")</f>
        <v/>
      </c>
      <c r="S15" s="13" t="str">
        <f>_xll.SNL.Clients.Office.Excel.Functions.SPG(I15, "SP_COUNTRY_NAME")</f>
        <v>China</v>
      </c>
    </row>
    <row r="16" spans="1:19" ht="75" x14ac:dyDescent="0.25">
      <c r="A16" s="8">
        <v>46022</v>
      </c>
      <c r="B16" s="7" t="s">
        <v>93</v>
      </c>
      <c r="C16" s="7" t="s">
        <v>94</v>
      </c>
      <c r="D16" s="7" t="s">
        <v>123</v>
      </c>
      <c r="E16" s="11">
        <v>4457925</v>
      </c>
      <c r="F16" s="10">
        <v>100</v>
      </c>
      <c r="G16" s="13" t="str">
        <f>[1]!SNLData("243327", $C16, "OWNER_LIST")</f>
        <v>Nacional de Grafite Ltda.  100%</v>
      </c>
      <c r="H16" s="14">
        <f>[1]!SNLData("243327", C16, "OWNER_SNL_INSTN_KEY", "Owner 1")</f>
        <v>4457925</v>
      </c>
      <c r="I16" s="14" t="str">
        <f>[1]!SNLData("243327", C16, "OWNER_SNL_INSTN_KEY", "Owner 2")</f>
        <v>NA</v>
      </c>
      <c r="J16" s="13" t="str">
        <f>_xll.SNL.Clients.Office.Excel.Functions.SPG(H16, "SP_ULT_PARENT_COMPANY_NAME")</f>
        <v/>
      </c>
      <c r="K16" s="13" t="str">
        <f>_xll.SNL.Clients.Office.Excel.Functions.SPG(H16, "SP_ULT_PARENT_COUNTRY")</f>
        <v/>
      </c>
      <c r="L16" s="13" t="str">
        <f>_xll.SNL.Clients.Office.Excel.Functions.SPG(H16, "SP_PARENT_COMPANY_NAME")</f>
        <v/>
      </c>
      <c r="M16" s="13" t="str">
        <f>_xll.SNL.Clients.Office.Excel.Functions.SPG(H16, "SP_PARENT_COUNTRY")</f>
        <v/>
      </c>
      <c r="N16" s="13" t="str">
        <f>_xll.SNL.Clients.Office.Excel.Functions.SPG(H16, "SP_COUNTRY_NAME")</f>
        <v>Brazil</v>
      </c>
      <c r="O16" s="13" t="str">
        <f>_xll.SNL.Clients.Office.Excel.Functions.SPG(I16, "SP_ULT_PARENT_COMPANY_NAME")</f>
        <v/>
      </c>
      <c r="P16" s="13" t="str">
        <f>_xll.SNL.Clients.Office.Excel.Functions.SPG(I16, "SP_ULT_PARENT_COUNTRY")</f>
        <v/>
      </c>
      <c r="Q16" s="13" t="str">
        <f>_xll.SNL.Clients.Office.Excel.Functions.SPG(I16, "SP_PARENT_COMPANY_NAME")</f>
        <v/>
      </c>
      <c r="R16" s="13" t="str">
        <f>_xll.SNL.Clients.Office.Excel.Functions.SPG(I16, "SP_PARENT_COUNTRY")</f>
        <v/>
      </c>
      <c r="S16" s="13" t="str">
        <f>_xll.SNL.Clients.Office.Excel.Functions.SPG(I16, "SP_COUNTRY_NAME")</f>
        <v>China</v>
      </c>
    </row>
    <row r="17" spans="1:19" ht="75" x14ac:dyDescent="0.25">
      <c r="A17" s="8">
        <v>46022</v>
      </c>
      <c r="B17" s="7" t="s">
        <v>58</v>
      </c>
      <c r="C17" s="7" t="s">
        <v>59</v>
      </c>
      <c r="D17" s="7" t="s">
        <v>124</v>
      </c>
      <c r="E17" s="11">
        <v>4352429</v>
      </c>
      <c r="F17" s="10">
        <v>100</v>
      </c>
      <c r="G17" s="13" t="str">
        <f>[1]!SNLData("243327", $C17, "OWNER_LIST")</f>
        <v>Mineral Commodities Ltd  100%; Norge Mining Limited (Fractional) %</v>
      </c>
      <c r="H17" s="14">
        <f>[1]!SNLData("243327", C17, "OWNER_SNL_INSTN_KEY", "Owner 1")</f>
        <v>4352429</v>
      </c>
      <c r="I17" s="14">
        <f>[1]!SNLData("243327", C17, "OWNER_SNL_INSTN_KEY", "Owner 2")</f>
        <v>14958270</v>
      </c>
      <c r="J17" s="13" t="str">
        <f>_xll.SNL.Clients.Office.Excel.Functions.SPG(H17, "SP_ULT_PARENT_COMPANY_NAME")</f>
        <v/>
      </c>
      <c r="K17" s="13" t="str">
        <f>_xll.SNL.Clients.Office.Excel.Functions.SPG(H17, "SP_ULT_PARENT_COUNTRY")</f>
        <v/>
      </c>
      <c r="L17" s="13" t="str">
        <f>_xll.SNL.Clients.Office.Excel.Functions.SPG(H17, "SP_PARENT_COMPANY_NAME")</f>
        <v/>
      </c>
      <c r="M17" s="13" t="str">
        <f>_xll.SNL.Clients.Office.Excel.Functions.SPG(H17, "SP_PARENT_COUNTRY")</f>
        <v/>
      </c>
      <c r="N17" s="13" t="str">
        <f>_xll.SNL.Clients.Office.Excel.Functions.SPG(H17, "SP_COUNTRY_NAME")</f>
        <v>Australia</v>
      </c>
      <c r="O17" s="13" t="str">
        <f>_xll.SNL.Clients.Office.Excel.Functions.SPG(I17, "SP_ULT_PARENT_COMPANY_NAME")</f>
        <v/>
      </c>
      <c r="P17" s="13" t="str">
        <f>_xll.SNL.Clients.Office.Excel.Functions.SPG(I17, "SP_ULT_PARENT_COUNTRY")</f>
        <v/>
      </c>
      <c r="Q17" s="13" t="str">
        <f>_xll.SNL.Clients.Office.Excel.Functions.SPG(I17, "SP_PARENT_COMPANY_NAME")</f>
        <v/>
      </c>
      <c r="R17" s="13" t="str">
        <f>_xll.SNL.Clients.Office.Excel.Functions.SPG(I17, "SP_PARENT_COUNTRY")</f>
        <v/>
      </c>
      <c r="S17" s="13" t="str">
        <f>_xll.SNL.Clients.Office.Excel.Functions.SPG(I17, "SP_COUNTRY_NAME")</f>
        <v>United Kingdom</v>
      </c>
    </row>
    <row r="18" spans="1:19" ht="75" x14ac:dyDescent="0.25">
      <c r="A18" s="8">
        <v>46022</v>
      </c>
      <c r="B18" s="7" t="s">
        <v>61</v>
      </c>
      <c r="C18" s="7" t="s">
        <v>62</v>
      </c>
      <c r="D18" s="7" t="s">
        <v>125</v>
      </c>
      <c r="E18" s="11">
        <v>4353456</v>
      </c>
      <c r="F18" s="10">
        <v>2</v>
      </c>
      <c r="G18" s="13" t="str">
        <f>[1]!SNLData("243327", $C18, "OWNER_LIST")</f>
        <v>Tirupati Graphite plc (Venturer) 98%; Private Interest (Venturer) 2%</v>
      </c>
      <c r="H18" s="14">
        <f>[1]!SNLData("243327", C18, "OWNER_SNL_INSTN_KEY", "Owner 1")</f>
        <v>10605938</v>
      </c>
      <c r="I18" s="14">
        <f>[1]!SNLData("243327", C18, "OWNER_SNL_INSTN_KEY", "Owner 2")</f>
        <v>4353456</v>
      </c>
      <c r="J18" s="13" t="str">
        <f>_xll.SNL.Clients.Office.Excel.Functions.SPG(H18, "SP_ULT_PARENT_COMPANY_NAME")</f>
        <v/>
      </c>
      <c r="K18" s="13" t="str">
        <f>_xll.SNL.Clients.Office.Excel.Functions.SPG(H18, "SP_ULT_PARENT_COUNTRY")</f>
        <v/>
      </c>
      <c r="L18" s="13" t="str">
        <f>_xll.SNL.Clients.Office.Excel.Functions.SPG(H18, "SP_PARENT_COMPANY_NAME")</f>
        <v/>
      </c>
      <c r="M18" s="13" t="str">
        <f>_xll.SNL.Clients.Office.Excel.Functions.SPG(H18, "SP_PARENT_COUNTRY")</f>
        <v/>
      </c>
      <c r="N18" s="13" t="str">
        <f>_xll.SNL.Clients.Office.Excel.Functions.SPG(H18, "SP_COUNTRY_NAME")</f>
        <v>United Kingdom</v>
      </c>
      <c r="O18" s="13" t="str">
        <f>_xll.SNL.Clients.Office.Excel.Functions.SPG(I18, "SP_ULT_PARENT_COMPANY_NAME")</f>
        <v/>
      </c>
      <c r="P18" s="13" t="str">
        <f>_xll.SNL.Clients.Office.Excel.Functions.SPG(I18, "SP_ULT_PARENT_COUNTRY")</f>
        <v/>
      </c>
      <c r="Q18" s="13" t="str">
        <f>_xll.SNL.Clients.Office.Excel.Functions.SPG(I18, "SP_PARENT_COMPANY_NAME")</f>
        <v/>
      </c>
      <c r="R18" s="13" t="str">
        <f>_xll.SNL.Clients.Office.Excel.Functions.SPG(I18, "SP_PARENT_COUNTRY")</f>
        <v/>
      </c>
      <c r="S18" s="13" t="str">
        <f>_xll.SNL.Clients.Office.Excel.Functions.SPG(I18, "SP_COUNTRY_NAME")</f>
        <v>China</v>
      </c>
    </row>
    <row r="19" spans="1:19" ht="75" x14ac:dyDescent="0.25">
      <c r="A19" s="8">
        <v>46022</v>
      </c>
      <c r="B19" s="7" t="s">
        <v>61</v>
      </c>
      <c r="C19" s="7" t="s">
        <v>62</v>
      </c>
      <c r="D19" s="7" t="s">
        <v>126</v>
      </c>
      <c r="E19" s="11">
        <v>10605938</v>
      </c>
      <c r="F19" s="10">
        <v>98</v>
      </c>
      <c r="G19" s="13" t="str">
        <f>[1]!SNLData("243327", $C19, "OWNER_LIST")</f>
        <v>Tirupati Graphite plc (Venturer) 98%; Private Interest (Venturer) 2%</v>
      </c>
      <c r="H19" s="14">
        <f>[1]!SNLData("243327", C19, "OWNER_SNL_INSTN_KEY", "Owner 1")</f>
        <v>10605938</v>
      </c>
      <c r="I19" s="14">
        <f>[1]!SNLData("243327", C19, "OWNER_SNL_INSTN_KEY", "Owner 2")</f>
        <v>4353456</v>
      </c>
      <c r="J19" s="13" t="str">
        <f>_xll.SNL.Clients.Office.Excel.Functions.SPG(H19, "SP_ULT_PARENT_COMPANY_NAME")</f>
        <v/>
      </c>
      <c r="K19" s="13" t="str">
        <f>_xll.SNL.Clients.Office.Excel.Functions.SPG(H19, "SP_ULT_PARENT_COUNTRY")</f>
        <v/>
      </c>
      <c r="L19" s="13" t="str">
        <f>_xll.SNL.Clients.Office.Excel.Functions.SPG(H19, "SP_PARENT_COMPANY_NAME")</f>
        <v/>
      </c>
      <c r="M19" s="13" t="str">
        <f>_xll.SNL.Clients.Office.Excel.Functions.SPG(H19, "SP_PARENT_COUNTRY")</f>
        <v/>
      </c>
      <c r="N19" s="13" t="str">
        <f>_xll.SNL.Clients.Office.Excel.Functions.SPG(H19, "SP_COUNTRY_NAME")</f>
        <v>United Kingdom</v>
      </c>
      <c r="O19" s="13" t="str">
        <f>_xll.SNL.Clients.Office.Excel.Functions.SPG(I19, "SP_ULT_PARENT_COMPANY_NAME")</f>
        <v/>
      </c>
      <c r="P19" s="13" t="str">
        <f>_xll.SNL.Clients.Office.Excel.Functions.SPG(I19, "SP_ULT_PARENT_COUNTRY")</f>
        <v/>
      </c>
      <c r="Q19" s="13" t="str">
        <f>_xll.SNL.Clients.Office.Excel.Functions.SPG(I19, "SP_PARENT_COMPANY_NAME")</f>
        <v/>
      </c>
      <c r="R19" s="13" t="str">
        <f>_xll.SNL.Clients.Office.Excel.Functions.SPG(I19, "SP_PARENT_COUNTRY")</f>
        <v/>
      </c>
      <c r="S19" s="13" t="str">
        <f>_xll.SNL.Clients.Office.Excel.Functions.SPG(I19, "SP_COUNTRY_NAME")</f>
        <v>China</v>
      </c>
    </row>
    <row r="20" spans="1:19" ht="75" x14ac:dyDescent="0.25">
      <c r="A20" s="8">
        <v>46022</v>
      </c>
      <c r="B20" s="7" t="s">
        <v>64</v>
      </c>
      <c r="C20" s="7" t="s">
        <v>65</v>
      </c>
      <c r="D20" s="7" t="s">
        <v>127</v>
      </c>
      <c r="E20" s="11">
        <v>4331450</v>
      </c>
      <c r="F20" s="10">
        <v>100</v>
      </c>
      <c r="G20" s="13" t="str">
        <f>[1]!SNLData("243327", $C20, "OWNER_LIST")</f>
        <v>China Minmetals Corporation  100%</v>
      </c>
      <c r="H20" s="14">
        <f>[1]!SNLData("243327", C20, "OWNER_SNL_INSTN_KEY", "Owner 1")</f>
        <v>4331450</v>
      </c>
      <c r="I20" s="14" t="str">
        <f>[1]!SNLData("243327", C20, "OWNER_SNL_INSTN_KEY", "Owner 2")</f>
        <v>NA</v>
      </c>
      <c r="J20" s="13" t="str">
        <f>_xll.SNL.Clients.Office.Excel.Functions.SPG(H20, "SP_ULT_PARENT_COMPANY_NAME")</f>
        <v>State-owned Assets Supervision and Administration Commission of the State Counci</v>
      </c>
      <c r="K20" s="13" t="str">
        <f>_xll.SNL.Clients.Office.Excel.Functions.SPG(H20, "SP_ULT_PARENT_COUNTRY")</f>
        <v>China</v>
      </c>
      <c r="L20" s="13" t="str">
        <f>_xll.SNL.Clients.Office.Excel.Functions.SPG(H20, "SP_PARENT_COMPANY_NAME")</f>
        <v>State-owned Assets Supervision and Administration Commission of the State Counci</v>
      </c>
      <c r="M20" s="13" t="str">
        <f>_xll.SNL.Clients.Office.Excel.Functions.SPG(H20, "SP_PARENT_COUNTRY")</f>
        <v>China</v>
      </c>
      <c r="N20" s="13" t="str">
        <f>_xll.SNL.Clients.Office.Excel.Functions.SPG(H20, "SP_COUNTRY_NAME")</f>
        <v>China</v>
      </c>
      <c r="O20" s="13" t="str">
        <f>_xll.SNL.Clients.Office.Excel.Functions.SPG(I20, "SP_ULT_PARENT_COMPANY_NAME")</f>
        <v/>
      </c>
      <c r="P20" s="13" t="str">
        <f>_xll.SNL.Clients.Office.Excel.Functions.SPG(I20, "SP_ULT_PARENT_COUNTRY")</f>
        <v/>
      </c>
      <c r="Q20" s="13" t="str">
        <f>_xll.SNL.Clients.Office.Excel.Functions.SPG(I20, "SP_PARENT_COMPANY_NAME")</f>
        <v/>
      </c>
      <c r="R20" s="13" t="str">
        <f>_xll.SNL.Clients.Office.Excel.Functions.SPG(I20, "SP_PARENT_COUNTRY")</f>
        <v/>
      </c>
      <c r="S20" s="13" t="str">
        <f>_xll.SNL.Clients.Office.Excel.Functions.SPG(I20, "SP_COUNTRY_NAME")</f>
        <v>China</v>
      </c>
    </row>
  </sheetData>
  <mergeCells count="20">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95ED-23BC-4DE2-81AF-75D7F96E5630}">
  <dimension ref="A1:S19"/>
  <sheetViews>
    <sheetView tabSelected="1" workbookViewId="0">
      <selection activeCell="N13" sqref="N13"/>
    </sheetView>
  </sheetViews>
  <sheetFormatPr defaultRowHeight="15" x14ac:dyDescent="0.25"/>
  <sheetData>
    <row r="1" spans="1:19" x14ac:dyDescent="0.25">
      <c r="A1" t="s">
        <v>128</v>
      </c>
    </row>
    <row r="2" spans="1:19" x14ac:dyDescent="0.25">
      <c r="A2" t="s">
        <v>0</v>
      </c>
    </row>
    <row r="3" spans="1:19" x14ac:dyDescent="0.25">
      <c r="A3" t="s">
        <v>1</v>
      </c>
    </row>
    <row r="5" spans="1:19" x14ac:dyDescent="0.25">
      <c r="A5" t="s">
        <v>3</v>
      </c>
      <c r="B5" t="s">
        <v>4</v>
      </c>
      <c r="C5" t="s">
        <v>5</v>
      </c>
      <c r="D5" t="s">
        <v>116</v>
      </c>
      <c r="E5" t="s">
        <v>117</v>
      </c>
      <c r="F5" t="s">
        <v>118</v>
      </c>
      <c r="G5" t="s">
        <v>129</v>
      </c>
      <c r="H5" t="s">
        <v>130</v>
      </c>
      <c r="I5" t="s">
        <v>131</v>
      </c>
      <c r="J5" t="s">
        <v>132</v>
      </c>
      <c r="K5" t="s">
        <v>133</v>
      </c>
      <c r="L5" t="s">
        <v>134</v>
      </c>
      <c r="M5" t="s">
        <v>135</v>
      </c>
      <c r="N5" t="s">
        <v>136</v>
      </c>
      <c r="O5" t="s">
        <v>137</v>
      </c>
      <c r="P5" t="s">
        <v>138</v>
      </c>
      <c r="Q5" t="s">
        <v>139</v>
      </c>
      <c r="R5" t="s">
        <v>140</v>
      </c>
      <c r="S5" t="s">
        <v>141</v>
      </c>
    </row>
    <row r="9" spans="1:19" x14ac:dyDescent="0.25">
      <c r="A9" s="17">
        <v>46022</v>
      </c>
      <c r="B9" t="s">
        <v>43</v>
      </c>
      <c r="C9" t="s">
        <v>44</v>
      </c>
      <c r="D9" t="s">
        <v>45</v>
      </c>
      <c r="E9">
        <v>4350710</v>
      </c>
      <c r="F9" s="18">
        <v>5</v>
      </c>
      <c r="G9" t="s">
        <v>142</v>
      </c>
      <c r="H9">
        <v>4354685</v>
      </c>
      <c r="I9">
        <v>4350710</v>
      </c>
      <c r="J9" t="s">
        <v>143</v>
      </c>
      <c r="K9" t="s">
        <v>144</v>
      </c>
      <c r="L9" t="s">
        <v>145</v>
      </c>
      <c r="M9" t="s">
        <v>146</v>
      </c>
      <c r="N9" t="s">
        <v>144</v>
      </c>
      <c r="O9" t="s">
        <v>2</v>
      </c>
      <c r="P9" t="s">
        <v>2</v>
      </c>
      <c r="Q9" t="s">
        <v>2</v>
      </c>
      <c r="R9" t="s">
        <v>2</v>
      </c>
      <c r="S9" t="s">
        <v>45</v>
      </c>
    </row>
    <row r="10" spans="1:19" x14ac:dyDescent="0.25">
      <c r="A10" s="17">
        <v>46022</v>
      </c>
      <c r="B10" t="s">
        <v>43</v>
      </c>
      <c r="C10" t="s">
        <v>44</v>
      </c>
      <c r="D10" t="s">
        <v>119</v>
      </c>
      <c r="E10">
        <v>4354685</v>
      </c>
      <c r="F10" s="18">
        <v>95</v>
      </c>
      <c r="G10" t="s">
        <v>142</v>
      </c>
      <c r="H10">
        <v>4354685</v>
      </c>
      <c r="I10">
        <v>4350710</v>
      </c>
      <c r="J10" t="s">
        <v>143</v>
      </c>
      <c r="K10" t="s">
        <v>144</v>
      </c>
      <c r="L10" t="s">
        <v>145</v>
      </c>
      <c r="M10" t="s">
        <v>146</v>
      </c>
      <c r="N10" t="s">
        <v>144</v>
      </c>
      <c r="O10" t="s">
        <v>2</v>
      </c>
      <c r="P10" t="s">
        <v>2</v>
      </c>
      <c r="Q10" t="s">
        <v>2</v>
      </c>
      <c r="R10" t="s">
        <v>2</v>
      </c>
      <c r="S10" t="s">
        <v>45</v>
      </c>
    </row>
    <row r="11" spans="1:19" x14ac:dyDescent="0.25">
      <c r="A11" s="17">
        <v>46022</v>
      </c>
      <c r="B11" t="s">
        <v>46</v>
      </c>
      <c r="C11" t="s">
        <v>47</v>
      </c>
      <c r="D11" t="s">
        <v>120</v>
      </c>
      <c r="E11">
        <v>106407935</v>
      </c>
      <c r="F11" s="18">
        <v>100</v>
      </c>
      <c r="G11" t="s">
        <v>147</v>
      </c>
      <c r="H11">
        <v>106407935</v>
      </c>
      <c r="I11" t="s">
        <v>148</v>
      </c>
      <c r="J11" t="s">
        <v>149</v>
      </c>
      <c r="K11" t="s">
        <v>150</v>
      </c>
      <c r="L11" t="s">
        <v>149</v>
      </c>
      <c r="M11" t="s">
        <v>150</v>
      </c>
      <c r="N11" t="s">
        <v>48</v>
      </c>
      <c r="O11" t="s">
        <v>2</v>
      </c>
      <c r="P11" t="s">
        <v>2</v>
      </c>
      <c r="Q11" t="s">
        <v>2</v>
      </c>
      <c r="R11" t="s">
        <v>2</v>
      </c>
      <c r="S11" t="s">
        <v>48</v>
      </c>
    </row>
    <row r="12" spans="1:19" x14ac:dyDescent="0.25">
      <c r="A12" s="17">
        <v>46022</v>
      </c>
      <c r="B12" t="s">
        <v>52</v>
      </c>
      <c r="C12" t="s">
        <v>53</v>
      </c>
      <c r="D12" t="s">
        <v>121</v>
      </c>
      <c r="E12">
        <v>4348016</v>
      </c>
      <c r="F12" s="18">
        <v>100</v>
      </c>
      <c r="G12" t="s">
        <v>151</v>
      </c>
      <c r="H12">
        <v>4348016</v>
      </c>
      <c r="I12" t="s">
        <v>148</v>
      </c>
      <c r="J12" t="s">
        <v>2</v>
      </c>
      <c r="K12" t="s">
        <v>2</v>
      </c>
      <c r="L12" t="s">
        <v>2</v>
      </c>
      <c r="M12" t="s">
        <v>2</v>
      </c>
      <c r="N12" t="s">
        <v>152</v>
      </c>
      <c r="O12" t="s">
        <v>2</v>
      </c>
      <c r="P12" t="s">
        <v>2</v>
      </c>
      <c r="Q12" t="s">
        <v>2</v>
      </c>
      <c r="R12" t="s">
        <v>2</v>
      </c>
      <c r="S12" t="s">
        <v>48</v>
      </c>
    </row>
    <row r="13" spans="1:19" x14ac:dyDescent="0.25">
      <c r="A13" s="17">
        <v>46022</v>
      </c>
      <c r="B13" t="s">
        <v>55</v>
      </c>
      <c r="C13" t="s">
        <v>56</v>
      </c>
      <c r="D13" t="s">
        <v>122</v>
      </c>
      <c r="E13">
        <v>4363836</v>
      </c>
      <c r="F13" s="18">
        <v>100</v>
      </c>
      <c r="G13" t="s">
        <v>153</v>
      </c>
      <c r="H13">
        <v>4363836</v>
      </c>
      <c r="I13" t="s">
        <v>148</v>
      </c>
      <c r="J13" t="s">
        <v>2</v>
      </c>
      <c r="K13" t="s">
        <v>2</v>
      </c>
      <c r="L13" t="s">
        <v>2</v>
      </c>
      <c r="M13" t="s">
        <v>2</v>
      </c>
      <c r="N13" t="s">
        <v>57</v>
      </c>
      <c r="O13" t="s">
        <v>2</v>
      </c>
      <c r="P13" t="s">
        <v>2</v>
      </c>
      <c r="Q13" t="s">
        <v>2</v>
      </c>
      <c r="R13" t="s">
        <v>2</v>
      </c>
      <c r="S13" t="s">
        <v>48</v>
      </c>
    </row>
    <row r="14" spans="1:19" x14ac:dyDescent="0.25">
      <c r="A14" s="17">
        <v>46022</v>
      </c>
      <c r="B14" t="s">
        <v>89</v>
      </c>
      <c r="C14" t="s">
        <v>90</v>
      </c>
      <c r="D14" t="s">
        <v>123</v>
      </c>
      <c r="E14">
        <v>4457925</v>
      </c>
      <c r="F14" s="18">
        <v>100</v>
      </c>
      <c r="G14" t="s">
        <v>154</v>
      </c>
      <c r="H14">
        <v>4457925</v>
      </c>
      <c r="I14" t="s">
        <v>148</v>
      </c>
      <c r="J14" t="s">
        <v>2</v>
      </c>
      <c r="K14" t="s">
        <v>2</v>
      </c>
      <c r="L14" t="s">
        <v>2</v>
      </c>
      <c r="M14" t="s">
        <v>2</v>
      </c>
      <c r="N14" t="s">
        <v>91</v>
      </c>
      <c r="O14" t="s">
        <v>2</v>
      </c>
      <c r="P14" t="s">
        <v>2</v>
      </c>
      <c r="Q14" t="s">
        <v>2</v>
      </c>
      <c r="R14" t="s">
        <v>2</v>
      </c>
      <c r="S14" t="s">
        <v>48</v>
      </c>
    </row>
    <row r="15" spans="1:19" x14ac:dyDescent="0.25">
      <c r="A15" s="17">
        <v>46022</v>
      </c>
      <c r="B15" t="s">
        <v>93</v>
      </c>
      <c r="C15" t="s">
        <v>94</v>
      </c>
      <c r="D15" t="s">
        <v>123</v>
      </c>
      <c r="E15">
        <v>4457925</v>
      </c>
      <c r="F15" s="18">
        <v>100</v>
      </c>
      <c r="G15" t="s">
        <v>154</v>
      </c>
      <c r="H15">
        <v>4457925</v>
      </c>
      <c r="I15" t="s">
        <v>148</v>
      </c>
      <c r="J15" t="s">
        <v>2</v>
      </c>
      <c r="K15" t="s">
        <v>2</v>
      </c>
      <c r="L15" t="s">
        <v>2</v>
      </c>
      <c r="M15" t="s">
        <v>2</v>
      </c>
      <c r="N15" t="s">
        <v>91</v>
      </c>
      <c r="O15" t="s">
        <v>2</v>
      </c>
      <c r="P15" t="s">
        <v>2</v>
      </c>
      <c r="Q15" t="s">
        <v>2</v>
      </c>
      <c r="R15" t="s">
        <v>2</v>
      </c>
      <c r="S15" t="s">
        <v>48</v>
      </c>
    </row>
    <row r="16" spans="1:19" x14ac:dyDescent="0.25">
      <c r="A16" s="17">
        <v>46022</v>
      </c>
      <c r="B16" t="s">
        <v>58</v>
      </c>
      <c r="C16" t="s">
        <v>59</v>
      </c>
      <c r="D16" t="s">
        <v>124</v>
      </c>
      <c r="E16">
        <v>4352429</v>
      </c>
      <c r="F16" s="18">
        <v>100</v>
      </c>
      <c r="G16" t="s">
        <v>155</v>
      </c>
      <c r="H16">
        <v>4352429</v>
      </c>
      <c r="I16">
        <v>14958270</v>
      </c>
      <c r="J16" t="s">
        <v>2</v>
      </c>
      <c r="K16" t="s">
        <v>2</v>
      </c>
      <c r="L16" t="s">
        <v>2</v>
      </c>
      <c r="M16" t="s">
        <v>2</v>
      </c>
      <c r="N16" t="s">
        <v>144</v>
      </c>
      <c r="O16" t="s">
        <v>2</v>
      </c>
      <c r="P16" t="s">
        <v>2</v>
      </c>
      <c r="Q16" t="s">
        <v>2</v>
      </c>
      <c r="R16" t="s">
        <v>2</v>
      </c>
      <c r="S16" t="s">
        <v>156</v>
      </c>
    </row>
    <row r="17" spans="1:19" x14ac:dyDescent="0.25">
      <c r="A17" s="17">
        <v>46022</v>
      </c>
      <c r="B17" t="s">
        <v>61</v>
      </c>
      <c r="C17" t="s">
        <v>62</v>
      </c>
      <c r="D17" t="s">
        <v>125</v>
      </c>
      <c r="E17">
        <v>4353456</v>
      </c>
      <c r="F17" s="18">
        <v>2</v>
      </c>
      <c r="G17" t="s">
        <v>157</v>
      </c>
      <c r="H17">
        <v>10605938</v>
      </c>
      <c r="I17">
        <v>4353456</v>
      </c>
      <c r="J17" t="s">
        <v>2</v>
      </c>
      <c r="K17" t="s">
        <v>2</v>
      </c>
      <c r="L17" t="s">
        <v>2</v>
      </c>
      <c r="M17" t="s">
        <v>2</v>
      </c>
      <c r="N17" t="s">
        <v>156</v>
      </c>
      <c r="O17" t="s">
        <v>2</v>
      </c>
      <c r="P17" t="s">
        <v>2</v>
      </c>
      <c r="Q17" t="s">
        <v>2</v>
      </c>
      <c r="R17" t="s">
        <v>2</v>
      </c>
      <c r="S17" t="s">
        <v>48</v>
      </c>
    </row>
    <row r="18" spans="1:19" x14ac:dyDescent="0.25">
      <c r="A18" s="17">
        <v>46022</v>
      </c>
      <c r="B18" t="s">
        <v>61</v>
      </c>
      <c r="C18" t="s">
        <v>62</v>
      </c>
      <c r="D18" t="s">
        <v>126</v>
      </c>
      <c r="E18">
        <v>10605938</v>
      </c>
      <c r="F18" s="18">
        <v>98</v>
      </c>
      <c r="G18" t="s">
        <v>157</v>
      </c>
      <c r="H18">
        <v>10605938</v>
      </c>
      <c r="I18">
        <v>4353456</v>
      </c>
      <c r="J18" t="s">
        <v>2</v>
      </c>
      <c r="K18" t="s">
        <v>2</v>
      </c>
      <c r="L18" t="s">
        <v>2</v>
      </c>
      <c r="M18" t="s">
        <v>2</v>
      </c>
      <c r="N18" t="s">
        <v>156</v>
      </c>
      <c r="O18" t="s">
        <v>2</v>
      </c>
      <c r="P18" t="s">
        <v>2</v>
      </c>
      <c r="Q18" t="s">
        <v>2</v>
      </c>
      <c r="R18" t="s">
        <v>2</v>
      </c>
      <c r="S18" t="s">
        <v>48</v>
      </c>
    </row>
    <row r="19" spans="1:19" x14ac:dyDescent="0.25">
      <c r="A19" s="17">
        <v>46022</v>
      </c>
      <c r="B19" t="s">
        <v>64</v>
      </c>
      <c r="C19" t="s">
        <v>65</v>
      </c>
      <c r="D19" t="s">
        <v>127</v>
      </c>
      <c r="E19">
        <v>4331450</v>
      </c>
      <c r="F19" s="18">
        <v>100</v>
      </c>
      <c r="G19" t="s">
        <v>158</v>
      </c>
      <c r="H19">
        <v>4331450</v>
      </c>
      <c r="I19" t="s">
        <v>148</v>
      </c>
      <c r="J19" t="s">
        <v>159</v>
      </c>
      <c r="K19" t="s">
        <v>48</v>
      </c>
      <c r="L19" t="s">
        <v>159</v>
      </c>
      <c r="M19" t="s">
        <v>48</v>
      </c>
      <c r="N19" t="s">
        <v>48</v>
      </c>
      <c r="O19" t="s">
        <v>2</v>
      </c>
      <c r="P19" t="s">
        <v>2</v>
      </c>
      <c r="Q19" t="s">
        <v>2</v>
      </c>
      <c r="R19" t="s">
        <v>2</v>
      </c>
      <c r="S19"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Ore</vt:lpstr>
      <vt:lpstr>Products Tonne</vt:lpstr>
      <vt:lpstr>Consolidated Products Tonne</vt:lpstr>
      <vt:lpstr>Cash Flow</vt:lpstr>
      <vt:lpstr>Ownership</vt:lpstr>
      <vt:lpstr>Sheet1</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Alessio Raskine</cp:lastModifiedBy>
  <dcterms:created xsi:type="dcterms:W3CDTF">2026-07-07T16:29:20Z</dcterms:created>
  <dcterms:modified xsi:type="dcterms:W3CDTF">2026-07-07T16:29:20Z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